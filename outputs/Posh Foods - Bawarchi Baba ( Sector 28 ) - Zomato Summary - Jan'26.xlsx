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882" firstSheet="0" activeTab="0" autoFilterDateGrouping="1"/>
  </bookViews>
  <sheets>
    <sheet name="Summary" sheetId="1" state="visible" r:id="rId1"/>
    <sheet name="Cashflow" sheetId="2" state="visible" r:id="rId2"/>
    <sheet name="Profit statement" sheetId="3" state="visible" r:id="rId3"/>
    <sheet name="Discrepancies" sheetId="4" state="visible" r:id="rId4"/>
    <sheet name="POS" sheetId="5" state="hidden" r:id="rId5"/>
    <sheet name="BANK" sheetId="6" state="hidden" r:id="rId6"/>
    <sheet name="D1W1" sheetId="7" state="visible" r:id="rId7"/>
    <sheet name="D2W1" sheetId="8" state="visible" r:id="rId8"/>
    <sheet name="D1W2" sheetId="9" state="visible" r:id="rId9"/>
    <sheet name="D2W2" sheetId="10" state="visible" r:id="rId10"/>
    <sheet name="D1W3" sheetId="11" state="visible" r:id="rId11"/>
    <sheet name="D2W3" sheetId="12" state="visible" r:id="rId12"/>
    <sheet name="D1W4" sheetId="13" state="visible" r:id="rId13"/>
    <sheet name="D2W4" sheetId="14" state="visible" r:id="rId14"/>
    <sheet name="D1W5" sheetId="15" state="visible" r:id="rId15"/>
    <sheet name="D2W5" sheetId="16" state="visible" r:id="rId16"/>
  </sheets>
  <definedNames>
    <definedName name="_xlnm.Print_Area" localSheetId="1">'Cashflow'!$A$1:$I$44</definedName>
    <definedName name="_xlnm._FilterDatabase" localSheetId="5" hidden="1">'BANK'!$A$10:$G$173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1">
    <font>
      <name val="Calibri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Aptos Narrow"/>
      <family val="1"/>
      <color rgb="FF000000"/>
      <sz val="10"/>
      <scheme val="minor"/>
    </font>
    <font>
      <name val="Cambria"/>
      <family val="1"/>
      <sz val="11"/>
    </font>
    <font>
      <name val="Cambria"/>
      <family val="1"/>
      <color rgb="FF000000"/>
      <sz val="10"/>
    </font>
    <font>
      <name val="Cambria"/>
      <family val="1"/>
      <color theme="1"/>
      <sz val="11"/>
    </font>
    <font>
      <name val="Cambria"/>
      <family val="1"/>
      <color rgb="FF000000"/>
      <sz val="11"/>
    </font>
    <font>
      <name val="Cambria"/>
      <family val="1"/>
      <b val="1"/>
      <color rgb="FF000000"/>
      <sz val="16"/>
    </font>
    <font>
      <name val="Aptos Narrow"/>
      <family val="2"/>
      <color rgb="FF000000"/>
      <sz val="10"/>
      <scheme val="minor"/>
    </font>
    <font>
      <name val="Cambria"/>
      <family val="1"/>
      <b val="1"/>
      <sz val="10"/>
    </font>
    <font>
      <name val="Cambria"/>
      <family val="1"/>
      <sz val="10"/>
    </font>
    <font>
      <name val="Calibri"/>
      <family val="2"/>
      <b val="1"/>
      <sz val="11"/>
    </font>
    <font>
      <name val="Arial"/>
      <family val="2"/>
      <sz val="10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2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6"/>
    </font>
    <font>
      <name val="Calibri"/>
      <family val="2"/>
      <color theme="1"/>
      <sz val="10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theme="1"/>
      <sz val="13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</borders>
  <cellStyleXfs count="11">
    <xf numFmtId="0" fontId="0" fillId="0" borderId="0"/>
    <xf numFmtId="43" fontId="30" fillId="0" borderId="0"/>
    <xf numFmtId="0" fontId="6" fillId="0" borderId="0"/>
    <xf numFmtId="0" fontId="12" fillId="0" borderId="0"/>
    <xf numFmtId="9" fontId="30" fillId="0" borderId="0"/>
    <xf numFmtId="0" fontId="4" fillId="0" borderId="0"/>
    <xf numFmtId="0" fontId="30" fillId="0" borderId="0"/>
    <xf numFmtId="9" fontId="30" fillId="0" borderId="0"/>
    <xf numFmtId="0" fontId="16" fillId="0" borderId="0"/>
    <xf numFmtId="0" fontId="30" fillId="0" borderId="0"/>
    <xf numFmtId="0" fontId="30" fillId="0" borderId="0"/>
  </cellStyleXfs>
  <cellXfs count="163">
    <xf numFmtId="0" fontId="0" fillId="0" borderId="0" pivotButton="0" quotePrefix="0" xfId="0"/>
    <xf numFmtId="2" fontId="7" fillId="0" borderId="0" pivotButton="0" quotePrefix="0" xfId="0"/>
    <xf numFmtId="10" fontId="7" fillId="0" borderId="0" pivotButton="0" quotePrefix="0" xfId="0"/>
    <xf numFmtId="10" fontId="10" fillId="0" borderId="0" pivotButton="0" quotePrefix="0" xfId="0"/>
    <xf numFmtId="2" fontId="10" fillId="0" borderId="0" pivotButton="0" quotePrefix="0" xfId="0"/>
    <xf numFmtId="0" fontId="9" fillId="0" borderId="0" applyAlignment="1" pivotButton="0" quotePrefix="0" xfId="0">
      <alignment wrapText="1"/>
    </xf>
    <xf numFmtId="0" fontId="11" fillId="0" borderId="0" pivotButton="0" quotePrefix="0" xfId="0"/>
    <xf numFmtId="0" fontId="9" fillId="0" borderId="0" pivotButton="0" quotePrefix="0" xfId="0"/>
    <xf numFmtId="4" fontId="7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0" fontId="7" fillId="0" borderId="0" pivotButton="0" quotePrefix="0" xfId="4"/>
    <xf numFmtId="0" fontId="15" fillId="0" borderId="0" pivotButton="0" quotePrefix="0" xfId="0"/>
    <xf numFmtId="0" fontId="17" fillId="0" borderId="38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/>
    </xf>
    <xf numFmtId="0" fontId="3" fillId="0" borderId="24" applyAlignment="1" pivotButton="0" quotePrefix="0" xfId="0">
      <alignment wrapText="1"/>
    </xf>
    <xf numFmtId="0" fontId="3" fillId="0" borderId="14" pivotButton="0" quotePrefix="0" xfId="0"/>
    <xf numFmtId="0" fontId="3" fillId="0" borderId="0" applyAlignment="1" pivotButton="0" quotePrefix="0" xfId="0">
      <alignment wrapText="1"/>
    </xf>
    <xf numFmtId="0" fontId="3" fillId="0" borderId="14" applyAlignment="1" pivotButton="0" quotePrefix="0" xfId="0">
      <alignment wrapText="1"/>
    </xf>
    <xf numFmtId="0" fontId="3" fillId="0" borderId="25" applyAlignment="1" pivotButton="0" quotePrefix="0" xfId="0">
      <alignment wrapText="1"/>
    </xf>
    <xf numFmtId="10" fontId="3" fillId="0" borderId="14" applyAlignment="1" pivotButton="0" quotePrefix="0" xfId="0">
      <alignment wrapText="1"/>
    </xf>
    <xf numFmtId="10" fontId="3" fillId="0" borderId="14" applyAlignment="1" pivotButton="0" quotePrefix="0" xfId="0">
      <alignment horizontal="right"/>
    </xf>
    <xf numFmtId="2" fontId="3" fillId="0" borderId="14" applyAlignment="1" pivotButton="0" quotePrefix="0" xfId="0">
      <alignment horizontal="right"/>
    </xf>
    <xf numFmtId="2" fontId="3" fillId="0" borderId="0" applyAlignment="1" pivotButton="0" quotePrefix="0" xfId="0">
      <alignment wrapText="1"/>
    </xf>
    <xf numFmtId="2" fontId="3" fillId="0" borderId="14" applyAlignment="1" pivotButton="0" quotePrefix="0" xfId="0">
      <alignment wrapText="1"/>
    </xf>
    <xf numFmtId="0" fontId="3" fillId="0" borderId="26" applyAlignment="1" pivotButton="0" quotePrefix="0" xfId="0">
      <alignment wrapText="1"/>
    </xf>
    <xf numFmtId="10" fontId="3" fillId="0" borderId="29" applyAlignment="1" pivotButton="0" quotePrefix="0" xfId="0">
      <alignment horizontal="right"/>
    </xf>
    <xf numFmtId="9" fontId="3" fillId="0" borderId="14" applyAlignment="1" pivotButton="0" quotePrefix="0" xfId="4">
      <alignment horizontal="right"/>
    </xf>
    <xf numFmtId="9" fontId="3" fillId="0" borderId="0" applyAlignment="1" pivotButton="0" quotePrefix="0" xfId="4">
      <alignment horizontal="right"/>
    </xf>
    <xf numFmtId="10" fontId="3" fillId="0" borderId="14" applyAlignment="1" pivotButton="0" quotePrefix="0" xfId="4">
      <alignment horizontal="right"/>
    </xf>
    <xf numFmtId="0" fontId="3" fillId="0" borderId="27" applyAlignment="1" pivotButton="0" quotePrefix="0" xfId="0">
      <alignment wrapText="1"/>
    </xf>
    <xf numFmtId="10" fontId="3" fillId="0" borderId="14" pivotButton="0" quotePrefix="0" xfId="0"/>
    <xf numFmtId="10" fontId="3" fillId="0" borderId="0" pivotButton="0" quotePrefix="0" xfId="0"/>
    <xf numFmtId="0" fontId="3" fillId="0" borderId="20" applyAlignment="1" pivotButton="0" quotePrefix="0" xfId="0">
      <alignment wrapText="1"/>
    </xf>
    <xf numFmtId="10" fontId="3" fillId="0" borderId="23" pivotButton="0" quotePrefix="0" xfId="0"/>
    <xf numFmtId="10" fontId="3" fillId="0" borderId="21" pivotButton="0" quotePrefix="0" xfId="0"/>
    <xf numFmtId="0" fontId="21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2" fillId="0" borderId="3" pivotButton="0" quotePrefix="0" xfId="0"/>
    <xf numFmtId="10" fontId="22" fillId="0" borderId="3" applyAlignment="1" pivotButton="0" quotePrefix="0" xfId="0">
      <alignment horizontal="right"/>
    </xf>
    <xf numFmtId="10" fontId="22" fillId="0" borderId="3" pivotButton="0" quotePrefix="0" xfId="0"/>
    <xf numFmtId="2" fontId="20" fillId="0" borderId="7" pivotButton="0" quotePrefix="0" xfId="0"/>
    <xf numFmtId="0" fontId="22" fillId="0" borderId="0" applyAlignment="1" pivotButton="0" quotePrefix="0" xfId="0">
      <alignment horizontal="center"/>
    </xf>
    <xf numFmtId="0" fontId="22" fillId="0" borderId="9" pivotButton="0" quotePrefix="0" xfId="0"/>
    <xf numFmtId="10" fontId="22" fillId="0" borderId="6" applyAlignment="1" pivotButton="0" quotePrefix="0" xfId="0">
      <alignment horizontal="right"/>
    </xf>
    <xf numFmtId="10" fontId="22" fillId="0" borderId="12" applyAlignment="1" pivotButton="0" quotePrefix="0" xfId="0">
      <alignment horizontal="right"/>
    </xf>
    <xf numFmtId="0" fontId="25" fillId="0" borderId="17" applyAlignment="1" pivotButton="0" quotePrefix="0" xfId="0">
      <alignment horizontal="center"/>
    </xf>
    <xf numFmtId="0" fontId="20" fillId="0" borderId="5" pivotButton="0" quotePrefix="0" xfId="0"/>
    <xf numFmtId="0" fontId="20" fillId="0" borderId="3" pivotButton="0" quotePrefix="0" xfId="0"/>
    <xf numFmtId="0" fontId="22" fillId="0" borderId="8" pivotButton="0" quotePrefix="0" xfId="0"/>
    <xf numFmtId="0" fontId="27" fillId="0" borderId="0" applyAlignment="1" pivotButton="0" quotePrefix="0" xfId="0">
      <alignment horizontal="center" wrapText="1"/>
    </xf>
    <xf numFmtId="0" fontId="20" fillId="0" borderId="1" applyAlignment="1" pivotButton="0" quotePrefix="0" xfId="0">
      <alignment horizontal="center" wrapText="1"/>
    </xf>
    <xf numFmtId="0" fontId="28" fillId="0" borderId="8" pivotButton="0" quotePrefix="0" xfId="0"/>
    <xf numFmtId="0" fontId="20" fillId="0" borderId="2" pivotButton="0" quotePrefix="0" xfId="0"/>
    <xf numFmtId="0" fontId="29" fillId="0" borderId="8" pivotButton="0" quotePrefix="0" xfId="0"/>
    <xf numFmtId="0" fontId="29" fillId="0" borderId="2" pivotButton="0" quotePrefix="0" xfId="0"/>
    <xf numFmtId="0" fontId="22" fillId="0" borderId="11" pivotButton="0" quotePrefix="0" xfId="0"/>
    <xf numFmtId="0" fontId="20" fillId="0" borderId="37" applyAlignment="1" pivotButton="0" quotePrefix="0" xfId="0">
      <alignment horizontal="center"/>
    </xf>
    <xf numFmtId="0" fontId="20" fillId="0" borderId="7" applyAlignment="1" pivotButton="0" quotePrefix="0" xfId="0">
      <alignment vertical="center"/>
    </xf>
    <xf numFmtId="2" fontId="25" fillId="0" borderId="1" pivotButton="0" quotePrefix="0" xfId="0"/>
    <xf numFmtId="2" fontId="25" fillId="0" borderId="39" applyAlignment="1" pivotButton="0" quotePrefix="0" xfId="0">
      <alignment horizontal="center" vertical="center" wrapText="1"/>
    </xf>
    <xf numFmtId="2" fontId="20" fillId="0" borderId="1" applyAlignment="1" pivotButton="0" quotePrefix="0" xfId="1">
      <alignment horizontal="center" vertical="center"/>
    </xf>
    <xf numFmtId="2" fontId="22" fillId="0" borderId="3" pivotButton="0" quotePrefix="0" xfId="0"/>
    <xf numFmtId="2" fontId="22" fillId="0" borderId="3" applyAlignment="1" pivotButton="0" quotePrefix="0" xfId="1">
      <alignment horizontal="right" vertical="center"/>
    </xf>
    <xf numFmtId="2" fontId="22" fillId="0" borderId="4" applyAlignment="1" pivotButton="0" quotePrefix="0" xfId="1">
      <alignment horizontal="right" vertical="top"/>
    </xf>
    <xf numFmtId="2" fontId="26" fillId="0" borderId="3" applyAlignment="1" pivotButton="0" quotePrefix="0" xfId="1">
      <alignment horizontal="right" vertical="center"/>
    </xf>
    <xf numFmtId="2" fontId="20" fillId="0" borderId="5" pivotButton="0" quotePrefix="0" xfId="0"/>
    <xf numFmtId="2" fontId="20" fillId="0" borderId="5" applyAlignment="1" pivotButton="0" quotePrefix="0" xfId="1">
      <alignment horizontal="right" vertical="center"/>
    </xf>
    <xf numFmtId="2" fontId="20" fillId="0" borderId="5" applyAlignment="1" pivotButton="0" quotePrefix="0" xfId="1">
      <alignment horizontal="right" vertical="top"/>
    </xf>
    <xf numFmtId="2" fontId="20" fillId="0" borderId="16" pivotButton="0" quotePrefix="0" xfId="0"/>
    <xf numFmtId="2" fontId="20" fillId="0" borderId="16" applyAlignment="1" pivotButton="0" quotePrefix="0" xfId="1">
      <alignment horizontal="right" vertical="center"/>
    </xf>
    <xf numFmtId="2" fontId="22" fillId="0" borderId="18" pivotButton="0" quotePrefix="0" xfId="0"/>
    <xf numFmtId="2" fontId="22" fillId="0" borderId="22" applyAlignment="1" pivotButton="0" quotePrefix="0" xfId="1">
      <alignment horizontal="right" vertical="center"/>
    </xf>
    <xf numFmtId="2" fontId="22" fillId="0" borderId="19" applyAlignment="1" pivotButton="0" quotePrefix="0" xfId="1">
      <alignment horizontal="right" vertical="top"/>
    </xf>
    <xf numFmtId="2" fontId="22" fillId="0" borderId="22" applyAlignment="1" pivotButton="0" quotePrefix="0" xfId="1">
      <alignment horizontal="right" vertical="top"/>
    </xf>
    <xf numFmtId="2" fontId="22" fillId="0" borderId="24" pivotButton="0" quotePrefix="0" xfId="0"/>
    <xf numFmtId="2" fontId="22" fillId="0" borderId="14" applyAlignment="1" pivotButton="0" quotePrefix="0" xfId="1">
      <alignment horizontal="right" vertical="center"/>
    </xf>
    <xf numFmtId="2" fontId="22" fillId="0" borderId="0" applyAlignment="1" pivotButton="0" quotePrefix="0" xfId="1">
      <alignment horizontal="right" vertical="top"/>
    </xf>
    <xf numFmtId="2" fontId="22" fillId="0" borderId="14" applyAlignment="1" pivotButton="0" quotePrefix="0" xfId="1">
      <alignment horizontal="right" vertical="top"/>
    </xf>
    <xf numFmtId="2" fontId="22" fillId="0" borderId="14" pivotButton="0" quotePrefix="0" xfId="0"/>
    <xf numFmtId="2" fontId="22" fillId="0" borderId="0" applyAlignment="1" pivotButton="0" quotePrefix="0" xfId="1">
      <alignment horizontal="right" vertical="center"/>
    </xf>
    <xf numFmtId="2" fontId="26" fillId="0" borderId="3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center"/>
    </xf>
    <xf numFmtId="2" fontId="25" fillId="0" borderId="5" applyAlignment="1" pivotButton="0" quotePrefix="0" xfId="1">
      <alignment horizontal="right" vertical="top"/>
    </xf>
    <xf numFmtId="2" fontId="20" fillId="0" borderId="7" applyAlignment="1" pivotButton="0" quotePrefix="0" xfId="1">
      <alignment horizontal="right" vertical="center"/>
    </xf>
    <xf numFmtId="2" fontId="22" fillId="0" borderId="3" pivotButton="0" quotePrefix="0" xfId="1"/>
    <xf numFmtId="2" fontId="20" fillId="0" borderId="5" pivotButton="0" quotePrefix="0" xfId="1"/>
    <xf numFmtId="2" fontId="22" fillId="0" borderId="3" applyAlignment="1" pivotButton="0" quotePrefix="0" xfId="1">
      <alignment horizontal="right" vertical="top"/>
    </xf>
    <xf numFmtId="2" fontId="22" fillId="0" borderId="3" applyAlignment="1" pivotButton="0" quotePrefix="0" xfId="1">
      <alignment vertical="top"/>
    </xf>
    <xf numFmtId="2" fontId="22" fillId="0" borderId="9" applyAlignment="1" pivotButton="0" quotePrefix="0" xfId="1">
      <alignment vertical="top"/>
    </xf>
    <xf numFmtId="2" fontId="20" fillId="0" borderId="9" applyAlignment="1" pivotButton="0" quotePrefix="0" xfId="1">
      <alignment vertical="top"/>
    </xf>
    <xf numFmtId="2" fontId="22" fillId="0" borderId="9" applyAlignment="1" pivotButton="0" quotePrefix="0" xfId="1">
      <alignment horizontal="right" vertical="top"/>
    </xf>
    <xf numFmtId="2" fontId="20" fillId="0" borderId="1" applyAlignment="1" pivotButton="0" quotePrefix="0" xfId="1">
      <alignment vertical="top"/>
    </xf>
    <xf numFmtId="2" fontId="20" fillId="0" borderId="10" applyAlignment="1" pivotButton="0" quotePrefix="0" xfId="1">
      <alignment vertical="top"/>
    </xf>
    <xf numFmtId="2" fontId="3" fillId="0" borderId="15" pivotButton="0" quotePrefix="0" xfId="1"/>
    <xf numFmtId="2" fontId="3" fillId="0" borderId="14" pivotButton="0" quotePrefix="0" xfId="1"/>
    <xf numFmtId="2" fontId="3" fillId="0" borderId="0" applyAlignment="1" pivotButton="0" quotePrefix="0" xfId="1">
      <alignment wrapText="1"/>
    </xf>
    <xf numFmtId="2" fontId="3" fillId="0" borderId="14" applyAlignment="1" pivotButton="0" quotePrefix="0" xfId="1">
      <alignment wrapText="1"/>
    </xf>
    <xf numFmtId="2" fontId="3" fillId="0" borderId="14" applyAlignment="1" pivotButton="0" quotePrefix="0" xfId="1">
      <alignment horizontal="right"/>
    </xf>
    <xf numFmtId="2" fontId="3" fillId="0" borderId="0" applyAlignment="1" pivotButton="0" quotePrefix="0" xfId="1">
      <alignment horizontal="right"/>
    </xf>
    <xf numFmtId="2" fontId="3" fillId="0" borderId="0" applyAlignment="1" pivotButton="0" quotePrefix="0" xfId="1">
      <alignment horizontal="right" wrapText="1"/>
    </xf>
    <xf numFmtId="2" fontId="3" fillId="0" borderId="14" applyAlignment="1" pivotButton="0" quotePrefix="0" xfId="1">
      <alignment horizontal="right" wrapText="1"/>
    </xf>
    <xf numFmtId="2" fontId="3" fillId="0" borderId="29" applyAlignment="1" pivotButton="0" quotePrefix="0" xfId="1">
      <alignment horizontal="right"/>
    </xf>
    <xf numFmtId="2" fontId="3" fillId="0" borderId="15" applyAlignment="1" pivotButton="0" quotePrefix="0" xfId="1">
      <alignment horizontal="right"/>
    </xf>
    <xf numFmtId="2" fontId="3" fillId="0" borderId="30" pivotButton="0" quotePrefix="0" xfId="1"/>
    <xf numFmtId="2" fontId="3" fillId="0" borderId="34" pivotButton="0" quotePrefix="0" xfId="1"/>
    <xf numFmtId="2" fontId="3" fillId="0" borderId="33" applyAlignment="1" pivotButton="0" quotePrefix="0" xfId="1">
      <alignment horizontal="right"/>
    </xf>
    <xf numFmtId="2" fontId="3" fillId="0" borderId="31" pivotButton="0" quotePrefix="0" xfId="1"/>
    <xf numFmtId="2" fontId="3" fillId="0" borderId="35" pivotButton="0" quotePrefix="0" xfId="1"/>
    <xf numFmtId="2" fontId="3" fillId="0" borderId="36" pivotButton="0" quotePrefix="0" xfId="1"/>
    <xf numFmtId="49" fontId="20" fillId="0" borderId="3" applyAlignment="1" pivotButton="0" quotePrefix="0" xfId="0">
      <alignment horizontal="right"/>
    </xf>
    <xf numFmtId="49" fontId="22" fillId="0" borderId="3" applyAlignment="1" pivotButton="0" quotePrefix="0" xfId="0">
      <alignment horizontal="right"/>
    </xf>
    <xf numFmtId="49" fontId="22" fillId="0" borderId="8" applyAlignment="1" pivotButton="0" quotePrefix="0" xfId="0">
      <alignment horizontal="right"/>
    </xf>
    <xf numFmtId="2" fontId="3" fillId="0" borderId="0" pivotButton="0" quotePrefix="0" xfId="1"/>
    <xf numFmtId="0" fontId="7" fillId="0" borderId="14" pivotButton="0" quotePrefix="0" xfId="0"/>
    <xf numFmtId="2" fontId="2" fillId="0" borderId="14" applyAlignment="1" pivotButton="0" quotePrefix="0" xfId="1">
      <alignment horizontal="right"/>
    </xf>
    <xf numFmtId="0" fontId="7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  <xf numFmtId="0" fontId="0" fillId="0" borderId="0" pivotButton="0" quotePrefix="0" xfId="0"/>
    <xf numFmtId="0" fontId="7" fillId="0" borderId="0" pivotButton="0" quotePrefix="0" xfId="0"/>
    <xf numFmtId="2" fontId="1" fillId="0" borderId="29" pivotButton="0" quotePrefix="0" xfId="1"/>
    <xf numFmtId="0" fontId="18" fillId="0" borderId="0" applyAlignment="1" pivotButton="0" quotePrefix="0" xfId="0">
      <alignment horizontal="center"/>
    </xf>
    <xf numFmtId="0" fontId="7" fillId="0" borderId="0" pivotButton="0" quotePrefix="0" xfId="0"/>
    <xf numFmtId="0" fontId="19" fillId="0" borderId="0" applyAlignment="1" pivotButton="0" quotePrefix="0" xfId="0">
      <alignment horizontal="center" wrapText="1"/>
    </xf>
    <xf numFmtId="17" fontId="17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0" fontId="23" fillId="0" borderId="0" applyAlignment="1" pivotButton="0" quotePrefix="0" xfId="0">
      <alignment horizontal="center"/>
    </xf>
    <xf numFmtId="0" fontId="5" fillId="0" borderId="6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</cellXfs>
  <cellStyles count="11">
    <cellStyle name="Normal" xfId="0" builtinId="0"/>
    <cellStyle name="Comma" xfId="1" builtinId="3"/>
    <cellStyle name="Normal 2" xfId="2"/>
    <cellStyle name="Normal 3" xfId="3"/>
    <cellStyle name="Percent" xfId="4" builtinId="5"/>
    <cellStyle name="Normal 4" xfId="5"/>
    <cellStyle name="Normal 5" xfId="6"/>
    <cellStyle name="Percent 2" xfId="7"/>
    <cellStyle name="Normal 6" xfId="8"/>
    <cellStyle name="Normal 25" xfId="9"/>
    <cellStyle name="Normal 7" xfId="1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56744</colOff>
      <row>37</row>
      <rowOff>0</rowOff>
    </from>
    <to>
      <col>7</col>
      <colOff>836899</colOff>
      <row>41</row>
      <rowOff>90090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81999" y="6128426"/>
          <a:ext cx="780155" cy="706175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106365</colOff>
      <row>39</row>
      <rowOff>120804</rowOff>
    </from>
    <to>
      <col>7</col>
      <colOff>967840</colOff>
      <row>43</row>
      <rowOff>157976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95438" y="7768682"/>
          <a:ext cx="861475" cy="78058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167640</colOff>
      <row>19</row>
      <rowOff>121920</rowOff>
    </from>
    <to>
      <col>6</col>
      <colOff>875285</colOff>
      <row>22</row>
      <rowOff>115420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703820" y="374142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22860</colOff>
      <row>23</row>
      <rowOff>137160</rowOff>
    </from>
    <to>
      <col>6</col>
      <colOff>730505</colOff>
      <row>27</row>
      <rowOff>46840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520940" y="447294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J236"/>
  <sheetViews>
    <sheetView showGridLines="0" tabSelected="1" topLeftCell="A10" zoomScale="94" zoomScaleNormal="100" workbookViewId="0">
      <selection activeCell="C39" sqref="C39"/>
    </sheetView>
  </sheetViews>
  <sheetFormatPr baseColWidth="8" defaultColWidth="12.5546875" defaultRowHeight="15" customHeight="1"/>
  <cols>
    <col width="4.88671875" customWidth="1" style="139" min="1" max="1"/>
    <col width="52.44140625" customWidth="1" style="139" min="2" max="2"/>
    <col width="12.77734375" bestFit="1" customWidth="1" style="139" min="3" max="4"/>
    <col width="12.5546875" bestFit="1" customWidth="1" style="139" min="5" max="5"/>
    <col width="13.109375" bestFit="1" customWidth="1" style="139" min="6" max="6"/>
    <col width="12.88671875" customWidth="1" style="139" min="7" max="7"/>
    <col width="14" bestFit="1" customWidth="1" style="139" min="8" max="8"/>
    <col width="12.5546875" customWidth="1" style="139" min="9" max="10"/>
    <col width="12.5546875" customWidth="1" style="139" min="11" max="16384"/>
  </cols>
  <sheetData>
    <row r="1" ht="15" customHeight="1" s="135">
      <c r="B1" s="138" t="inlineStr">
        <is>
          <t>Posh Foods - Bawarchi Baba ( Sector 28 )</t>
        </is>
      </c>
      <c r="I1" s="6" t="n"/>
    </row>
    <row r="2" ht="16.5" customHeight="1" s="135">
      <c r="B2" s="140" t="inlineStr">
        <is>
          <t>Zomato Summary  - January - 2026</t>
        </is>
      </c>
    </row>
    <row r="3" ht="12" customHeight="1" s="135" thickBot="1">
      <c r="B3" s="141" t="n"/>
    </row>
    <row r="4" ht="15" customHeight="1" s="135" thickBot="1">
      <c r="B4" s="13" t="inlineStr">
        <is>
          <t>Details</t>
        </is>
      </c>
      <c r="C4" s="148" t="inlineStr">
        <is>
          <t>1st to 4th</t>
        </is>
      </c>
      <c r="D4" s="149" t="inlineStr">
        <is>
          <t>5th to 11th</t>
        </is>
      </c>
      <c r="E4" s="148" t="inlineStr">
        <is>
          <t>12th to 18th</t>
        </is>
      </c>
      <c r="F4" s="149" t="inlineStr">
        <is>
          <t>19th to 25th</t>
        </is>
      </c>
      <c r="G4" s="148" t="inlineStr">
        <is>
          <t>26th to 31st</t>
        </is>
      </c>
      <c r="H4" s="14" t="inlineStr">
        <is>
          <t>Total</t>
        </is>
      </c>
    </row>
    <row r="5" ht="12" customHeight="1" s="135">
      <c r="B5" s="15" t="n"/>
      <c r="C5" s="16" t="n"/>
      <c r="D5" s="17" t="n"/>
      <c r="E5" s="16" t="n"/>
      <c r="F5" s="17" t="n"/>
      <c r="G5" s="18" t="n"/>
      <c r="H5" s="16" t="n"/>
    </row>
    <row r="6" ht="12" customHeight="1" s="135">
      <c r="B6" s="15" t="inlineStr">
        <is>
          <t>No.of orders</t>
        </is>
      </c>
      <c r="C6" s="15" t="n">
        <v>196</v>
      </c>
      <c r="D6" s="15" t="n">
        <v>326</v>
      </c>
      <c r="E6" s="15" t="n">
        <v>283</v>
      </c>
      <c r="F6" s="15" t="n">
        <v>280</v>
      </c>
      <c r="G6" s="99" t="n">
        <v>231</v>
      </c>
      <c r="H6" s="96">
        <f>SUM(C6:G6)</f>
        <v/>
      </c>
    </row>
    <row r="7" ht="12" customHeight="1" s="135">
      <c r="B7" s="15" t="n"/>
      <c r="C7" s="96" t="n"/>
      <c r="D7" s="97" t="n"/>
      <c r="E7" s="96" t="n"/>
      <c r="F7" s="97" t="n"/>
      <c r="G7" s="98" t="n"/>
      <c r="H7" s="96" t="n"/>
    </row>
    <row r="8" ht="12" customHeight="1" s="135">
      <c r="B8" s="15" t="inlineStr">
        <is>
          <t>Total Income (Number that you see on Zomato dashboard)</t>
        </is>
      </c>
      <c r="C8" s="99">
        <f>Cashflow!C10</f>
        <v/>
      </c>
      <c r="D8" s="100">
        <f>Cashflow!D10</f>
        <v/>
      </c>
      <c r="E8" s="99">
        <f>Cashflow!E10</f>
        <v/>
      </c>
      <c r="F8" s="100">
        <f>Cashflow!F10</f>
        <v/>
      </c>
      <c r="G8" s="99">
        <f>Cashflow!G10</f>
        <v/>
      </c>
      <c r="H8" s="96">
        <f>SUM(C8:G8)</f>
        <v/>
      </c>
    </row>
    <row r="9" ht="12" customHeight="1" s="135">
      <c r="B9" s="15" t="n"/>
      <c r="C9" s="96" t="n"/>
      <c r="D9" s="97" t="n"/>
      <c r="E9" s="96" t="n"/>
      <c r="F9" s="97" t="n"/>
      <c r="G9" s="98" t="n"/>
      <c r="H9" s="96" t="n"/>
    </row>
    <row r="10" ht="12" customHeight="1" s="135">
      <c r="B10" s="19" t="inlineStr">
        <is>
          <t>Avg. order value</t>
        </is>
      </c>
      <c r="C10" s="137">
        <f>IFERROR(C8/C6,)</f>
        <v/>
      </c>
      <c r="D10" s="137">
        <f>IFERROR(D8/D6,)</f>
        <v/>
      </c>
      <c r="E10" s="137">
        <f>IFERROR(E8/E6,)</f>
        <v/>
      </c>
      <c r="F10" s="137">
        <f>IFERROR(F8/F6,)</f>
        <v/>
      </c>
      <c r="G10" s="137">
        <f>IFERROR(G8/G6,)</f>
        <v/>
      </c>
      <c r="H10" s="137">
        <f>IFERROR(H8/H6,)</f>
        <v/>
      </c>
      <c r="I10" s="150" t="n"/>
    </row>
    <row r="11" ht="12" customHeight="1" s="135">
      <c r="B11" s="15" t="n"/>
      <c r="C11" s="96" t="n"/>
      <c r="D11" s="97" t="n"/>
      <c r="E11" s="96" t="n"/>
      <c r="F11" s="97" t="n"/>
      <c r="G11" s="98" t="n"/>
      <c r="H11" s="96" t="n"/>
    </row>
    <row r="12" ht="12" customHeight="1" s="135">
      <c r="B12" s="15" t="inlineStr">
        <is>
          <t>No of disputed orders</t>
        </is>
      </c>
      <c r="C12" s="99" t="n">
        <v>0</v>
      </c>
      <c r="D12" s="100" t="n">
        <v>0</v>
      </c>
      <c r="E12" s="99" t="n">
        <v>0</v>
      </c>
      <c r="F12" s="100" t="n">
        <v>0</v>
      </c>
      <c r="G12" s="99" t="n">
        <v>0</v>
      </c>
      <c r="H12" s="99">
        <f>SUM(C12:G12)</f>
        <v/>
      </c>
    </row>
    <row r="13" ht="12" customHeight="1" s="135">
      <c r="B13" s="15" t="n"/>
      <c r="C13" s="99" t="n"/>
      <c r="D13" s="101" t="n"/>
      <c r="E13" s="99" t="n"/>
      <c r="F13" s="101" t="n"/>
      <c r="G13" s="102" t="n"/>
      <c r="H13" s="99" t="n"/>
    </row>
    <row r="14" ht="12" customHeight="1" s="135">
      <c r="B14" s="19" t="inlineStr">
        <is>
          <t>Refund amount for disputed orders</t>
        </is>
      </c>
      <c r="C14" s="103">
        <f>Cashflow!C18</f>
        <v/>
      </c>
      <c r="D14" s="103">
        <f>Cashflow!D18</f>
        <v/>
      </c>
      <c r="E14" s="103">
        <f>Cashflow!E18</f>
        <v/>
      </c>
      <c r="F14" s="103">
        <f>Cashflow!F18</f>
        <v/>
      </c>
      <c r="G14" s="103">
        <f>Cashflow!G18</f>
        <v/>
      </c>
      <c r="H14" s="104">
        <f>SUM(C14:G14)</f>
        <v/>
      </c>
    </row>
    <row r="15" ht="12" customHeight="1" s="135">
      <c r="B15" s="15" t="n"/>
      <c r="C15" s="99" t="n"/>
      <c r="D15" s="101" t="n"/>
      <c r="E15" s="99" t="n"/>
      <c r="F15" s="101" t="n"/>
      <c r="G15" s="102" t="n"/>
      <c r="H15" s="99" t="n"/>
    </row>
    <row r="16" ht="14.4" customHeight="1" s="135">
      <c r="B16" s="15" t="inlineStr">
        <is>
          <t>Discounts</t>
        </is>
      </c>
      <c r="C16" s="99">
        <f>Cashflow!C8</f>
        <v/>
      </c>
      <c r="D16" s="100">
        <f>Cashflow!D8</f>
        <v/>
      </c>
      <c r="E16" s="99">
        <f>Cashflow!E8</f>
        <v/>
      </c>
      <c r="F16" s="100">
        <f>Cashflow!F8</f>
        <v/>
      </c>
      <c r="G16" s="99">
        <f>Cashflow!G8</f>
        <v/>
      </c>
      <c r="H16" s="96">
        <f>SUM(C16:G16)</f>
        <v/>
      </c>
    </row>
    <row r="17" ht="15" customHeight="1" s="135">
      <c r="B17" s="15" t="n"/>
      <c r="C17" s="20">
        <f>IFERROR(C16/C8,)</f>
        <v/>
      </c>
      <c r="D17" s="20">
        <f>IFERROR(D16/D8,)</f>
        <v/>
      </c>
      <c r="E17" s="20">
        <f>IFERROR(E16/E8,)</f>
        <v/>
      </c>
      <c r="F17" s="20">
        <f>IFERROR(F16/F8,)</f>
        <v/>
      </c>
      <c r="G17" s="20">
        <f>IFERROR(G16/G8,)</f>
        <v/>
      </c>
      <c r="H17" s="20">
        <f>IFERROR(H16/H8,)</f>
        <v/>
      </c>
    </row>
    <row r="18" ht="15" customHeight="1" s="135">
      <c r="B18" s="115" t="n"/>
      <c r="D18" s="115" t="n"/>
      <c r="F18" s="115" t="n"/>
      <c r="H18" s="115" t="n"/>
    </row>
    <row r="19" ht="12" customHeight="1" s="135">
      <c r="B19" s="15" t="inlineStr">
        <is>
          <t>Commisonable Amount</t>
        </is>
      </c>
      <c r="C19" s="116" t="n">
        <v>46804.50000000009</v>
      </c>
      <c r="D19" s="116" t="n">
        <v>77643.05000000025</v>
      </c>
      <c r="E19" s="116" t="n">
        <v>68111.95000000022</v>
      </c>
      <c r="F19" s="116" t="n">
        <v>67820.60000000014</v>
      </c>
      <c r="G19" s="116" t="n">
        <v>57569.50000000011</v>
      </c>
      <c r="H19" s="104">
        <f>SUM(C19:G19)</f>
        <v/>
      </c>
    </row>
    <row r="20" ht="17.4" customHeight="1" s="135">
      <c r="B20" s="25" t="inlineStr">
        <is>
          <t>Commission</t>
        </is>
      </c>
      <c r="C20" s="105">
        <f>Cashflow!C11</f>
        <v/>
      </c>
      <c r="D20" s="106">
        <f>Cashflow!D11</f>
        <v/>
      </c>
      <c r="E20" s="105">
        <f>Cashflow!E11</f>
        <v/>
      </c>
      <c r="F20" s="106">
        <f>Cashflow!F11</f>
        <v/>
      </c>
      <c r="G20" s="105">
        <f>Cashflow!G11</f>
        <v/>
      </c>
      <c r="H20" s="96">
        <f>SUM(C20:G20)</f>
        <v/>
      </c>
      <c r="J20" s="2" t="n"/>
    </row>
    <row r="21" ht="19.2" customHeight="1" s="135">
      <c r="B21" s="19" t="inlineStr">
        <is>
          <t>(Calculated on Sales + GST)</t>
        </is>
      </c>
      <c r="C21" s="26">
        <f>IFERROR(C20/C19,)</f>
        <v/>
      </c>
      <c r="D21" s="26">
        <f>IFERROR(D20/D19,)</f>
        <v/>
      </c>
      <c r="E21" s="26">
        <f>IFERROR(E20/E19,)</f>
        <v/>
      </c>
      <c r="F21" s="26">
        <f>IFERROR(F20/F19,)</f>
        <v/>
      </c>
      <c r="G21" s="26">
        <f>IFERROR(G20/G19,)</f>
        <v/>
      </c>
      <c r="H21" s="26">
        <f>IFERROR(H20/H19,)</f>
        <v/>
      </c>
      <c r="J21" s="3" t="n"/>
    </row>
    <row r="22" ht="12" customHeight="1" s="135">
      <c r="B22" s="15" t="n"/>
      <c r="C22" s="151" t="n"/>
      <c r="D22" s="152" t="n"/>
      <c r="E22" s="151" t="n"/>
      <c r="F22" s="152" t="n"/>
      <c r="G22" s="153" t="n"/>
      <c r="H22" s="151" t="n"/>
      <c r="J22" s="3" t="n"/>
    </row>
    <row r="23" ht="12" customHeight="1" s="135">
      <c r="B23" s="19" t="inlineStr">
        <is>
          <t>Marketing &amp; Ads</t>
        </is>
      </c>
      <c r="C23" s="103">
        <f>Cashflow!C21</f>
        <v/>
      </c>
      <c r="D23" s="107">
        <f>Cashflow!D21</f>
        <v/>
      </c>
      <c r="E23" s="103">
        <f>Cashflow!E21</f>
        <v/>
      </c>
      <c r="F23" s="107">
        <f>Cashflow!F21</f>
        <v/>
      </c>
      <c r="G23" s="103">
        <f>Cashflow!G21</f>
        <v/>
      </c>
      <c r="H23" s="95">
        <f>SUM(C23:G23)</f>
        <v/>
      </c>
    </row>
    <row r="24" ht="13.8" customHeight="1" s="135">
      <c r="B24" s="15" t="n"/>
      <c r="C24" s="21">
        <f>IFERROR(C23/C8,)</f>
        <v/>
      </c>
      <c r="D24" s="21">
        <f>IFERROR(D23/D8,)</f>
        <v/>
      </c>
      <c r="E24" s="21">
        <f>IFERROR(E23/E8,)</f>
        <v/>
      </c>
      <c r="F24" s="21">
        <f>IFERROR(F23/F8,)</f>
        <v/>
      </c>
      <c r="G24" s="21">
        <f>IFERROR(G23/G8,)</f>
        <v/>
      </c>
      <c r="H24" s="21">
        <f>IFERROR(H23/H8,)</f>
        <v/>
      </c>
    </row>
    <row r="25" ht="12" customHeight="1" s="135">
      <c r="B25" s="15" t="n"/>
      <c r="C25" s="22" t="n"/>
      <c r="D25" s="23" t="n"/>
      <c r="E25" s="22" t="n"/>
      <c r="F25" s="23" t="n"/>
      <c r="G25" s="24" t="n"/>
      <c r="H25" s="22" t="n"/>
    </row>
    <row r="26" ht="8.4" customHeight="1" s="135">
      <c r="B26" s="15" t="n"/>
      <c r="C26" s="27" t="n"/>
      <c r="D26" s="28" t="n"/>
      <c r="E26" s="29" t="n"/>
      <c r="F26" s="28" t="n"/>
      <c r="G26" s="27" t="n"/>
      <c r="H26" s="22" t="n"/>
    </row>
    <row r="27" ht="15" customHeight="1" s="135">
      <c r="B27" s="30" t="inlineStr">
        <is>
          <t>Other charges &amp; Tax Adjustments</t>
        </is>
      </c>
      <c r="C27" s="108">
        <f>Cashflow!C13+Cashflow!C26</f>
        <v/>
      </c>
      <c r="D27" s="109">
        <f>Cashflow!D13+Cashflow!D26</f>
        <v/>
      </c>
      <c r="E27" s="108">
        <f>Cashflow!E13+Cashflow!E26</f>
        <v/>
      </c>
      <c r="F27" s="109">
        <f>Cashflow!F13+Cashflow!F26</f>
        <v/>
      </c>
      <c r="G27" s="108">
        <f>Cashflow!G13+Cashflow!G26</f>
        <v/>
      </c>
      <c r="H27" s="110">
        <f>SUM(C27:G27)</f>
        <v/>
      </c>
    </row>
    <row r="28" ht="15.6" customHeight="1" s="135">
      <c r="B28" s="15" t="n"/>
      <c r="C28" s="31">
        <f>IFERROR(C27/C8,)</f>
        <v/>
      </c>
      <c r="D28" s="31">
        <f>IFERROR(D27/D8,)</f>
        <v/>
      </c>
      <c r="E28" s="31">
        <f>IFERROR(E27/E8,)</f>
        <v/>
      </c>
      <c r="F28" s="31">
        <f>IFERROR(F27/F8,)</f>
        <v/>
      </c>
      <c r="G28" s="31">
        <f>IFERROR(G27/G8,)</f>
        <v/>
      </c>
      <c r="H28" s="31">
        <f>IFERROR(H27/H8,)</f>
        <v/>
      </c>
    </row>
    <row r="29" ht="3" customHeight="1" s="135">
      <c r="B29" s="15" t="n"/>
      <c r="C29" s="31" t="n"/>
      <c r="D29" s="32" t="n"/>
      <c r="E29" s="31" t="n"/>
      <c r="F29" s="32" t="n"/>
      <c r="G29" s="31" t="n"/>
      <c r="H29" s="21" t="n"/>
    </row>
    <row r="30" ht="12" customHeight="1" s="135">
      <c r="B30" s="15" t="n"/>
      <c r="C30" s="154" t="n"/>
      <c r="D30" s="152" t="n"/>
      <c r="E30" s="154" t="n"/>
      <c r="F30" s="152" t="n"/>
      <c r="G30" s="153" t="n"/>
      <c r="H30" s="151" t="n"/>
    </row>
    <row r="31" ht="12" customFormat="1" customHeight="1" s="139">
      <c r="B31" s="15" t="n"/>
      <c r="C31" s="154" t="n"/>
      <c r="D31" s="152" t="n"/>
      <c r="E31" s="154" t="n"/>
      <c r="F31" s="152" t="n"/>
      <c r="G31" s="153" t="n"/>
      <c r="H31" s="151" t="n"/>
    </row>
    <row r="32" ht="12" customHeight="1" s="135">
      <c r="B32" s="15" t="inlineStr">
        <is>
          <t>Zomato Hyperpure Adjustments</t>
        </is>
      </c>
      <c r="C32" s="96">
        <f>Cashflow!C36</f>
        <v/>
      </c>
      <c r="D32" s="96">
        <f>Cashflow!D36</f>
        <v/>
      </c>
      <c r="E32" s="96">
        <f>Cashflow!E36</f>
        <v/>
      </c>
      <c r="F32" s="96">
        <f>Cashflow!F36</f>
        <v/>
      </c>
      <c r="G32" s="96">
        <f>Cashflow!G36</f>
        <v/>
      </c>
      <c r="H32" s="96">
        <f>SUM(C32:G32)</f>
        <v/>
      </c>
    </row>
    <row r="33" ht="2.4" customHeight="1" s="135">
      <c r="B33" s="15" t="n"/>
      <c r="C33" s="96" t="n"/>
      <c r="D33" s="114" t="n"/>
      <c r="E33" s="96" t="n"/>
      <c r="F33" s="114" t="n"/>
      <c r="G33" s="96" t="n"/>
      <c r="H33" s="96" t="n"/>
    </row>
    <row r="34" ht="12" customHeight="1" s="135">
      <c r="B34" s="15" t="n"/>
      <c r="C34" s="96" t="n"/>
      <c r="D34" s="97" t="n"/>
      <c r="E34" s="96" t="n"/>
      <c r="F34" s="97" t="n"/>
      <c r="G34" s="98" t="n"/>
      <c r="H34" s="99" t="n"/>
    </row>
    <row r="35" ht="12" customHeight="1" s="135">
      <c r="B35" s="15" t="inlineStr">
        <is>
          <t>Money received</t>
        </is>
      </c>
      <c r="C35" s="96">
        <f>C8-C14-C20-C23-C27-C32</f>
        <v/>
      </c>
      <c r="D35" s="96">
        <f>D8-D14-D20-D23-D27-D32</f>
        <v/>
      </c>
      <c r="E35" s="96">
        <f>E8-E14-E20-E23-E27-E32</f>
        <v/>
      </c>
      <c r="F35" s="96">
        <f>F8-F14-F20-F23-F27-F32+Cashflow!F31</f>
        <v/>
      </c>
      <c r="G35" s="96">
        <f>G8-G14-G20-G23-G27-G32</f>
        <v/>
      </c>
      <c r="H35" s="96">
        <f>SUM(C35:G35)</f>
        <v/>
      </c>
      <c r="J35" s="4" t="n"/>
    </row>
    <row r="36" ht="17.25" customHeight="1" s="135" thickBot="1">
      <c r="B36" s="33" t="n"/>
      <c r="C36" s="34">
        <f>IFERROR(C35/$C$8,)</f>
        <v/>
      </c>
      <c r="D36" s="35">
        <f>IFERROR(D35/$D$8,)</f>
        <v/>
      </c>
      <c r="E36" s="34">
        <f>IFERROR(E35/$E$8,)</f>
        <v/>
      </c>
      <c r="F36" s="35">
        <f>IFERROR(F35/F8,)</f>
        <v/>
      </c>
      <c r="G36" s="34">
        <f>IFERROR(G35/G8,)</f>
        <v/>
      </c>
      <c r="H36" s="34">
        <f>IFERROR(H35/H8,)</f>
        <v/>
      </c>
      <c r="J36" s="4" t="n"/>
    </row>
    <row r="37" ht="12" customHeight="1" s="135">
      <c r="B37" s="5" t="n"/>
    </row>
    <row r="38" ht="12" customHeight="1" s="135">
      <c r="B38" s="9" t="n"/>
    </row>
    <row r="39" ht="12" customHeight="1" s="135">
      <c r="B39" s="10" t="n"/>
      <c r="C39" s="1" t="n"/>
    </row>
    <row r="40" ht="12" customHeight="1" s="135">
      <c r="B40" s="10" t="n"/>
      <c r="C40" s="4" t="n"/>
    </row>
    <row r="41" ht="12" customHeight="1" s="135"/>
    <row r="42" ht="12" customHeight="1" s="135">
      <c r="B42" s="5" t="n"/>
    </row>
    <row r="43" ht="12" customHeight="1" s="135">
      <c r="B43" s="5" t="n"/>
    </row>
    <row r="44" ht="12" customHeight="1" s="135">
      <c r="B44" s="5" t="n"/>
    </row>
    <row r="45" ht="12" customHeight="1" s="135">
      <c r="B45" s="5" t="n"/>
    </row>
    <row r="46" ht="12" customHeight="1" s="135">
      <c r="B46" s="5" t="n"/>
    </row>
    <row r="47" ht="12" customHeight="1" s="135">
      <c r="B47" s="5" t="n"/>
    </row>
    <row r="48" ht="12" customHeight="1" s="135">
      <c r="B48" s="5" t="n"/>
    </row>
    <row r="49" ht="12" customHeight="1" s="135">
      <c r="B49" s="5" t="n"/>
    </row>
    <row r="50" ht="12" customHeight="1" s="135">
      <c r="B50" s="5" t="n"/>
    </row>
    <row r="51" ht="12" customHeight="1" s="135">
      <c r="B51" s="5" t="n"/>
    </row>
    <row r="52" ht="12" customHeight="1" s="135">
      <c r="B52" s="5" t="n"/>
    </row>
    <row r="53" ht="12" customHeight="1" s="135">
      <c r="B53" s="5" t="n"/>
    </row>
    <row r="54" ht="12" customHeight="1" s="135">
      <c r="B54" s="5" t="n"/>
    </row>
    <row r="55" ht="12" customHeight="1" s="135">
      <c r="B55" s="5" t="n"/>
    </row>
    <row r="56" ht="12" customHeight="1" s="135">
      <c r="B56" s="5" t="n"/>
    </row>
    <row r="57" ht="12" customHeight="1" s="135">
      <c r="B57" s="5" t="n"/>
    </row>
    <row r="58" ht="12" customHeight="1" s="135">
      <c r="B58" s="5" t="n"/>
    </row>
    <row r="59" ht="12" customHeight="1" s="135">
      <c r="B59" s="5" t="n"/>
    </row>
    <row r="60" ht="12" customHeight="1" s="135">
      <c r="B60" s="5" t="n"/>
    </row>
    <row r="61" ht="12" customHeight="1" s="135">
      <c r="B61" s="5" t="n"/>
    </row>
    <row r="62" ht="12" customHeight="1" s="135">
      <c r="B62" s="5" t="n"/>
    </row>
    <row r="63" ht="12" customHeight="1" s="135">
      <c r="B63" s="5" t="n"/>
    </row>
    <row r="64" ht="12" customHeight="1" s="135">
      <c r="B64" s="5" t="n"/>
    </row>
    <row r="65" ht="12" customHeight="1" s="135">
      <c r="B65" s="5" t="n"/>
    </row>
    <row r="66" ht="12" customHeight="1" s="135">
      <c r="B66" s="5" t="n"/>
    </row>
    <row r="67" ht="12" customHeight="1" s="135">
      <c r="B67" s="5" t="n"/>
    </row>
    <row r="68" ht="12" customHeight="1" s="135">
      <c r="B68" s="5" t="n"/>
    </row>
    <row r="69" ht="12" customHeight="1" s="135">
      <c r="B69" s="5" t="n"/>
    </row>
    <row r="70" ht="12" customHeight="1" s="135">
      <c r="B70" s="5" t="n"/>
    </row>
    <row r="71" ht="12" customHeight="1" s="135">
      <c r="B71" s="5" t="n"/>
    </row>
    <row r="72" ht="12" customHeight="1" s="135">
      <c r="B72" s="5" t="n"/>
    </row>
    <row r="73" ht="12" customHeight="1" s="135">
      <c r="B73" s="5" t="n"/>
    </row>
    <row r="74" ht="12" customHeight="1" s="135">
      <c r="B74" s="5" t="n"/>
    </row>
    <row r="75" ht="12" customHeight="1" s="135">
      <c r="B75" s="5" t="n"/>
    </row>
    <row r="76" ht="12" customHeight="1" s="135">
      <c r="B76" s="5" t="n"/>
    </row>
    <row r="77" ht="12" customHeight="1" s="135">
      <c r="B77" s="5" t="n"/>
    </row>
    <row r="78" ht="12" customHeight="1" s="135">
      <c r="B78" s="5" t="n"/>
    </row>
    <row r="79" ht="12" customHeight="1" s="135">
      <c r="B79" s="5" t="n"/>
    </row>
    <row r="80" ht="12" customHeight="1" s="135">
      <c r="B80" s="5" t="n"/>
    </row>
    <row r="81" ht="12" customHeight="1" s="135">
      <c r="B81" s="5" t="n"/>
    </row>
    <row r="82" ht="12" customHeight="1" s="135">
      <c r="B82" s="5" t="n"/>
    </row>
    <row r="83" ht="12" customHeight="1" s="135">
      <c r="B83" s="5" t="n"/>
    </row>
    <row r="84" ht="12" customHeight="1" s="135">
      <c r="B84" s="5" t="n"/>
    </row>
    <row r="85" ht="12" customHeight="1" s="135">
      <c r="B85" s="5" t="n"/>
    </row>
    <row r="86" ht="12" customHeight="1" s="135">
      <c r="B86" s="5" t="n"/>
    </row>
    <row r="87" ht="12" customHeight="1" s="135">
      <c r="B87" s="5" t="n"/>
    </row>
    <row r="88" ht="12" customHeight="1" s="135">
      <c r="B88" s="5" t="n"/>
    </row>
    <row r="89" ht="12" customHeight="1" s="135">
      <c r="B89" s="5" t="n"/>
    </row>
    <row r="90" ht="12" customHeight="1" s="135">
      <c r="B90" s="5" t="n"/>
    </row>
    <row r="91" ht="12" customHeight="1" s="135">
      <c r="B91" s="5" t="n"/>
    </row>
    <row r="92" ht="12" customHeight="1" s="135">
      <c r="B92" s="5" t="n"/>
    </row>
    <row r="93" ht="12" customHeight="1" s="135">
      <c r="B93" s="5" t="n"/>
    </row>
    <row r="94" ht="12" customHeight="1" s="135">
      <c r="B94" s="5" t="n"/>
    </row>
    <row r="95" ht="12" customHeight="1" s="135">
      <c r="B95" s="5" t="n"/>
    </row>
    <row r="96" ht="12" customHeight="1" s="135">
      <c r="B96" s="5" t="n"/>
    </row>
    <row r="97" ht="12" customHeight="1" s="135">
      <c r="B97" s="5" t="n"/>
    </row>
    <row r="98" ht="12" customHeight="1" s="135">
      <c r="B98" s="5" t="n"/>
    </row>
    <row r="99" ht="12" customHeight="1" s="135">
      <c r="B99" s="5" t="n"/>
    </row>
    <row r="100" ht="12" customHeight="1" s="135">
      <c r="B100" s="5" t="n"/>
    </row>
    <row r="101" ht="12" customHeight="1" s="135">
      <c r="B101" s="5" t="n"/>
    </row>
    <row r="102" ht="12" customHeight="1" s="135">
      <c r="B102" s="5" t="n"/>
    </row>
    <row r="103" ht="12" customHeight="1" s="135">
      <c r="B103" s="5" t="n"/>
    </row>
    <row r="104" ht="12" customHeight="1" s="135">
      <c r="B104" s="5" t="n"/>
    </row>
    <row r="105" ht="12" customHeight="1" s="135">
      <c r="B105" s="5" t="n"/>
    </row>
    <row r="106" ht="12" customHeight="1" s="135">
      <c r="B106" s="5" t="n"/>
    </row>
    <row r="107" ht="12" customHeight="1" s="135">
      <c r="B107" s="5" t="n"/>
    </row>
    <row r="108" ht="12" customHeight="1" s="135">
      <c r="B108" s="5" t="n"/>
    </row>
    <row r="109" ht="12" customHeight="1" s="135">
      <c r="B109" s="5" t="n"/>
    </row>
    <row r="110" ht="12" customHeight="1" s="135">
      <c r="B110" s="5" t="n"/>
    </row>
    <row r="111" ht="12" customHeight="1" s="135">
      <c r="B111" s="5" t="n"/>
    </row>
    <row r="112" ht="12" customHeight="1" s="135">
      <c r="B112" s="5" t="n"/>
    </row>
    <row r="113" ht="12" customHeight="1" s="135">
      <c r="B113" s="5" t="n"/>
    </row>
    <row r="114" ht="12" customHeight="1" s="135">
      <c r="B114" s="5" t="n"/>
    </row>
    <row r="115" ht="12" customHeight="1" s="135">
      <c r="B115" s="5" t="n"/>
    </row>
    <row r="116" ht="12" customHeight="1" s="135">
      <c r="B116" s="5" t="n"/>
    </row>
    <row r="117" ht="12" customHeight="1" s="135">
      <c r="B117" s="5" t="n"/>
    </row>
    <row r="118" ht="12" customHeight="1" s="135">
      <c r="B118" s="5" t="n"/>
    </row>
    <row r="119" ht="12" customHeight="1" s="135">
      <c r="B119" s="5" t="n"/>
    </row>
    <row r="120" ht="12" customHeight="1" s="135">
      <c r="B120" s="5" t="n"/>
    </row>
    <row r="121" ht="12" customHeight="1" s="135">
      <c r="B121" s="5" t="n"/>
    </row>
    <row r="122" ht="12" customHeight="1" s="135">
      <c r="B122" s="5" t="n"/>
    </row>
    <row r="123" ht="12" customHeight="1" s="135">
      <c r="B123" s="5" t="n"/>
    </row>
    <row r="124" ht="12" customHeight="1" s="135">
      <c r="B124" s="5" t="n"/>
    </row>
    <row r="125" ht="12" customHeight="1" s="135">
      <c r="B125" s="5" t="n"/>
    </row>
    <row r="126" ht="12" customHeight="1" s="135">
      <c r="B126" s="5" t="n"/>
    </row>
    <row r="127" ht="12" customHeight="1" s="135">
      <c r="B127" s="5" t="n"/>
    </row>
    <row r="128" ht="12" customHeight="1" s="135">
      <c r="B128" s="5" t="n"/>
    </row>
    <row r="129" ht="12" customHeight="1" s="135">
      <c r="B129" s="5" t="n"/>
    </row>
    <row r="130" ht="12" customHeight="1" s="135">
      <c r="B130" s="5" t="n"/>
    </row>
    <row r="131" ht="12" customHeight="1" s="135">
      <c r="B131" s="5" t="n"/>
    </row>
    <row r="132" ht="12" customHeight="1" s="135">
      <c r="B132" s="5" t="n"/>
    </row>
    <row r="133" ht="12" customHeight="1" s="135">
      <c r="B133" s="5" t="n"/>
    </row>
    <row r="134" ht="12" customHeight="1" s="135">
      <c r="B134" s="5" t="n"/>
    </row>
    <row r="135" ht="12" customHeight="1" s="135">
      <c r="B135" s="5" t="n"/>
    </row>
    <row r="136" ht="12" customHeight="1" s="135">
      <c r="B136" s="5" t="n"/>
    </row>
    <row r="137" ht="12" customHeight="1" s="135">
      <c r="B137" s="5" t="n"/>
    </row>
    <row r="138" ht="12" customHeight="1" s="135">
      <c r="B138" s="5" t="n"/>
    </row>
    <row r="139" ht="12" customHeight="1" s="135">
      <c r="B139" s="5" t="n"/>
    </row>
    <row r="140" ht="12" customHeight="1" s="135">
      <c r="B140" s="5" t="n"/>
    </row>
    <row r="141" ht="12" customHeight="1" s="135">
      <c r="B141" s="5" t="n"/>
    </row>
    <row r="142" ht="12" customHeight="1" s="135">
      <c r="B142" s="5" t="n"/>
    </row>
    <row r="143" ht="12" customHeight="1" s="135">
      <c r="B143" s="5" t="n"/>
    </row>
    <row r="144" ht="12" customHeight="1" s="135">
      <c r="B144" s="5" t="n"/>
    </row>
    <row r="145" ht="12" customHeight="1" s="135">
      <c r="B145" s="5" t="n"/>
    </row>
    <row r="146" ht="12" customHeight="1" s="135">
      <c r="B146" s="5" t="n"/>
    </row>
    <row r="147" ht="12" customHeight="1" s="135">
      <c r="B147" s="5" t="n"/>
    </row>
    <row r="148" ht="12" customHeight="1" s="135">
      <c r="B148" s="5" t="n"/>
    </row>
    <row r="149" ht="12" customHeight="1" s="135">
      <c r="B149" s="5" t="n"/>
    </row>
    <row r="150" ht="12" customHeight="1" s="135">
      <c r="B150" s="5" t="n"/>
    </row>
    <row r="151" ht="12" customHeight="1" s="135">
      <c r="B151" s="5" t="n"/>
    </row>
    <row r="152" ht="12" customHeight="1" s="135">
      <c r="B152" s="5" t="n"/>
    </row>
    <row r="153" ht="12" customHeight="1" s="135">
      <c r="B153" s="5" t="n"/>
    </row>
    <row r="154" ht="12" customHeight="1" s="135">
      <c r="B154" s="5" t="n"/>
    </row>
    <row r="155" ht="12" customHeight="1" s="135">
      <c r="B155" s="5" t="n"/>
    </row>
    <row r="156" ht="12" customHeight="1" s="135">
      <c r="B156" s="5" t="n"/>
    </row>
    <row r="157" ht="12" customHeight="1" s="135">
      <c r="B157" s="5" t="n"/>
    </row>
    <row r="158" ht="12" customHeight="1" s="135">
      <c r="B158" s="5" t="n"/>
    </row>
    <row r="159" ht="12" customHeight="1" s="135">
      <c r="B159" s="5" t="n"/>
    </row>
    <row r="160" ht="12" customHeight="1" s="135">
      <c r="B160" s="5" t="n"/>
    </row>
    <row r="161" ht="12" customHeight="1" s="135">
      <c r="B161" s="5" t="n"/>
    </row>
    <row r="162" ht="12" customHeight="1" s="135">
      <c r="B162" s="5" t="n"/>
    </row>
    <row r="163" ht="12" customHeight="1" s="135">
      <c r="B163" s="5" t="n"/>
    </row>
    <row r="164" ht="12" customHeight="1" s="135">
      <c r="B164" s="5" t="n"/>
    </row>
    <row r="165" ht="12" customHeight="1" s="135">
      <c r="B165" s="5" t="n"/>
    </row>
    <row r="166" ht="12" customHeight="1" s="135">
      <c r="B166" s="5" t="n"/>
    </row>
    <row r="167" ht="12" customHeight="1" s="135">
      <c r="B167" s="5" t="n"/>
    </row>
    <row r="168" ht="12" customHeight="1" s="135">
      <c r="B168" s="5" t="n"/>
    </row>
    <row r="169" ht="12" customHeight="1" s="135">
      <c r="B169" s="5" t="n"/>
    </row>
    <row r="170" ht="12" customHeight="1" s="135">
      <c r="B170" s="5" t="n"/>
    </row>
    <row r="171" ht="12" customHeight="1" s="135">
      <c r="B171" s="5" t="n"/>
    </row>
    <row r="172" ht="12" customHeight="1" s="135">
      <c r="B172" s="5" t="n"/>
    </row>
    <row r="173" ht="12" customHeight="1" s="135">
      <c r="B173" s="5" t="n"/>
    </row>
    <row r="174" ht="12" customHeight="1" s="135">
      <c r="B174" s="5" t="n"/>
    </row>
    <row r="175" ht="12" customHeight="1" s="135">
      <c r="B175" s="5" t="n"/>
    </row>
    <row r="176" ht="12" customHeight="1" s="135">
      <c r="B176" s="5" t="n"/>
    </row>
    <row r="177" ht="12" customHeight="1" s="135">
      <c r="B177" s="5" t="n"/>
    </row>
    <row r="178" ht="12" customHeight="1" s="135">
      <c r="B178" s="5" t="n"/>
    </row>
    <row r="179" ht="12" customHeight="1" s="135">
      <c r="B179" s="5" t="n"/>
    </row>
    <row r="180" ht="12" customHeight="1" s="135">
      <c r="B180" s="5" t="n"/>
    </row>
    <row r="181" ht="12" customHeight="1" s="135">
      <c r="B181" s="5" t="n"/>
    </row>
    <row r="182" ht="12" customHeight="1" s="135">
      <c r="B182" s="5" t="n"/>
    </row>
    <row r="183" ht="12" customHeight="1" s="135">
      <c r="B183" s="5" t="n"/>
    </row>
    <row r="184" ht="12" customHeight="1" s="135">
      <c r="B184" s="5" t="n"/>
    </row>
    <row r="185" ht="12" customHeight="1" s="135">
      <c r="B185" s="5" t="n"/>
    </row>
    <row r="186" ht="12" customHeight="1" s="135">
      <c r="B186" s="5" t="n"/>
    </row>
    <row r="187" ht="12" customHeight="1" s="135">
      <c r="B187" s="5" t="n"/>
    </row>
    <row r="188" ht="12" customHeight="1" s="135">
      <c r="B188" s="5" t="n"/>
    </row>
    <row r="189" ht="12" customHeight="1" s="135">
      <c r="B189" s="5" t="n"/>
    </row>
    <row r="190" ht="12" customHeight="1" s="135">
      <c r="B190" s="5" t="n"/>
    </row>
    <row r="191" ht="12" customHeight="1" s="135">
      <c r="B191" s="5" t="n"/>
    </row>
    <row r="192" ht="12" customHeight="1" s="135">
      <c r="B192" s="5" t="n"/>
    </row>
    <row r="193" ht="12" customHeight="1" s="135">
      <c r="B193" s="5" t="n"/>
    </row>
    <row r="194" ht="12" customHeight="1" s="135">
      <c r="B194" s="5" t="n"/>
    </row>
    <row r="195" ht="12" customHeight="1" s="135">
      <c r="B195" s="5" t="n"/>
    </row>
    <row r="196" ht="12" customHeight="1" s="135">
      <c r="B196" s="5" t="n"/>
    </row>
    <row r="197" ht="12" customHeight="1" s="135">
      <c r="B197" s="5" t="n"/>
    </row>
    <row r="198" ht="12" customHeight="1" s="135">
      <c r="B198" s="5" t="n"/>
    </row>
    <row r="199" ht="12" customHeight="1" s="135">
      <c r="B199" s="5" t="n"/>
    </row>
    <row r="200" ht="12" customHeight="1" s="135">
      <c r="B200" s="5" t="n"/>
    </row>
    <row r="201" ht="12" customHeight="1" s="135">
      <c r="B201" s="5" t="n"/>
    </row>
    <row r="202" ht="12" customHeight="1" s="135">
      <c r="B202" s="5" t="n"/>
    </row>
    <row r="203" ht="12" customHeight="1" s="135">
      <c r="B203" s="5" t="n"/>
    </row>
    <row r="204" ht="12" customHeight="1" s="135">
      <c r="B204" s="5" t="n"/>
    </row>
    <row r="205" ht="12" customHeight="1" s="135">
      <c r="B205" s="5" t="n"/>
    </row>
    <row r="206" ht="12" customHeight="1" s="135">
      <c r="B206" s="5" t="n"/>
    </row>
    <row r="207" ht="12" customHeight="1" s="135">
      <c r="B207" s="5" t="n"/>
    </row>
    <row r="208" ht="12" customHeight="1" s="135">
      <c r="B208" s="5" t="n"/>
    </row>
    <row r="209" ht="12" customHeight="1" s="135">
      <c r="B209" s="5" t="n"/>
    </row>
    <row r="210" ht="12" customHeight="1" s="135">
      <c r="B210" s="5" t="n"/>
    </row>
    <row r="211" ht="12" customHeight="1" s="135">
      <c r="B211" s="5" t="n"/>
    </row>
    <row r="212" ht="12" customHeight="1" s="135">
      <c r="B212" s="5" t="n"/>
    </row>
    <row r="213" ht="12" customHeight="1" s="135">
      <c r="B213" s="5" t="n"/>
    </row>
    <row r="214" ht="12" customHeight="1" s="135">
      <c r="B214" s="5" t="n"/>
    </row>
    <row r="215" ht="12" customHeight="1" s="135">
      <c r="B215" s="5" t="n"/>
    </row>
    <row r="216" ht="12" customHeight="1" s="135">
      <c r="B216" s="5" t="n"/>
    </row>
    <row r="217" ht="12" customHeight="1" s="135">
      <c r="B217" s="5" t="n"/>
    </row>
    <row r="218" ht="12" customHeight="1" s="135">
      <c r="B218" s="5" t="n"/>
    </row>
    <row r="219" ht="12" customHeight="1" s="135">
      <c r="B219" s="5" t="n"/>
    </row>
    <row r="220" ht="12" customHeight="1" s="135">
      <c r="B220" s="5" t="n"/>
    </row>
    <row r="221" ht="12" customHeight="1" s="135">
      <c r="B221" s="5" t="n"/>
    </row>
    <row r="222" ht="12" customHeight="1" s="135">
      <c r="B222" s="5" t="n"/>
    </row>
    <row r="223" ht="12" customHeight="1" s="135">
      <c r="B223" s="5" t="n"/>
    </row>
    <row r="224" ht="12" customHeight="1" s="135">
      <c r="B224" s="5" t="n"/>
    </row>
    <row r="225" ht="12" customHeight="1" s="135">
      <c r="B225" s="5" t="n"/>
    </row>
    <row r="226" ht="12" customHeight="1" s="135">
      <c r="B226" s="5" t="n"/>
    </row>
    <row r="227" ht="12" customHeight="1" s="135">
      <c r="B227" s="5" t="n"/>
    </row>
    <row r="228" ht="12" customHeight="1" s="135">
      <c r="B228" s="5" t="n"/>
    </row>
    <row r="229" ht="12" customHeight="1" s="135">
      <c r="B229" s="5" t="n"/>
    </row>
    <row r="230" ht="12" customHeight="1" s="135">
      <c r="B230" s="5" t="n"/>
    </row>
    <row r="231" ht="12" customHeight="1" s="135">
      <c r="B231" s="5" t="n"/>
    </row>
    <row r="232" ht="12" customHeight="1" s="135">
      <c r="B232" s="5" t="n"/>
    </row>
    <row r="233" ht="12" customHeight="1" s="135">
      <c r="B233" s="5" t="n"/>
    </row>
    <row r="234" ht="12" customHeight="1" s="135">
      <c r="B234" s="5" t="n"/>
    </row>
    <row r="235" ht="12" customHeight="1" s="135">
      <c r="B235" s="5" t="n"/>
    </row>
    <row r="236" ht="12" customHeight="1" s="135">
      <c r="B236" s="5" t="n"/>
    </row>
    <row r="237" ht="12" customHeight="1" s="135"/>
    <row r="238" ht="12" customHeight="1" s="135"/>
    <row r="239" ht="12" customHeight="1" s="135"/>
    <row r="240" ht="12" customHeight="1" s="135"/>
    <row r="241" ht="12" customHeight="1" s="135"/>
    <row r="242" ht="12" customHeight="1" s="135"/>
    <row r="243" ht="12" customHeight="1" s="135"/>
    <row r="244" ht="12" customHeight="1" s="135"/>
    <row r="245" ht="12" customHeight="1" s="135"/>
    <row r="246" ht="12" customHeight="1" s="135"/>
    <row r="247" ht="12" customHeight="1" s="135"/>
    <row r="248" ht="13.8" customHeight="1" s="135"/>
    <row r="249" ht="13.8" customHeight="1" s="135"/>
    <row r="250" ht="13.8" customHeight="1" s="135"/>
    <row r="251" ht="13.8" customHeight="1" s="135"/>
    <row r="252" ht="13.8" customHeight="1" s="135"/>
    <row r="253" ht="13.8" customHeight="1" s="135"/>
    <row r="254" ht="13.8" customHeight="1" s="135"/>
    <row r="255" ht="13.8" customHeight="1" s="135"/>
    <row r="256" ht="13.8" customHeight="1" s="135"/>
    <row r="257" ht="13.8" customHeight="1" s="135"/>
    <row r="258" ht="13.8" customHeight="1" s="135"/>
    <row r="259" ht="13.8" customHeight="1" s="135"/>
    <row r="260" ht="13.8" customHeight="1" s="135"/>
    <row r="261" ht="13.8" customHeight="1" s="135"/>
    <row r="262" ht="13.8" customHeight="1" s="135"/>
    <row r="263" ht="13.8" customHeight="1" s="135"/>
    <row r="264" ht="13.8" customHeight="1" s="135"/>
    <row r="265" ht="13.8" customHeight="1" s="135"/>
    <row r="266" ht="13.8" customHeight="1" s="135"/>
    <row r="267" ht="13.8" customHeight="1" s="135"/>
    <row r="268" ht="13.8" customHeight="1" s="135"/>
    <row r="269" ht="13.8" customHeight="1" s="135"/>
    <row r="270" ht="13.8" customHeight="1" s="135"/>
    <row r="271" ht="13.8" customHeight="1" s="135"/>
    <row r="272" ht="13.8" customHeight="1" s="135"/>
    <row r="273" ht="13.8" customHeight="1" s="135"/>
    <row r="274" ht="13.8" customHeight="1" s="135"/>
    <row r="275" ht="13.8" customHeight="1" s="135"/>
    <row r="276" ht="13.8" customHeight="1" s="135"/>
    <row r="277" ht="13.8" customHeight="1" s="135"/>
    <row r="278" ht="13.8" customHeight="1" s="135"/>
    <row r="279" ht="13.8" customHeight="1" s="135"/>
    <row r="280" ht="13.8" customHeight="1" s="135"/>
    <row r="281" ht="13.8" customHeight="1" s="135"/>
    <row r="282" ht="13.8" customHeight="1" s="135"/>
    <row r="283" ht="13.8" customHeight="1" s="135"/>
    <row r="284" ht="13.8" customHeight="1" s="135"/>
    <row r="285" ht="13.8" customHeight="1" s="135"/>
    <row r="286" ht="13.8" customHeight="1" s="135"/>
    <row r="287" ht="13.8" customHeight="1" s="135"/>
    <row r="288" ht="13.8" customHeight="1" s="135"/>
    <row r="289" ht="13.8" customHeight="1" s="135"/>
    <row r="290" ht="13.8" customHeight="1" s="135"/>
    <row r="291" ht="13.8" customHeight="1" s="135"/>
    <row r="292" ht="13.8" customHeight="1" s="135"/>
    <row r="293" ht="13.8" customHeight="1" s="135"/>
    <row r="294" ht="13.8" customHeight="1" s="135"/>
    <row r="295" ht="13.8" customHeight="1" s="135"/>
    <row r="296" ht="13.8" customHeight="1" s="135"/>
    <row r="297" ht="13.8" customHeight="1" s="135"/>
    <row r="298" ht="13.8" customHeight="1" s="135"/>
    <row r="299" ht="13.8" customHeight="1" s="135"/>
    <row r="300" ht="13.8" customHeight="1" s="135"/>
    <row r="301" ht="13.8" customHeight="1" s="135"/>
    <row r="302" ht="13.8" customHeight="1" s="135"/>
    <row r="303" ht="13.8" customHeight="1" s="135"/>
    <row r="304" ht="13.8" customHeight="1" s="135"/>
    <row r="305" ht="13.8" customHeight="1" s="135"/>
    <row r="306" ht="13.8" customHeight="1" s="135"/>
    <row r="307" ht="13.8" customHeight="1" s="135"/>
    <row r="308" ht="13.8" customHeight="1" s="135"/>
    <row r="309" ht="13.8" customHeight="1" s="135"/>
    <row r="310" ht="13.8" customHeight="1" s="135"/>
    <row r="311" ht="13.8" customHeight="1" s="135"/>
    <row r="312" ht="13.8" customHeight="1" s="135"/>
    <row r="313" ht="13.8" customHeight="1" s="135"/>
    <row r="314" ht="13.8" customHeight="1" s="135"/>
    <row r="315" ht="13.8" customHeight="1" s="135"/>
    <row r="316" ht="13.8" customHeight="1" s="135"/>
    <row r="317" ht="13.8" customHeight="1" s="135"/>
    <row r="318" ht="13.8" customHeight="1" s="135"/>
    <row r="319" ht="13.8" customHeight="1" s="135"/>
    <row r="320" ht="13.8" customHeight="1" s="135"/>
    <row r="321" ht="13.8" customHeight="1" s="135"/>
    <row r="322" ht="13.8" customHeight="1" s="135"/>
    <row r="323" ht="13.8" customHeight="1" s="135"/>
    <row r="324" ht="13.8" customHeight="1" s="135"/>
    <row r="325" ht="13.8" customHeight="1" s="135"/>
    <row r="326" ht="13.8" customHeight="1" s="135"/>
    <row r="327" ht="13.8" customHeight="1" s="135"/>
    <row r="328" ht="13.8" customHeight="1" s="135"/>
    <row r="329" ht="13.8" customHeight="1" s="135"/>
    <row r="330" ht="13.8" customHeight="1" s="135"/>
    <row r="331" ht="13.8" customHeight="1" s="135"/>
    <row r="332" ht="13.8" customHeight="1" s="135"/>
    <row r="333" ht="13.8" customHeight="1" s="135"/>
    <row r="334" ht="13.8" customHeight="1" s="135"/>
    <row r="335" ht="13.8" customHeight="1" s="135"/>
    <row r="336" ht="13.8" customHeight="1" s="135"/>
    <row r="337" ht="13.8" customHeight="1" s="135"/>
    <row r="338" ht="13.8" customHeight="1" s="135"/>
    <row r="339" ht="13.8" customHeight="1" s="135"/>
    <row r="340" ht="13.8" customHeight="1" s="135"/>
    <row r="341" ht="13.8" customHeight="1" s="135"/>
    <row r="342" ht="13.8" customHeight="1" s="135"/>
    <row r="343" ht="13.8" customHeight="1" s="135"/>
    <row r="344" ht="13.8" customHeight="1" s="135"/>
    <row r="345" ht="13.8" customHeight="1" s="135"/>
    <row r="346" ht="13.8" customHeight="1" s="135"/>
    <row r="347" ht="13.8" customHeight="1" s="135"/>
    <row r="348" ht="13.8" customHeight="1" s="135"/>
    <row r="349" ht="13.8" customHeight="1" s="135"/>
    <row r="350" ht="13.8" customHeight="1" s="135"/>
    <row r="351" ht="13.8" customHeight="1" s="135"/>
    <row r="352" ht="13.8" customHeight="1" s="135"/>
    <row r="353" ht="13.8" customHeight="1" s="135"/>
    <row r="354" ht="13.8" customHeight="1" s="135"/>
    <row r="355" ht="13.8" customHeight="1" s="135"/>
    <row r="356" ht="13.8" customHeight="1" s="135"/>
    <row r="357" ht="13.8" customHeight="1" s="135"/>
    <row r="358" ht="13.8" customHeight="1" s="135"/>
    <row r="359" ht="13.8" customHeight="1" s="135"/>
    <row r="360" ht="13.8" customHeight="1" s="135"/>
    <row r="361" ht="13.8" customHeight="1" s="135"/>
    <row r="362" ht="13.8" customHeight="1" s="135"/>
    <row r="363" ht="13.8" customHeight="1" s="135"/>
    <row r="364" ht="13.8" customHeight="1" s="135"/>
    <row r="365" ht="13.8" customHeight="1" s="135"/>
    <row r="366" ht="13.8" customHeight="1" s="135"/>
    <row r="367" ht="13.8" customHeight="1" s="135"/>
    <row r="368" ht="13.8" customHeight="1" s="135"/>
    <row r="369" ht="13.8" customHeight="1" s="135"/>
    <row r="370" ht="13.8" customHeight="1" s="135"/>
    <row r="371" ht="13.8" customHeight="1" s="135"/>
    <row r="372" ht="13.8" customHeight="1" s="135"/>
    <row r="373" ht="13.8" customHeight="1" s="135"/>
    <row r="374" ht="13.8" customHeight="1" s="135"/>
    <row r="375" ht="13.8" customHeight="1" s="135"/>
    <row r="376" ht="13.8" customHeight="1" s="135"/>
    <row r="377" ht="13.8" customHeight="1" s="135"/>
    <row r="378" ht="13.8" customHeight="1" s="135"/>
    <row r="379" ht="13.8" customHeight="1" s="135"/>
    <row r="380" ht="13.8" customHeight="1" s="135"/>
    <row r="381" ht="13.8" customHeight="1" s="135"/>
    <row r="382" ht="13.8" customHeight="1" s="135"/>
    <row r="383" ht="13.8" customHeight="1" s="135"/>
    <row r="384" ht="13.8" customHeight="1" s="135"/>
    <row r="385" ht="13.8" customHeight="1" s="135"/>
    <row r="386" ht="13.8" customHeight="1" s="135"/>
    <row r="387" ht="13.8" customHeight="1" s="135"/>
    <row r="388" ht="13.8" customHeight="1" s="135"/>
    <row r="389" ht="13.8" customHeight="1" s="135"/>
    <row r="390" ht="13.8" customHeight="1" s="135"/>
    <row r="391" ht="13.8" customHeight="1" s="135"/>
    <row r="392" ht="13.8" customHeight="1" s="135"/>
    <row r="393" ht="13.8" customHeight="1" s="135"/>
    <row r="394" ht="13.8" customHeight="1" s="135"/>
    <row r="395" ht="13.8" customHeight="1" s="135"/>
    <row r="396" ht="13.8" customHeight="1" s="135"/>
    <row r="397" ht="13.8" customHeight="1" s="135"/>
    <row r="398" ht="13.8" customHeight="1" s="135"/>
    <row r="399" ht="13.8" customHeight="1" s="135"/>
    <row r="400" ht="13.8" customHeight="1" s="135"/>
    <row r="401" ht="13.8" customHeight="1" s="135"/>
    <row r="402" ht="13.8" customHeight="1" s="135"/>
    <row r="403" ht="13.8" customHeight="1" s="135"/>
    <row r="404" ht="13.8" customHeight="1" s="135"/>
    <row r="405" ht="13.8" customHeight="1" s="135"/>
    <row r="406" ht="13.8" customHeight="1" s="135"/>
    <row r="407" ht="13.8" customHeight="1" s="135"/>
    <row r="408" ht="13.8" customHeight="1" s="135"/>
    <row r="409" ht="13.8" customHeight="1" s="135"/>
    <row r="410" ht="13.8" customHeight="1" s="135"/>
    <row r="411" ht="13.8" customHeight="1" s="135"/>
    <row r="412" ht="13.8" customHeight="1" s="135"/>
    <row r="413" ht="13.8" customHeight="1" s="135"/>
    <row r="414" ht="13.8" customHeight="1" s="135"/>
    <row r="415" ht="13.8" customHeight="1" s="135"/>
    <row r="416" ht="13.8" customHeight="1" s="135"/>
    <row r="417" ht="13.8" customHeight="1" s="135"/>
    <row r="418" ht="13.8" customHeight="1" s="135"/>
    <row r="419" ht="13.8" customHeight="1" s="135"/>
    <row r="420" ht="13.8" customHeight="1" s="135"/>
    <row r="421" ht="13.8" customHeight="1" s="135"/>
    <row r="422" ht="13.8" customHeight="1" s="135"/>
    <row r="423" ht="13.8" customHeight="1" s="135"/>
    <row r="424" ht="13.8" customHeight="1" s="135"/>
    <row r="425" ht="13.8" customHeight="1" s="135"/>
    <row r="426" ht="13.8" customHeight="1" s="135"/>
    <row r="427" ht="13.8" customHeight="1" s="135"/>
    <row r="428" ht="13.8" customHeight="1" s="135"/>
    <row r="429" ht="13.8" customHeight="1" s="135"/>
    <row r="430" ht="13.8" customHeight="1" s="135"/>
    <row r="431" ht="13.8" customHeight="1" s="135"/>
    <row r="432" ht="13.8" customHeight="1" s="135"/>
    <row r="433" ht="13.8" customHeight="1" s="135"/>
    <row r="434" ht="13.8" customHeight="1" s="135"/>
    <row r="435" ht="13.8" customHeight="1" s="135"/>
    <row r="436" ht="13.8" customHeight="1" s="135"/>
    <row r="437" ht="13.8" customHeight="1" s="135"/>
    <row r="438" ht="13.8" customHeight="1" s="135"/>
    <row r="439" ht="13.8" customHeight="1" s="135"/>
    <row r="440" ht="13.8" customHeight="1" s="135"/>
    <row r="441" ht="13.8" customHeight="1" s="135"/>
    <row r="442" ht="13.8" customHeight="1" s="135"/>
    <row r="443" ht="13.8" customHeight="1" s="135"/>
    <row r="444" ht="13.8" customHeight="1" s="135"/>
    <row r="445" ht="13.8" customHeight="1" s="135"/>
    <row r="446" ht="13.8" customHeight="1" s="135"/>
    <row r="447" ht="13.8" customHeight="1" s="135"/>
    <row r="448" ht="13.8" customHeight="1" s="135"/>
    <row r="449" ht="13.8" customHeight="1" s="135"/>
    <row r="450" ht="13.8" customHeight="1" s="135"/>
    <row r="451" ht="13.8" customHeight="1" s="135"/>
    <row r="452" ht="13.8" customHeight="1" s="135"/>
    <row r="453" ht="13.8" customHeight="1" s="135"/>
    <row r="454" ht="13.8" customHeight="1" s="135"/>
    <row r="455" ht="13.8" customHeight="1" s="135"/>
    <row r="456" ht="13.8" customHeight="1" s="135"/>
    <row r="457" ht="13.8" customHeight="1" s="135"/>
    <row r="458" ht="13.8" customHeight="1" s="135"/>
    <row r="459" ht="13.8" customHeight="1" s="135"/>
    <row r="460" ht="13.8" customHeight="1" s="135"/>
    <row r="461" ht="13.8" customHeight="1" s="135"/>
    <row r="462" ht="13.8" customHeight="1" s="135"/>
    <row r="463" ht="13.8" customHeight="1" s="135"/>
    <row r="464" ht="13.8" customHeight="1" s="135"/>
    <row r="465" ht="13.8" customHeight="1" s="135"/>
    <row r="466" ht="13.8" customHeight="1" s="135"/>
    <row r="467" ht="13.8" customHeight="1" s="135"/>
    <row r="468" ht="13.8" customHeight="1" s="135"/>
    <row r="469" ht="13.8" customHeight="1" s="135"/>
    <row r="470" ht="13.8" customHeight="1" s="135"/>
    <row r="471" ht="13.8" customHeight="1" s="135"/>
    <row r="472" ht="13.8" customHeight="1" s="135"/>
    <row r="473" ht="13.8" customHeight="1" s="135"/>
    <row r="474" ht="13.8" customHeight="1" s="135"/>
    <row r="475" ht="13.8" customHeight="1" s="135"/>
    <row r="476" ht="13.8" customHeight="1" s="135"/>
    <row r="477" ht="13.8" customHeight="1" s="135"/>
    <row r="478" ht="13.8" customHeight="1" s="135"/>
    <row r="479" ht="13.8" customHeight="1" s="135"/>
    <row r="480" ht="13.8" customHeight="1" s="135"/>
    <row r="481" ht="13.8" customHeight="1" s="135"/>
    <row r="482" ht="13.8" customHeight="1" s="135"/>
    <row r="483" ht="13.8" customHeight="1" s="135"/>
    <row r="484" ht="13.8" customHeight="1" s="135"/>
    <row r="485" ht="13.8" customHeight="1" s="135"/>
    <row r="486" ht="13.8" customHeight="1" s="135"/>
    <row r="487" ht="13.8" customHeight="1" s="135"/>
    <row r="488" ht="13.8" customHeight="1" s="135"/>
    <row r="489" ht="13.8" customHeight="1" s="135"/>
    <row r="490" ht="13.8" customHeight="1" s="135"/>
    <row r="491" ht="13.8" customHeight="1" s="135"/>
    <row r="492" ht="13.8" customHeight="1" s="135"/>
    <row r="493" ht="13.8" customHeight="1" s="135"/>
    <row r="494" ht="13.8" customHeight="1" s="135"/>
    <row r="495" ht="13.8" customHeight="1" s="135"/>
    <row r="496" ht="13.8" customHeight="1" s="135"/>
    <row r="497" ht="13.8" customHeight="1" s="135"/>
    <row r="498" ht="13.8" customHeight="1" s="135"/>
    <row r="499" ht="13.8" customHeight="1" s="135"/>
    <row r="500" ht="13.8" customHeight="1" s="135"/>
    <row r="501" ht="13.8" customHeight="1" s="135"/>
    <row r="502" ht="13.8" customHeight="1" s="135"/>
    <row r="503" ht="13.8" customHeight="1" s="135"/>
    <row r="504" ht="13.8" customHeight="1" s="135"/>
    <row r="505" ht="13.8" customHeight="1" s="135"/>
    <row r="506" ht="13.8" customHeight="1" s="135"/>
    <row r="507" ht="13.8" customHeight="1" s="135"/>
    <row r="508" ht="13.8" customHeight="1" s="135"/>
    <row r="509" ht="13.8" customHeight="1" s="135"/>
    <row r="510" ht="13.8" customHeight="1" s="135"/>
    <row r="511" ht="13.8" customHeight="1" s="135"/>
    <row r="512" ht="13.8" customHeight="1" s="135"/>
    <row r="513" ht="13.8" customHeight="1" s="135"/>
    <row r="514" ht="13.8" customHeight="1" s="135"/>
    <row r="515" ht="13.8" customHeight="1" s="135"/>
    <row r="516" ht="13.8" customHeight="1" s="135"/>
    <row r="517" ht="13.8" customHeight="1" s="135"/>
    <row r="518" ht="13.8" customHeight="1" s="135"/>
    <row r="519" ht="13.8" customHeight="1" s="135"/>
    <row r="520" ht="13.8" customHeight="1" s="135"/>
    <row r="521" ht="13.8" customHeight="1" s="135"/>
    <row r="522" ht="13.8" customHeight="1" s="135"/>
    <row r="523" ht="13.8" customHeight="1" s="135"/>
    <row r="524" ht="13.8" customHeight="1" s="135"/>
    <row r="525" ht="13.8" customHeight="1" s="135"/>
    <row r="526" ht="13.8" customHeight="1" s="135"/>
    <row r="527" ht="13.8" customHeight="1" s="135"/>
    <row r="528" ht="13.8" customHeight="1" s="135"/>
    <row r="529" ht="13.8" customHeight="1" s="135"/>
    <row r="530" ht="13.8" customHeight="1" s="135"/>
    <row r="531" ht="13.8" customHeight="1" s="135"/>
    <row r="532" ht="13.8" customHeight="1" s="135"/>
    <row r="533" ht="13.8" customHeight="1" s="135"/>
    <row r="534" ht="13.8" customHeight="1" s="135"/>
    <row r="535" ht="13.8" customHeight="1" s="135"/>
    <row r="536" ht="13.8" customHeight="1" s="135"/>
    <row r="537" ht="13.8" customHeight="1" s="135"/>
    <row r="538" ht="13.8" customHeight="1" s="135"/>
    <row r="539" ht="13.8" customHeight="1" s="135"/>
    <row r="540" ht="13.8" customHeight="1" s="135"/>
    <row r="541" ht="13.8" customHeight="1" s="135"/>
    <row r="542" ht="13.8" customHeight="1" s="135"/>
    <row r="543" ht="13.8" customHeight="1" s="135"/>
    <row r="544" ht="13.8" customHeight="1" s="135"/>
    <row r="545" ht="13.8" customHeight="1" s="135"/>
    <row r="546" ht="13.8" customHeight="1" s="135"/>
    <row r="547" ht="13.8" customHeight="1" s="135"/>
    <row r="548" ht="13.8" customHeight="1" s="135"/>
    <row r="549" ht="13.8" customHeight="1" s="135"/>
    <row r="550" ht="13.8" customHeight="1" s="135"/>
    <row r="551" ht="13.8" customHeight="1" s="135"/>
    <row r="552" ht="13.8" customHeight="1" s="135"/>
    <row r="553" ht="13.8" customHeight="1" s="135"/>
    <row r="554" ht="13.8" customHeight="1" s="135"/>
    <row r="555" ht="13.8" customHeight="1" s="135"/>
    <row r="556" ht="13.8" customHeight="1" s="135"/>
    <row r="557" ht="13.8" customHeight="1" s="135"/>
    <row r="558" ht="13.8" customHeight="1" s="135"/>
    <row r="559" ht="13.8" customHeight="1" s="135"/>
    <row r="560" ht="13.8" customHeight="1" s="135"/>
    <row r="561" ht="13.8" customHeight="1" s="135"/>
    <row r="562" ht="13.8" customHeight="1" s="135"/>
    <row r="563" ht="13.8" customHeight="1" s="135"/>
    <row r="564" ht="13.8" customHeight="1" s="135"/>
    <row r="565" ht="13.8" customHeight="1" s="135"/>
    <row r="566" ht="13.8" customHeight="1" s="135"/>
    <row r="567" ht="13.8" customHeight="1" s="135"/>
    <row r="568" ht="13.8" customHeight="1" s="135"/>
    <row r="569" ht="13.8" customHeight="1" s="135"/>
    <row r="570" ht="13.8" customHeight="1" s="135"/>
    <row r="571" ht="13.8" customHeight="1" s="135"/>
    <row r="572" ht="13.8" customHeight="1" s="135"/>
    <row r="573" ht="13.8" customHeight="1" s="135"/>
    <row r="574" ht="13.8" customHeight="1" s="135"/>
    <row r="575" ht="13.8" customHeight="1" s="135"/>
    <row r="576" ht="13.8" customHeight="1" s="135"/>
    <row r="577" ht="13.8" customHeight="1" s="135"/>
    <row r="578" ht="13.8" customHeight="1" s="135"/>
    <row r="579" ht="13.8" customHeight="1" s="135"/>
    <row r="580" ht="13.8" customHeight="1" s="135"/>
    <row r="581" ht="13.8" customHeight="1" s="135"/>
    <row r="582" ht="13.8" customHeight="1" s="135"/>
    <row r="583" ht="13.8" customHeight="1" s="135"/>
    <row r="584" ht="13.8" customHeight="1" s="135"/>
    <row r="585" ht="13.8" customHeight="1" s="135"/>
    <row r="586" ht="13.8" customHeight="1" s="135"/>
    <row r="587" ht="13.8" customHeight="1" s="135"/>
    <row r="588" ht="13.8" customHeight="1" s="135"/>
    <row r="589" ht="13.8" customHeight="1" s="135"/>
    <row r="590" ht="13.8" customHeight="1" s="135"/>
    <row r="591" ht="13.8" customHeight="1" s="135"/>
    <row r="592" ht="13.8" customHeight="1" s="135"/>
    <row r="593" ht="13.8" customHeight="1" s="135"/>
    <row r="594" ht="13.8" customHeight="1" s="135"/>
    <row r="595" ht="13.8" customHeight="1" s="135"/>
    <row r="596" ht="13.8" customHeight="1" s="135"/>
    <row r="597" ht="13.8" customHeight="1" s="135"/>
    <row r="598" ht="13.8" customHeight="1" s="135"/>
    <row r="599" ht="13.8" customHeight="1" s="135"/>
    <row r="600" ht="13.8" customHeight="1" s="135"/>
    <row r="601" ht="13.8" customHeight="1" s="135"/>
    <row r="602" ht="13.8" customHeight="1" s="135"/>
    <row r="603" ht="13.8" customHeight="1" s="135"/>
    <row r="604" ht="13.8" customHeight="1" s="135"/>
    <row r="605" ht="13.8" customHeight="1" s="135"/>
    <row r="606" ht="13.8" customHeight="1" s="135"/>
    <row r="607" ht="13.8" customHeight="1" s="135"/>
    <row r="608" ht="13.8" customHeight="1" s="135"/>
    <row r="609" ht="13.8" customHeight="1" s="135"/>
    <row r="610" ht="13.8" customHeight="1" s="135"/>
    <row r="611" ht="13.8" customHeight="1" s="135"/>
    <row r="612" ht="13.8" customHeight="1" s="135"/>
    <row r="613" ht="13.8" customHeight="1" s="135"/>
    <row r="614" ht="13.8" customHeight="1" s="135"/>
    <row r="615" ht="13.8" customHeight="1" s="135"/>
    <row r="616" ht="13.8" customHeight="1" s="135"/>
    <row r="617" ht="13.8" customHeight="1" s="135"/>
    <row r="618" ht="13.8" customHeight="1" s="135"/>
    <row r="619" ht="13.8" customHeight="1" s="135"/>
    <row r="620" ht="13.8" customHeight="1" s="135"/>
    <row r="621" ht="13.8" customHeight="1" s="135"/>
    <row r="622" ht="13.8" customHeight="1" s="135"/>
    <row r="623" ht="13.8" customHeight="1" s="135"/>
    <row r="624" ht="13.8" customHeight="1" s="135"/>
    <row r="625" ht="13.8" customHeight="1" s="135"/>
    <row r="626" ht="13.8" customHeight="1" s="135"/>
    <row r="627" ht="13.8" customHeight="1" s="135"/>
    <row r="628" ht="13.8" customHeight="1" s="135"/>
    <row r="629" ht="13.8" customHeight="1" s="135"/>
    <row r="630" ht="13.8" customHeight="1" s="135"/>
    <row r="631" ht="13.8" customHeight="1" s="135"/>
    <row r="632" ht="13.8" customHeight="1" s="135"/>
    <row r="633" ht="13.8" customHeight="1" s="135"/>
    <row r="634" ht="13.8" customHeight="1" s="135"/>
    <row r="635" ht="13.8" customHeight="1" s="135"/>
    <row r="636" ht="13.8" customHeight="1" s="135"/>
    <row r="637" ht="13.8" customHeight="1" s="135"/>
    <row r="638" ht="13.8" customHeight="1" s="135"/>
    <row r="639" ht="13.8" customHeight="1" s="135"/>
    <row r="640" ht="13.8" customHeight="1" s="135"/>
    <row r="641" ht="13.8" customHeight="1" s="135"/>
    <row r="642" ht="13.8" customHeight="1" s="135"/>
    <row r="643" ht="13.8" customHeight="1" s="135"/>
    <row r="644" ht="13.8" customHeight="1" s="135"/>
    <row r="645" ht="13.8" customHeight="1" s="135"/>
    <row r="646" ht="13.8" customHeight="1" s="135"/>
    <row r="647" ht="13.8" customHeight="1" s="135"/>
    <row r="648" ht="13.8" customHeight="1" s="135"/>
    <row r="649" ht="13.8" customHeight="1" s="135"/>
    <row r="650" ht="13.8" customHeight="1" s="135"/>
    <row r="651" ht="13.8" customHeight="1" s="135"/>
    <row r="652" ht="13.8" customHeight="1" s="135"/>
    <row r="653" ht="13.8" customHeight="1" s="135"/>
    <row r="654" ht="13.8" customHeight="1" s="135"/>
    <row r="655" ht="13.8" customHeight="1" s="135"/>
    <row r="656" ht="13.8" customHeight="1" s="135"/>
    <row r="657" ht="13.8" customHeight="1" s="135"/>
    <row r="658" ht="13.8" customHeight="1" s="135"/>
    <row r="659" ht="13.8" customHeight="1" s="135"/>
    <row r="660" ht="13.8" customHeight="1" s="135"/>
    <row r="661" ht="13.8" customHeight="1" s="135"/>
    <row r="662" ht="13.8" customHeight="1" s="135"/>
    <row r="663" ht="13.8" customHeight="1" s="135"/>
    <row r="664" ht="13.8" customHeight="1" s="135"/>
    <row r="665" ht="13.8" customHeight="1" s="135"/>
    <row r="666" ht="13.8" customHeight="1" s="135"/>
    <row r="667" ht="13.8" customHeight="1" s="135"/>
    <row r="668" ht="13.8" customHeight="1" s="135"/>
    <row r="669" ht="13.8" customHeight="1" s="135"/>
    <row r="670" ht="13.8" customHeight="1" s="135"/>
    <row r="671" ht="13.8" customHeight="1" s="135"/>
    <row r="672" ht="13.8" customHeight="1" s="135"/>
    <row r="673" ht="13.8" customHeight="1" s="135"/>
    <row r="674" ht="13.8" customHeight="1" s="135"/>
    <row r="675" ht="13.8" customHeight="1" s="135"/>
    <row r="676" ht="13.8" customHeight="1" s="135"/>
    <row r="677" ht="13.8" customHeight="1" s="135"/>
    <row r="678" ht="13.8" customHeight="1" s="135"/>
    <row r="679" ht="13.8" customHeight="1" s="135"/>
    <row r="680" ht="13.8" customHeight="1" s="135"/>
    <row r="681" ht="13.8" customHeight="1" s="135"/>
    <row r="682" ht="13.8" customHeight="1" s="135"/>
    <row r="683" ht="13.8" customHeight="1" s="135"/>
    <row r="684" ht="13.8" customHeight="1" s="135"/>
    <row r="685" ht="13.8" customHeight="1" s="135"/>
    <row r="686" ht="13.8" customHeight="1" s="135"/>
    <row r="687" ht="13.8" customHeight="1" s="135"/>
    <row r="688" ht="13.8" customHeight="1" s="135"/>
    <row r="689" ht="13.8" customHeight="1" s="135"/>
    <row r="690" ht="13.8" customHeight="1" s="135"/>
    <row r="691" ht="13.8" customHeight="1" s="135"/>
    <row r="692" ht="13.8" customHeight="1" s="135"/>
    <row r="693" ht="13.8" customHeight="1" s="135"/>
    <row r="694" ht="13.8" customHeight="1" s="135"/>
    <row r="695" ht="13.8" customHeight="1" s="135"/>
    <row r="696" ht="13.8" customHeight="1" s="135"/>
    <row r="697" ht="13.8" customHeight="1" s="135"/>
    <row r="698" ht="13.8" customHeight="1" s="135"/>
    <row r="699" ht="13.8" customHeight="1" s="135"/>
    <row r="700" ht="13.8" customHeight="1" s="135"/>
    <row r="701" ht="13.8" customHeight="1" s="135"/>
    <row r="702" ht="13.8" customHeight="1" s="135"/>
    <row r="703" ht="13.8" customHeight="1" s="135"/>
    <row r="704" ht="13.8" customHeight="1" s="135"/>
    <row r="705" ht="13.8" customHeight="1" s="135"/>
    <row r="706" ht="13.8" customHeight="1" s="135"/>
    <row r="707" ht="13.8" customHeight="1" s="135"/>
    <row r="708" ht="13.8" customHeight="1" s="135"/>
    <row r="709" ht="13.8" customHeight="1" s="135"/>
    <row r="710" ht="13.8" customHeight="1" s="135"/>
    <row r="711" ht="13.8" customHeight="1" s="135"/>
    <row r="712" ht="13.8" customHeight="1" s="135"/>
    <row r="713" ht="13.8" customHeight="1" s="135"/>
    <row r="714" ht="13.8" customHeight="1" s="135"/>
    <row r="715" ht="13.8" customHeight="1" s="135"/>
    <row r="716" ht="13.8" customHeight="1" s="135"/>
    <row r="717" ht="13.8" customHeight="1" s="135"/>
    <row r="718" ht="13.8" customHeight="1" s="135"/>
    <row r="719" ht="13.8" customHeight="1" s="135"/>
    <row r="720" ht="13.8" customHeight="1" s="135"/>
    <row r="721" ht="13.8" customHeight="1" s="135"/>
    <row r="722" ht="13.8" customHeight="1" s="135"/>
    <row r="723" ht="13.8" customHeight="1" s="135"/>
    <row r="724" ht="13.8" customHeight="1" s="135"/>
    <row r="725" ht="13.8" customHeight="1" s="135"/>
    <row r="726" ht="13.8" customHeight="1" s="135"/>
    <row r="727" ht="13.8" customHeight="1" s="135"/>
    <row r="728" ht="13.8" customHeight="1" s="135"/>
    <row r="729" ht="13.8" customHeight="1" s="135"/>
    <row r="730" ht="13.8" customHeight="1" s="135"/>
    <row r="731" ht="13.8" customHeight="1" s="135"/>
    <row r="732" ht="13.8" customHeight="1" s="135"/>
    <row r="733" ht="13.8" customHeight="1" s="135"/>
    <row r="734" ht="13.8" customHeight="1" s="135"/>
    <row r="735" ht="13.8" customHeight="1" s="135"/>
    <row r="736" ht="13.8" customHeight="1" s="135"/>
    <row r="737" ht="13.8" customHeight="1" s="135"/>
    <row r="738" ht="13.8" customHeight="1" s="135"/>
    <row r="739" ht="13.8" customHeight="1" s="135"/>
    <row r="740" ht="13.8" customHeight="1" s="135"/>
    <row r="741" ht="13.8" customHeight="1" s="135"/>
    <row r="742" ht="13.8" customHeight="1" s="135"/>
    <row r="743" ht="13.8" customHeight="1" s="135"/>
    <row r="744" ht="13.8" customHeight="1" s="135"/>
    <row r="745" ht="13.8" customHeight="1" s="135"/>
    <row r="746" ht="13.8" customHeight="1" s="135"/>
    <row r="747" ht="13.8" customHeight="1" s="135"/>
    <row r="748" ht="13.8" customHeight="1" s="135"/>
    <row r="749" ht="13.8" customHeight="1" s="135"/>
    <row r="750" ht="13.8" customHeight="1" s="135"/>
    <row r="751" ht="13.8" customHeight="1" s="135"/>
    <row r="752" ht="13.8" customHeight="1" s="135"/>
    <row r="753" ht="13.8" customHeight="1" s="135"/>
    <row r="754" ht="13.8" customHeight="1" s="135"/>
    <row r="755" ht="13.8" customHeight="1" s="135"/>
    <row r="756" ht="13.8" customHeight="1" s="135"/>
    <row r="757" ht="13.8" customHeight="1" s="135"/>
    <row r="758" ht="13.8" customHeight="1" s="135"/>
    <row r="759" ht="13.8" customHeight="1" s="135"/>
    <row r="760" ht="13.8" customHeight="1" s="135"/>
    <row r="761" ht="13.8" customHeight="1" s="135"/>
    <row r="762" ht="13.8" customHeight="1" s="135"/>
    <row r="763" ht="13.8" customHeight="1" s="135"/>
    <row r="764" ht="13.8" customHeight="1" s="135"/>
    <row r="765" ht="13.8" customHeight="1" s="135"/>
    <row r="766" ht="13.8" customHeight="1" s="135"/>
    <row r="767" ht="13.8" customHeight="1" s="135"/>
    <row r="768" ht="13.8" customHeight="1" s="135"/>
    <row r="769" ht="13.8" customHeight="1" s="135"/>
    <row r="770" ht="13.8" customHeight="1" s="135"/>
    <row r="771" ht="13.8" customHeight="1" s="135"/>
    <row r="772" ht="13.8" customHeight="1" s="135"/>
    <row r="773" ht="13.8" customHeight="1" s="135"/>
    <row r="774" ht="13.8" customHeight="1" s="135"/>
    <row r="775" ht="13.8" customHeight="1" s="135"/>
    <row r="776" ht="13.8" customHeight="1" s="135"/>
    <row r="777" ht="13.8" customHeight="1" s="135"/>
    <row r="778" ht="13.8" customHeight="1" s="135"/>
    <row r="779" ht="13.8" customHeight="1" s="135"/>
    <row r="780" ht="13.8" customHeight="1" s="135"/>
    <row r="781" ht="13.8" customHeight="1" s="135"/>
    <row r="782" ht="13.8" customHeight="1" s="135"/>
    <row r="783" ht="13.8" customHeight="1" s="135"/>
    <row r="784" ht="13.8" customHeight="1" s="135"/>
    <row r="785" ht="13.8" customHeight="1" s="135"/>
    <row r="786" ht="13.8" customHeight="1" s="135"/>
    <row r="787" ht="13.8" customHeight="1" s="135"/>
    <row r="788" ht="13.8" customHeight="1" s="135"/>
    <row r="789" ht="13.8" customHeight="1" s="135"/>
    <row r="790" ht="13.8" customHeight="1" s="135"/>
    <row r="791" ht="13.8" customHeight="1" s="135"/>
    <row r="792" ht="13.8" customHeight="1" s="135"/>
    <row r="793" ht="13.8" customHeight="1" s="135"/>
    <row r="794" ht="13.8" customHeight="1" s="135"/>
    <row r="795" ht="13.8" customHeight="1" s="135"/>
    <row r="796" ht="13.8" customHeight="1" s="135"/>
    <row r="797" ht="13.8" customHeight="1" s="135"/>
    <row r="798" ht="13.8" customHeight="1" s="135"/>
    <row r="799" ht="13.8" customHeight="1" s="135"/>
    <row r="800" ht="13.8" customHeight="1" s="135"/>
    <row r="801" ht="13.8" customHeight="1" s="135"/>
    <row r="802" ht="13.8" customHeight="1" s="135"/>
    <row r="803" ht="13.8" customHeight="1" s="135"/>
    <row r="804" ht="13.8" customHeight="1" s="135"/>
    <row r="805" ht="13.8" customHeight="1" s="135"/>
    <row r="806" ht="13.8" customHeight="1" s="135"/>
    <row r="807" ht="13.8" customHeight="1" s="135"/>
    <row r="808" ht="13.8" customHeight="1" s="135"/>
    <row r="809" ht="13.8" customHeight="1" s="135"/>
    <row r="810" ht="13.8" customHeight="1" s="135"/>
    <row r="811" ht="13.8" customHeight="1" s="135"/>
    <row r="812" ht="13.8" customHeight="1" s="135"/>
    <row r="813" ht="13.8" customHeight="1" s="135"/>
    <row r="814" ht="13.8" customHeight="1" s="135"/>
    <row r="815" ht="13.8" customHeight="1" s="135"/>
    <row r="816" ht="13.8" customHeight="1" s="135"/>
    <row r="817" ht="13.8" customHeight="1" s="135"/>
    <row r="818" ht="13.8" customHeight="1" s="135"/>
    <row r="819" ht="13.8" customHeight="1" s="135"/>
    <row r="820" ht="13.8" customHeight="1" s="135"/>
    <row r="821" ht="13.8" customHeight="1" s="135"/>
    <row r="822" ht="13.8" customHeight="1" s="135"/>
    <row r="823" ht="13.8" customHeight="1" s="135"/>
    <row r="824" ht="13.8" customHeight="1" s="135"/>
    <row r="825" ht="13.8" customHeight="1" s="135"/>
    <row r="826" ht="13.8" customHeight="1" s="135"/>
    <row r="827" ht="13.8" customHeight="1" s="135"/>
    <row r="828" ht="13.8" customHeight="1" s="135"/>
    <row r="829" ht="13.8" customHeight="1" s="135"/>
    <row r="830" ht="13.8" customHeight="1" s="135"/>
    <row r="831" ht="13.8" customHeight="1" s="135"/>
    <row r="832" ht="13.8" customHeight="1" s="135"/>
    <row r="833" ht="13.8" customHeight="1" s="135"/>
    <row r="834" ht="13.8" customHeight="1" s="135"/>
    <row r="835" ht="13.8" customHeight="1" s="135"/>
    <row r="836" ht="13.8" customHeight="1" s="135"/>
    <row r="837" ht="13.8" customHeight="1" s="135"/>
    <row r="838" ht="13.8" customHeight="1" s="135"/>
    <row r="839" ht="13.8" customHeight="1" s="135"/>
    <row r="840" ht="13.8" customHeight="1" s="135"/>
    <row r="841" ht="13.8" customHeight="1" s="135"/>
    <row r="842" ht="13.8" customHeight="1" s="135"/>
    <row r="843" ht="13.8" customHeight="1" s="135"/>
    <row r="844" ht="13.8" customHeight="1" s="135"/>
    <row r="845" ht="13.8" customHeight="1" s="135"/>
    <row r="846" ht="13.8" customHeight="1" s="135"/>
    <row r="847" ht="13.8" customHeight="1" s="135"/>
    <row r="848" ht="13.8" customHeight="1" s="135"/>
    <row r="849" ht="13.8" customHeight="1" s="135"/>
    <row r="850" ht="13.8" customHeight="1" s="135"/>
    <row r="851" ht="13.8" customHeight="1" s="135"/>
    <row r="852" ht="13.8" customHeight="1" s="135"/>
    <row r="853" ht="13.8" customHeight="1" s="135"/>
    <row r="854" ht="13.8" customHeight="1" s="135"/>
    <row r="855" ht="13.8" customHeight="1" s="135"/>
    <row r="856" ht="13.8" customHeight="1" s="135"/>
    <row r="857" ht="13.8" customHeight="1" s="135"/>
    <row r="858" ht="13.8" customHeight="1" s="135"/>
    <row r="859" ht="13.8" customHeight="1" s="135"/>
    <row r="860" ht="13.8" customHeight="1" s="135"/>
    <row r="861" ht="13.8" customHeight="1" s="135"/>
    <row r="862" ht="13.8" customHeight="1" s="135"/>
    <row r="863" ht="13.8" customHeight="1" s="135"/>
    <row r="864" ht="13.8" customHeight="1" s="135"/>
    <row r="865" ht="13.8" customHeight="1" s="135"/>
    <row r="866" ht="13.8" customHeight="1" s="135"/>
    <row r="867" ht="13.8" customHeight="1" s="135"/>
    <row r="868" ht="13.8" customHeight="1" s="135"/>
    <row r="869" ht="13.8" customHeight="1" s="135"/>
    <row r="870" ht="13.8" customHeight="1" s="135"/>
    <row r="871" ht="13.8" customHeight="1" s="135"/>
    <row r="872" ht="13.8" customHeight="1" s="135"/>
    <row r="873" ht="13.8" customHeight="1" s="135"/>
    <row r="874" ht="13.8" customHeight="1" s="135"/>
    <row r="875" ht="13.8" customHeight="1" s="135"/>
    <row r="876" ht="13.8" customHeight="1" s="135"/>
    <row r="877" ht="13.8" customHeight="1" s="135"/>
    <row r="878" ht="13.8" customHeight="1" s="135"/>
    <row r="879" ht="13.8" customHeight="1" s="135"/>
    <row r="880" ht="13.8" customHeight="1" s="135"/>
    <row r="881" ht="13.8" customHeight="1" s="135"/>
    <row r="882" ht="13.8" customHeight="1" s="135"/>
    <row r="883" ht="13.8" customHeight="1" s="135"/>
    <row r="884" ht="13.8" customHeight="1" s="135"/>
    <row r="885" ht="13.8" customHeight="1" s="135"/>
    <row r="886" ht="13.8" customHeight="1" s="135"/>
    <row r="887" ht="13.8" customHeight="1" s="135"/>
    <row r="888" ht="13.8" customHeight="1" s="135"/>
    <row r="889" ht="13.8" customHeight="1" s="135"/>
    <row r="890" ht="13.8" customHeight="1" s="135"/>
    <row r="891" ht="13.8" customHeight="1" s="135"/>
    <row r="892" ht="13.8" customHeight="1" s="135"/>
    <row r="893" ht="13.8" customHeight="1" s="135"/>
    <row r="894" ht="13.8" customHeight="1" s="135"/>
    <row r="895" ht="13.8" customHeight="1" s="135"/>
    <row r="896" ht="13.8" customHeight="1" s="135"/>
    <row r="897" ht="13.8" customHeight="1" s="135"/>
    <row r="898" ht="13.8" customHeight="1" s="135"/>
    <row r="899" ht="13.8" customHeight="1" s="135"/>
    <row r="900" ht="13.8" customHeight="1" s="135"/>
    <row r="901" ht="13.8" customHeight="1" s="135"/>
    <row r="902" ht="13.8" customHeight="1" s="135"/>
    <row r="903" ht="13.8" customHeight="1" s="135"/>
    <row r="904" ht="13.8" customHeight="1" s="135"/>
    <row r="905" ht="13.8" customHeight="1" s="135"/>
    <row r="906" ht="13.8" customHeight="1" s="135"/>
    <row r="907" ht="13.8" customHeight="1" s="135"/>
    <row r="908" ht="13.8" customHeight="1" s="135"/>
    <row r="909" ht="13.8" customHeight="1" s="135"/>
    <row r="910" ht="13.8" customHeight="1" s="135"/>
    <row r="911" ht="13.8" customHeight="1" s="135"/>
    <row r="912" ht="13.8" customHeight="1" s="135"/>
    <row r="913" ht="13.8" customHeight="1" s="135"/>
    <row r="914" ht="13.8" customHeight="1" s="135"/>
    <row r="915" ht="13.8" customHeight="1" s="135"/>
    <row r="916" ht="13.8" customHeight="1" s="135"/>
    <row r="917" ht="13.8" customHeight="1" s="135"/>
    <row r="918" ht="13.8" customHeight="1" s="135"/>
    <row r="919" ht="13.8" customHeight="1" s="135"/>
    <row r="920" ht="13.8" customHeight="1" s="135"/>
    <row r="921" ht="13.8" customHeight="1" s="135"/>
    <row r="922" ht="13.8" customHeight="1" s="135"/>
    <row r="923" ht="13.8" customHeight="1" s="135"/>
    <row r="924" ht="13.8" customHeight="1" s="135"/>
    <row r="925" ht="13.8" customHeight="1" s="135"/>
    <row r="926" ht="13.8" customHeight="1" s="135"/>
    <row r="927" ht="13.8" customHeight="1" s="135"/>
    <row r="928" ht="13.8" customHeight="1" s="135"/>
    <row r="929" ht="13.8" customHeight="1" s="135"/>
    <row r="930" ht="13.8" customHeight="1" s="135"/>
    <row r="931" ht="13.8" customHeight="1" s="135"/>
    <row r="932" ht="13.8" customHeight="1" s="135"/>
    <row r="933" ht="13.8" customHeight="1" s="135"/>
    <row r="934" ht="13.8" customHeight="1" s="135"/>
    <row r="935" ht="13.8" customHeight="1" s="135"/>
    <row r="936" ht="13.8" customHeight="1" s="135"/>
    <row r="937" ht="13.8" customHeight="1" s="135"/>
    <row r="938" ht="13.8" customHeight="1" s="135"/>
    <row r="939" ht="13.8" customHeight="1" s="135"/>
    <row r="940" ht="13.8" customHeight="1" s="135"/>
    <row r="941" ht="13.8" customHeight="1" s="135"/>
    <row r="942" ht="13.8" customHeight="1" s="135"/>
    <row r="943" ht="13.8" customHeight="1" s="135"/>
    <row r="944" ht="13.8" customHeight="1" s="135"/>
    <row r="945" ht="13.8" customHeight="1" s="135"/>
    <row r="946" ht="13.8" customHeight="1" s="135"/>
    <row r="947" ht="13.8" customHeight="1" s="135"/>
    <row r="948" ht="13.8" customHeight="1" s="135"/>
    <row r="949" ht="13.8" customHeight="1" s="135"/>
    <row r="950" ht="13.8" customHeight="1" s="135"/>
    <row r="951" ht="13.8" customHeight="1" s="135"/>
    <row r="952" ht="13.8" customHeight="1" s="135"/>
    <row r="953" ht="13.8" customHeight="1" s="135"/>
    <row r="954" ht="13.8" customHeight="1" s="135"/>
    <row r="955" ht="13.8" customHeight="1" s="135"/>
    <row r="956" ht="13.8" customHeight="1" s="135"/>
    <row r="957" ht="13.8" customHeight="1" s="135"/>
    <row r="958" ht="13.8" customHeight="1" s="135"/>
    <row r="959" ht="13.8" customHeight="1" s="135"/>
    <row r="960" ht="13.8" customHeight="1" s="135"/>
    <row r="961" ht="13.8" customHeight="1" s="135"/>
    <row r="962" ht="13.8" customHeight="1" s="135"/>
    <row r="963" ht="13.8" customHeight="1" s="135"/>
    <row r="964" ht="13.8" customHeight="1" s="135"/>
    <row r="965" ht="13.8" customHeight="1" s="135"/>
    <row r="966" ht="13.8" customHeight="1" s="135"/>
    <row r="967" ht="13.8" customHeight="1" s="135"/>
    <row r="968" ht="13.8" customHeight="1" s="135"/>
    <row r="969" ht="13.8" customHeight="1" s="135"/>
    <row r="970" ht="13.8" customHeight="1" s="135"/>
    <row r="971" ht="13.8" customHeight="1" s="135"/>
    <row r="972" ht="13.8" customHeight="1" s="135"/>
    <row r="973" ht="13.8" customHeight="1" s="135"/>
    <row r="974" ht="13.8" customHeight="1" s="135"/>
    <row r="975" ht="13.8" customHeight="1" s="135"/>
    <row r="976" ht="13.8" customHeight="1" s="135"/>
    <row r="977" ht="13.8" customHeight="1" s="135"/>
    <row r="978" ht="13.8" customHeight="1" s="135"/>
    <row r="979" ht="13.8" customHeight="1" s="135"/>
    <row r="980" ht="13.8" customHeight="1" s="135"/>
    <row r="981" ht="13.8" customHeight="1" s="135"/>
    <row r="982" ht="13.8" customHeight="1" s="135"/>
    <row r="983" ht="13.8" customHeight="1" s="135"/>
    <row r="984" ht="13.8" customHeight="1" s="135"/>
    <row r="985" ht="13.8" customHeight="1" s="135"/>
    <row r="986" ht="13.8" customHeight="1" s="135"/>
    <row r="987" ht="13.8" customHeight="1" s="135"/>
    <row r="988" ht="13.8" customHeight="1" s="135"/>
    <row r="989" ht="13.8" customHeight="1" s="135"/>
    <row r="990" ht="13.8" customHeight="1" s="135"/>
    <row r="991" ht="13.8" customHeight="1" s="135"/>
    <row r="992" ht="13.8" customHeight="1" s="135"/>
    <row r="993" ht="13.8" customHeight="1" s="135"/>
    <row r="994" ht="13.8" customHeight="1" s="135"/>
    <row r="995" ht="13.8" customHeight="1" s="135"/>
    <row r="996" ht="13.8" customHeight="1" s="135"/>
    <row r="997" ht="13.8" customHeight="1" s="135"/>
    <row r="998" ht="13.8" customHeight="1" s="135"/>
    <row r="999" ht="13.8" customHeight="1" s="135"/>
    <row r="1000" ht="13.8" customHeight="1" s="135"/>
    <row r="1001" ht="13.8" customHeight="1" s="135"/>
    <row r="1002" ht="13.8" customHeight="1" s="135"/>
    <row r="1003" ht="13.8" customHeight="1" s="135"/>
    <row r="1004" ht="13.8" customHeight="1" s="135"/>
    <row r="1005" ht="13.8" customHeight="1" s="135"/>
    <row r="1006" ht="13.8" customHeight="1" s="135"/>
    <row r="1007" ht="13.8" customHeight="1" s="135"/>
  </sheetData>
  <mergeCells count="3">
    <mergeCell ref="B1:H1"/>
    <mergeCell ref="B3:H3"/>
    <mergeCell ref="B2:H2"/>
  </mergeCells>
  <pageMargins left="0.7" right="0.7" top="0.75" bottom="0.75" header="0.3" footer="0.3"/>
  <pageSetup orientation="landscape" paperSize="9" scale="9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Q44"/>
  <sheetViews>
    <sheetView showGridLines="0" topLeftCell="A14" zoomScale="82" zoomScaleNormal="82" workbookViewId="0">
      <selection activeCell="C33" sqref="C33"/>
    </sheetView>
  </sheetViews>
  <sheetFormatPr baseColWidth="8" defaultRowHeight="14.4"/>
  <cols>
    <col width="5.21875" bestFit="1" customWidth="1" style="143" min="1" max="1"/>
    <col width="37" bestFit="1" customWidth="1" style="143" min="2" max="2"/>
    <col width="15.77734375" customWidth="1" style="155" min="3" max="4"/>
    <col width="15.77734375" customWidth="1" style="156" min="5" max="7"/>
    <col width="15.77734375" customWidth="1" style="143" min="8" max="8"/>
    <col width="12.109375" bestFit="1" customWidth="1" style="139" min="9" max="9"/>
    <col width="11.21875" bestFit="1" customWidth="1" style="139" min="10" max="11"/>
    <col width="9.44140625" bestFit="1" customWidth="1" style="139" min="12" max="12"/>
    <col width="12.109375" bestFit="1" customWidth="1" style="139" min="13" max="13"/>
    <col width="10.109375" bestFit="1" customWidth="1" style="139" min="14" max="14"/>
    <col width="9.44140625" bestFit="1" customWidth="1" style="139" min="15" max="15"/>
    <col width="10.109375" bestFit="1" customWidth="1" style="139" min="16" max="16"/>
    <col width="8.88671875" customWidth="1" style="139" min="17" max="18"/>
    <col width="8.88671875" customWidth="1" style="139" min="19" max="16384"/>
  </cols>
  <sheetData>
    <row r="1" ht="18" customHeight="1" s="135">
      <c r="A1" s="146">
        <f>Summary!B1</f>
        <v/>
      </c>
      <c r="I1" s="7" t="n"/>
      <c r="J1" s="7" t="n"/>
      <c r="K1" s="7" t="n"/>
      <c r="L1" s="7" t="n"/>
    </row>
    <row r="2" ht="15.6" customHeight="1" s="135">
      <c r="A2" s="142" t="inlineStr">
        <is>
          <t>Zomato Cash Flow   - January - 2026</t>
        </is>
      </c>
    </row>
    <row r="3" ht="15" customHeight="1" s="135" thickBot="1">
      <c r="A3" s="46" t="n"/>
      <c r="B3" s="46" t="n"/>
      <c r="C3" s="46" t="n"/>
      <c r="D3" s="46" t="n"/>
      <c r="E3" s="46" t="n"/>
      <c r="F3" s="46" t="n"/>
      <c r="G3" s="46" t="n"/>
      <c r="H3" s="46" t="n"/>
    </row>
    <row r="4" ht="15" customHeight="1" s="135" thickBot="1">
      <c r="A4" s="59" t="inlineStr">
        <is>
          <t>S.No</t>
        </is>
      </c>
      <c r="B4" s="60" t="inlineStr">
        <is>
          <t>Details</t>
        </is>
      </c>
      <c r="C4" s="61">
        <f>Summary!C4</f>
        <v/>
      </c>
      <c r="D4" s="61">
        <f>Summary!D4</f>
        <v/>
      </c>
      <c r="E4" s="61">
        <f>Summary!E4</f>
        <v/>
      </c>
      <c r="F4" s="61">
        <f>Summary!F4</f>
        <v/>
      </c>
      <c r="G4" s="61">
        <f>Summary!G4</f>
        <v/>
      </c>
      <c r="H4" s="61" t="inlineStr">
        <is>
          <t>Total</t>
        </is>
      </c>
    </row>
    <row r="5">
      <c r="A5" s="111" t="n">
        <v>1</v>
      </c>
      <c r="B5" s="62" t="inlineStr">
        <is>
          <t>Item sales (Delivered orders)</t>
        </is>
      </c>
      <c r="C5" s="63">
        <f>'D1W1'!O2</f>
        <v/>
      </c>
      <c r="D5" s="63">
        <f>'D1W2'!O2</f>
        <v/>
      </c>
      <c r="E5" s="88">
        <f>'D1W3'!O2</f>
        <v/>
      </c>
      <c r="F5" s="64">
        <f>'D1W4'!O2</f>
        <v/>
      </c>
      <c r="G5" s="64">
        <f>'D1W5'!O2</f>
        <v/>
      </c>
      <c r="H5" s="88">
        <f>SUM(C5:G5)</f>
        <v/>
      </c>
      <c r="I5" s="150" t="n"/>
      <c r="J5" s="150" t="n"/>
    </row>
    <row r="6">
      <c r="A6" s="112" t="n"/>
      <c r="B6" s="62" t="inlineStr">
        <is>
          <t>Add:- Packing charges</t>
        </is>
      </c>
      <c r="C6" s="62">
        <f>'D1W1'!P2</f>
        <v/>
      </c>
      <c r="D6" s="62">
        <f>'D1W2'!P2</f>
        <v/>
      </c>
      <c r="E6" s="62">
        <f>'D1W3'!P2</f>
        <v/>
      </c>
      <c r="F6" s="62">
        <f>'D1W4'!P2</f>
        <v/>
      </c>
      <c r="G6" s="88">
        <f>'D1W5'!P2</f>
        <v/>
      </c>
      <c r="H6" s="88">
        <f>SUM(C6:G6)</f>
        <v/>
      </c>
      <c r="I6" s="150" t="n"/>
      <c r="K6" s="150" t="n"/>
    </row>
    <row r="7">
      <c r="A7" s="112" t="n"/>
      <c r="B7" s="62" t="inlineStr">
        <is>
          <t>Add:- Compensation paid for cancelled orders</t>
        </is>
      </c>
      <c r="C7" s="65">
        <f>'D1W1'!AV1</f>
        <v/>
      </c>
      <c r="D7" s="65">
        <f>'D1W2'!AV1</f>
        <v/>
      </c>
      <c r="E7" s="88">
        <f>'D1W3'!AV1</f>
        <v/>
      </c>
      <c r="F7" s="88">
        <f>'D1W4'!AV1</f>
        <v/>
      </c>
      <c r="G7" s="88">
        <f>'D1W5'!AV1</f>
        <v/>
      </c>
      <c r="H7" s="88">
        <f>SUM(C7:G7)</f>
        <v/>
      </c>
      <c r="I7" s="150" t="n"/>
      <c r="J7" s="150" t="n"/>
      <c r="K7" s="150" t="n"/>
      <c r="L7" s="150" t="n"/>
      <c r="M7" s="150" t="n"/>
    </row>
    <row r="8">
      <c r="A8" s="112" t="n"/>
      <c r="B8" s="62" t="inlineStr">
        <is>
          <t>Less:- Discount</t>
        </is>
      </c>
      <c r="C8" s="63">
        <f>'D1W1'!R2+'D1W1'!S2+'D1W1'!U2</f>
        <v/>
      </c>
      <c r="D8" s="63">
        <f>'D1W2'!R2+'D1W2'!S2+'D1W2'!U2</f>
        <v/>
      </c>
      <c r="E8" s="88">
        <f>'D1W3'!R2+'D1W3'!S2+'D1W3'!U2</f>
        <v/>
      </c>
      <c r="F8" s="88">
        <f>'D1W4'!R2+'D1W4'!S2+'D1W4'!U2</f>
        <v/>
      </c>
      <c r="G8" s="88">
        <f>'D1W5'!R2+'D1W5'!S2+'D1W5'!U2</f>
        <v/>
      </c>
      <c r="H8" s="88">
        <f>SUM(C8:G8)</f>
        <v/>
      </c>
      <c r="I8" s="150" t="n"/>
      <c r="J8" s="150" t="n"/>
      <c r="K8" s="150" t="n"/>
      <c r="L8" s="150" t="n"/>
      <c r="M8" s="150" t="n"/>
      <c r="N8" s="150" t="n"/>
      <c r="O8" s="150" t="n"/>
      <c r="P8" s="150" t="n"/>
    </row>
    <row r="9">
      <c r="A9" s="112" t="n"/>
      <c r="B9" s="62" t="inlineStr">
        <is>
          <t xml:space="preserve">Add:- GST </t>
        </is>
      </c>
      <c r="C9" s="63">
        <f>'D1W1'!V2</f>
        <v/>
      </c>
      <c r="D9" s="63">
        <f>'D1W2'!V2</f>
        <v/>
      </c>
      <c r="E9" s="88">
        <f>'D1W3'!V2</f>
        <v/>
      </c>
      <c r="F9" s="88">
        <f>'D1W4'!V2</f>
        <v/>
      </c>
      <c r="G9" s="88">
        <f>'D1W5'!V2</f>
        <v/>
      </c>
      <c r="H9" s="88">
        <f>SUM(C9:G9)</f>
        <v/>
      </c>
      <c r="I9" s="11" t="n"/>
      <c r="J9" s="150" t="n"/>
      <c r="M9" s="139" t="inlineStr">
        <is>
          <t>Gst</t>
        </is>
      </c>
      <c r="N9" s="139" t="inlineStr">
        <is>
          <t>Tds</t>
        </is>
      </c>
    </row>
    <row r="10">
      <c r="A10" s="112" t="n"/>
      <c r="B10" s="66" t="inlineStr">
        <is>
          <t>Net Sales</t>
        </is>
      </c>
      <c r="C10" s="67">
        <f>C5+C6+C9+C7-C8</f>
        <v/>
      </c>
      <c r="D10" s="67">
        <f>D5+D6+D9+D7-D8</f>
        <v/>
      </c>
      <c r="E10" s="68">
        <f>E5+E6+E9+E7-E8</f>
        <v/>
      </c>
      <c r="F10" s="68">
        <f>F5+F6+F9+F7-F8</f>
        <v/>
      </c>
      <c r="G10" s="68">
        <f>G5+G6+G9+G7-G8</f>
        <v/>
      </c>
      <c r="H10" s="68">
        <f>H5+H6+H9+H7-H8</f>
        <v/>
      </c>
      <c r="I10" s="150" t="n"/>
      <c r="J10" s="1" t="n"/>
      <c r="M10" s="1">
        <f>H10-H29</f>
        <v/>
      </c>
      <c r="N10" s="139">
        <f>H12*100/118</f>
        <v/>
      </c>
    </row>
    <row r="11" ht="15" customHeight="1" s="135" thickBot="1">
      <c r="A11" s="111" t="n">
        <v>2</v>
      </c>
      <c r="B11" s="69" t="inlineStr">
        <is>
          <t>Less:- Commission</t>
        </is>
      </c>
      <c r="C11" s="70">
        <f>C12</f>
        <v/>
      </c>
      <c r="D11" s="70">
        <f>D12</f>
        <v/>
      </c>
      <c r="E11" s="70">
        <f>E12</f>
        <v/>
      </c>
      <c r="F11" s="70">
        <f>F12</f>
        <v/>
      </c>
      <c r="G11" s="70">
        <f>G12</f>
        <v/>
      </c>
      <c r="H11" s="70">
        <f>H12</f>
        <v/>
      </c>
      <c r="J11" s="8" t="n"/>
      <c r="K11" s="1" t="n"/>
    </row>
    <row r="12">
      <c r="A12" s="113" t="n"/>
      <c r="B12" s="71" t="inlineStr">
        <is>
          <t>Platform Fee</t>
        </is>
      </c>
      <c r="C12" s="72">
        <f>'D1W1'!Z3</f>
        <v/>
      </c>
      <c r="D12" s="72">
        <f>'D1W2'!Z3</f>
        <v/>
      </c>
      <c r="E12" s="73">
        <f>'D1W3'!Z3</f>
        <v/>
      </c>
      <c r="F12" s="74">
        <f>'D1W4'!Z3</f>
        <v/>
      </c>
      <c r="G12" s="74">
        <f>'D1W5'!Z3</f>
        <v/>
      </c>
      <c r="H12" s="74">
        <f>SUM(C12:G12)</f>
        <v/>
      </c>
      <c r="I12" s="150" t="n"/>
      <c r="J12" s="150" t="n"/>
      <c r="K12" s="150" t="n"/>
    </row>
    <row r="13">
      <c r="A13" s="111" t="n">
        <v>3</v>
      </c>
      <c r="B13" s="66" t="inlineStr">
        <is>
          <t>Less:- Other Charges</t>
        </is>
      </c>
      <c r="C13" s="67">
        <f>C14+C16-C15+C17</f>
        <v/>
      </c>
      <c r="D13" s="67">
        <f>D14+D16-D15+D17</f>
        <v/>
      </c>
      <c r="E13" s="67">
        <f>E14+E16-E15+E17</f>
        <v/>
      </c>
      <c r="F13" s="67">
        <f>F14+F16-F15+F17</f>
        <v/>
      </c>
      <c r="G13" s="67">
        <f>G14+G16-G15+G17</f>
        <v/>
      </c>
      <c r="H13" s="67">
        <f>H14+H16-H15+H17</f>
        <v/>
      </c>
    </row>
    <row r="14">
      <c r="A14" s="113" t="n"/>
      <c r="B14" s="75" t="inlineStr">
        <is>
          <t>Convenience Fee</t>
        </is>
      </c>
      <c r="C14" s="76">
        <f>'D1W1'!AA3</f>
        <v/>
      </c>
      <c r="D14" s="76">
        <f>'D1W2'!AA3</f>
        <v/>
      </c>
      <c r="E14" s="77">
        <f>'D1W3'!AA3</f>
        <v/>
      </c>
      <c r="F14" s="78">
        <f>'D1W4'!AA3</f>
        <v/>
      </c>
      <c r="G14" s="78">
        <f>'D1W5'!AA3</f>
        <v/>
      </c>
      <c r="H14" s="78">
        <f>SUM(C14:G14)</f>
        <v/>
      </c>
      <c r="I14" s="150" t="n"/>
      <c r="J14" s="150" t="n"/>
      <c r="K14" s="150" t="n"/>
      <c r="L14" s="150" t="n"/>
    </row>
    <row r="15">
      <c r="A15" s="113" t="n"/>
      <c r="B15" s="79" t="inlineStr">
        <is>
          <t>Discount on Service Fee</t>
        </is>
      </c>
      <c r="C15" s="76" t="n"/>
      <c r="D15" s="80" t="n"/>
      <c r="E15" s="78" t="n"/>
      <c r="F15" s="78" t="n"/>
      <c r="G15" s="77" t="n"/>
      <c r="H15" s="78">
        <f>SUM(C15:G15)</f>
        <v/>
      </c>
      <c r="I15" s="150" t="n"/>
      <c r="J15" s="150" t="n"/>
      <c r="K15" s="150" t="n"/>
      <c r="L15" s="150" t="inlineStr">
        <is>
          <t>netsales</t>
        </is>
      </c>
      <c r="M15" s="1">
        <f>C10+C8-C29</f>
        <v/>
      </c>
      <c r="N15" s="1">
        <f>D10+D8-D29</f>
        <v/>
      </c>
      <c r="O15" s="1">
        <f>E10+E8-E29</f>
        <v/>
      </c>
      <c r="P15" s="1">
        <f>F10+F8-F29</f>
        <v/>
      </c>
      <c r="Q15" s="1">
        <f>G10+G8-G29</f>
        <v/>
      </c>
    </row>
    <row r="16">
      <c r="A16" s="112" t="n"/>
      <c r="B16" s="62" t="inlineStr">
        <is>
          <t>Long Distance Fee</t>
        </is>
      </c>
      <c r="C16" s="63" t="n"/>
      <c r="D16" s="65" t="n"/>
      <c r="E16" s="81" t="n"/>
      <c r="F16" s="81" t="n"/>
      <c r="G16" s="88" t="n"/>
      <c r="H16" s="88">
        <f>SUM(C16:G16)</f>
        <v/>
      </c>
      <c r="L16" s="150" t="inlineStr">
        <is>
          <t>disc</t>
        </is>
      </c>
      <c r="M16" s="1">
        <f>C8</f>
        <v/>
      </c>
      <c r="N16" s="1">
        <f>D8</f>
        <v/>
      </c>
      <c r="O16" s="1">
        <f>E8</f>
        <v/>
      </c>
      <c r="P16" s="1">
        <f>F8</f>
        <v/>
      </c>
      <c r="Q16" s="1">
        <f>G8</f>
        <v/>
      </c>
    </row>
    <row r="17">
      <c r="A17" s="111" t="n">
        <v>4</v>
      </c>
      <c r="B17" s="62" t="inlineStr">
        <is>
          <t>Merchant Cancellation Charges</t>
        </is>
      </c>
      <c r="C17" s="63" t="n">
        <v>0</v>
      </c>
      <c r="D17" s="63" t="n">
        <v>0</v>
      </c>
      <c r="E17" s="81" t="n">
        <v>0</v>
      </c>
      <c r="F17" s="88" t="n">
        <v>0</v>
      </c>
      <c r="G17" s="88" t="n">
        <v>0</v>
      </c>
      <c r="H17" s="88">
        <f>SUM(C17:G17)</f>
        <v/>
      </c>
      <c r="L17" s="139" t="inlineStr">
        <is>
          <t>comm</t>
        </is>
      </c>
      <c r="M17" s="1">
        <f>C12-C15</f>
        <v/>
      </c>
      <c r="N17" s="1">
        <f>D12-D15</f>
        <v/>
      </c>
      <c r="O17" s="1">
        <f>E12-E15</f>
        <v/>
      </c>
      <c r="P17" s="1">
        <f>F12-F15</f>
        <v/>
      </c>
      <c r="Q17" s="1">
        <f>G12-G15</f>
        <v/>
      </c>
    </row>
    <row r="18" ht="14.4" customHeight="1" s="135">
      <c r="A18" s="112" t="n"/>
      <c r="B18" s="66" t="inlineStr">
        <is>
          <t>Less:- Refunds</t>
        </is>
      </c>
      <c r="C18" s="67">
        <f>SUM(C19:C20)</f>
        <v/>
      </c>
      <c r="D18" s="67">
        <f>SUM(D19:D20)</f>
        <v/>
      </c>
      <c r="E18" s="67">
        <f>SUM(E19:E20)</f>
        <v/>
      </c>
      <c r="F18" s="67">
        <f>SUM(F19:F20)</f>
        <v/>
      </c>
      <c r="G18" s="67">
        <f>SUM(G19:G20)</f>
        <v/>
      </c>
      <c r="H18" s="68">
        <f>H19+H20</f>
        <v/>
      </c>
      <c r="J18" s="150" t="n"/>
      <c r="L18" s="150" t="inlineStr">
        <is>
          <t>tds ecom</t>
        </is>
      </c>
      <c r="M18" s="1">
        <f>C27</f>
        <v/>
      </c>
      <c r="N18" s="1">
        <f>D27</f>
        <v/>
      </c>
      <c r="O18" s="1">
        <f>E27</f>
        <v/>
      </c>
      <c r="P18" s="1">
        <f>F27</f>
        <v/>
      </c>
      <c r="Q18" s="1">
        <f>G27</f>
        <v/>
      </c>
    </row>
    <row r="19">
      <c r="A19" s="111" t="n"/>
      <c r="B19" s="62" t="inlineStr">
        <is>
          <t>Paid by Restaurant</t>
        </is>
      </c>
      <c r="C19" s="63">
        <f>'D1W1'!AL4</f>
        <v/>
      </c>
      <c r="D19" s="63">
        <f>'D1W2'!AL4</f>
        <v/>
      </c>
      <c r="E19" s="88">
        <f>'D1W3'!AL4</f>
        <v/>
      </c>
      <c r="F19" s="88">
        <f>'D1W4'!AL4</f>
        <v/>
      </c>
      <c r="G19" s="88">
        <f>'D1W5'!AL4</f>
        <v/>
      </c>
      <c r="H19" s="88">
        <f>SUM(C19:G19)</f>
        <v/>
      </c>
      <c r="L19" s="157" t="inlineStr">
        <is>
          <t>conve</t>
        </is>
      </c>
      <c r="M19" s="1">
        <f>C14</f>
        <v/>
      </c>
      <c r="N19" s="1">
        <f>D14</f>
        <v/>
      </c>
      <c r="O19" s="1">
        <f>E14</f>
        <v/>
      </c>
      <c r="P19" s="1">
        <f>F14</f>
        <v/>
      </c>
      <c r="Q19" s="1">
        <f>G14</f>
        <v/>
      </c>
    </row>
    <row r="20">
      <c r="A20" s="111" t="n">
        <v>5</v>
      </c>
      <c r="B20" s="62" t="inlineStr">
        <is>
          <t>Received by Restaurant</t>
        </is>
      </c>
      <c r="C20" s="63" t="n">
        <v>0</v>
      </c>
      <c r="D20" s="63" t="n">
        <v>0</v>
      </c>
      <c r="E20" s="88" t="n">
        <v>0</v>
      </c>
      <c r="F20" s="88" t="n">
        <v>0</v>
      </c>
      <c r="G20" s="88" t="n">
        <v>0</v>
      </c>
      <c r="H20" s="88">
        <f>SUM(C20:G20)</f>
        <v/>
      </c>
      <c r="L20" s="139" t="inlineStr">
        <is>
          <t>othe cha</t>
        </is>
      </c>
      <c r="M20" s="1">
        <f>C16</f>
        <v/>
      </c>
      <c r="N20" s="1">
        <f>D16</f>
        <v/>
      </c>
      <c r="O20" s="1">
        <f>E16</f>
        <v/>
      </c>
      <c r="P20" s="1">
        <f>F16</f>
        <v/>
      </c>
      <c r="Q20" s="1">
        <f>G16</f>
        <v/>
      </c>
    </row>
    <row r="21" ht="17.4" customHeight="1" s="135">
      <c r="A21" s="112" t="n"/>
      <c r="B21" s="66" t="inlineStr">
        <is>
          <t>Less:- Marketing Charges</t>
        </is>
      </c>
      <c r="C21" s="67">
        <f>C22+C23+C24</f>
        <v/>
      </c>
      <c r="D21" s="67">
        <f>D22+D23+D24</f>
        <v/>
      </c>
      <c r="E21" s="68">
        <f>E22+E23+E24</f>
        <v/>
      </c>
      <c r="F21" s="68">
        <f>F22+F23+F24</f>
        <v/>
      </c>
      <c r="G21" s="68">
        <f>G22+G23+G24</f>
        <v/>
      </c>
      <c r="H21" s="68">
        <f>H22+H23+H24</f>
        <v/>
      </c>
      <c r="L21" s="139" t="inlineStr">
        <is>
          <t>tds</t>
        </is>
      </c>
      <c r="M21" s="139">
        <f>(C12*100/118)*2%</f>
        <v/>
      </c>
      <c r="N21" s="139">
        <f>(D12*100/118)*2%</f>
        <v/>
      </c>
      <c r="O21" s="139">
        <f>(E12*100/118)*2%</f>
        <v/>
      </c>
      <c r="P21" s="139">
        <f>(F12*100/118)*2%</f>
        <v/>
      </c>
      <c r="Q21" s="139">
        <f>(G12*100/118)*2%</f>
        <v/>
      </c>
    </row>
    <row r="22" ht="19.2" customHeight="1" s="135">
      <c r="A22" s="112" t="n"/>
      <c r="B22" s="62" t="inlineStr">
        <is>
          <t>High Priority</t>
        </is>
      </c>
      <c r="C22" s="63">
        <f>'D2W1'!G15-'D2W1'!G7</f>
        <v/>
      </c>
      <c r="D22" s="63">
        <f>'D2W2'!G15-'D2W2'!G7</f>
        <v/>
      </c>
      <c r="E22" s="88">
        <f>'D2W3'!G15-'D2W3'!G7</f>
        <v/>
      </c>
      <c r="F22" s="88">
        <f>'D2W4'!G15-'D2W4'!G7</f>
        <v/>
      </c>
      <c r="G22" s="88">
        <f>'D2W5'!G15-'D2W5'!G7</f>
        <v/>
      </c>
      <c r="H22" s="88">
        <f>SUM(C22:G22)</f>
        <v/>
      </c>
      <c r="J22" s="158" t="n"/>
      <c r="K22" s="158" t="n"/>
    </row>
    <row r="23">
      <c r="A23" s="112" t="n"/>
      <c r="B23" s="62" t="inlineStr">
        <is>
          <t xml:space="preserve">Call Center Service Fees </t>
        </is>
      </c>
      <c r="C23" s="63" t="n">
        <v>0</v>
      </c>
      <c r="D23" s="63" t="n">
        <v>0</v>
      </c>
      <c r="E23" s="88" t="n">
        <v>0</v>
      </c>
      <c r="F23" s="88" t="n">
        <v>0</v>
      </c>
      <c r="G23" s="88" t="n">
        <v>0</v>
      </c>
      <c r="H23" s="88">
        <f>SUM(C23:G23)</f>
        <v/>
      </c>
    </row>
    <row r="24">
      <c r="A24" s="112" t="n"/>
      <c r="B24" s="62" t="inlineStr">
        <is>
          <t>PocketHero Fee</t>
        </is>
      </c>
      <c r="C24" s="63" t="n">
        <v>0</v>
      </c>
      <c r="D24" s="63" t="n">
        <v>0</v>
      </c>
      <c r="E24" s="88" t="n">
        <v>0</v>
      </c>
      <c r="F24" s="88" t="n">
        <v>0</v>
      </c>
      <c r="G24" s="88" t="n">
        <v>0</v>
      </c>
      <c r="H24" s="88">
        <f>SUM(C24:G24)</f>
        <v/>
      </c>
      <c r="M24" s="150" t="n"/>
    </row>
    <row r="25">
      <c r="A25" s="111" t="n">
        <v>6</v>
      </c>
      <c r="B25" s="66" t="inlineStr">
        <is>
          <t>Profit from Zomato</t>
        </is>
      </c>
      <c r="C25" s="67">
        <f>C10-C11-C18-C21-C13-C29</f>
        <v/>
      </c>
      <c r="D25" s="67">
        <f>D10-D11-D18-D21-D13-D29</f>
        <v/>
      </c>
      <c r="E25" s="67">
        <f>E10-E11-E18-E21-E13-E29</f>
        <v/>
      </c>
      <c r="F25" s="67">
        <f>F10-F11-F18-F21-F13-F29</f>
        <v/>
      </c>
      <c r="G25" s="67">
        <f>G10-G11-G18-G21-G13-G29</f>
        <v/>
      </c>
      <c r="H25" s="67">
        <f>H10-H11-H18-H21-H13-H29</f>
        <v/>
      </c>
    </row>
    <row r="26">
      <c r="A26" s="112" t="n"/>
      <c r="B26" s="66" t="inlineStr">
        <is>
          <t>Less:- Tax Adjustments</t>
        </is>
      </c>
      <c r="C26" s="67">
        <f>SUM(C27:C29)</f>
        <v/>
      </c>
      <c r="D26" s="67">
        <f>SUM(D27:D29)</f>
        <v/>
      </c>
      <c r="E26" s="67">
        <f>SUM(E27:E29)</f>
        <v/>
      </c>
      <c r="F26" s="67">
        <f>SUM(F27:F29)</f>
        <v/>
      </c>
      <c r="G26" s="67">
        <f>SUM(G27:G29)</f>
        <v/>
      </c>
      <c r="H26" s="67">
        <f>SUM(H27:H29)</f>
        <v/>
      </c>
    </row>
    <row r="27">
      <c r="A27" s="112" t="n"/>
      <c r="B27" s="62" t="inlineStr">
        <is>
          <t>TDS deduction for aggrigators</t>
        </is>
      </c>
      <c r="C27" s="63">
        <f>'D1W1'!AH4</f>
        <v/>
      </c>
      <c r="D27" s="63">
        <f>'D1W2'!AH4</f>
        <v/>
      </c>
      <c r="E27" s="82">
        <f>'D1W3'!AH4</f>
        <v/>
      </c>
      <c r="F27" s="88">
        <f>'D1W4'!AH4</f>
        <v/>
      </c>
      <c r="G27" s="88">
        <f>'D1W5'!AH4</f>
        <v/>
      </c>
      <c r="H27" s="88">
        <f>SUM(C27:G27)</f>
        <v/>
      </c>
    </row>
    <row r="28" ht="15" customHeight="1" s="135">
      <c r="A28" s="112" t="n"/>
      <c r="B28" s="62" t="inlineStr">
        <is>
          <t>TCS</t>
        </is>
      </c>
      <c r="C28" s="63">
        <f>'D1W1'!AF4+'D1W1'!AG4</f>
        <v/>
      </c>
      <c r="D28" s="83">
        <f>'D1W2'!AF4+'D1W2'!AG4</f>
        <v/>
      </c>
      <c r="E28" s="88">
        <f>'D1W3'!AF4+'D1W3'!AG4</f>
        <v/>
      </c>
      <c r="F28" s="82">
        <f>'D1W4'!AF4+'D1W4'!AG4</f>
        <v/>
      </c>
      <c r="G28" s="88">
        <f>'D1W5'!AF4+'D1W5'!AG4</f>
        <v/>
      </c>
      <c r="H28" s="88">
        <f>SUM(C28:G28)</f>
        <v/>
      </c>
    </row>
    <row r="29" ht="15.6" customHeight="1" s="135">
      <c r="A29" s="111" t="n">
        <v>7</v>
      </c>
      <c r="B29" s="62" t="inlineStr">
        <is>
          <t>GST collected and paid by Zomato</t>
        </is>
      </c>
      <c r="C29" s="63">
        <f>'D1W1'!AI4</f>
        <v/>
      </c>
      <c r="D29" s="63">
        <f>'D1W2'!AI4</f>
        <v/>
      </c>
      <c r="E29" s="88">
        <f>'D1W3'!AI4</f>
        <v/>
      </c>
      <c r="F29" s="88">
        <f>'D1W4'!AI4</f>
        <v/>
      </c>
      <c r="G29" s="88">
        <f>'D1W5'!AI4</f>
        <v/>
      </c>
      <c r="H29" s="88">
        <f>SUM(C29:G29)</f>
        <v/>
      </c>
    </row>
    <row r="30">
      <c r="A30" s="111" t="n"/>
      <c r="B30" s="66" t="inlineStr">
        <is>
          <t>Expected Receipts</t>
        </is>
      </c>
      <c r="C30" s="67">
        <f>C25-C27-C28-C34</f>
        <v/>
      </c>
      <c r="D30" s="67">
        <f>D25-D27-D28-D34</f>
        <v/>
      </c>
      <c r="E30" s="67">
        <f>E25-E27-E28-E34</f>
        <v/>
      </c>
      <c r="F30" s="67">
        <f>F25-F27-F28-F34</f>
        <v/>
      </c>
      <c r="G30" s="67">
        <f>G25-G27-G28-G34</f>
        <v/>
      </c>
      <c r="H30" s="67">
        <f>H25-H27-H28-H34</f>
        <v/>
      </c>
      <c r="J30" s="150" t="n"/>
    </row>
    <row r="31">
      <c r="A31" s="112" t="n"/>
      <c r="B31" s="62" t="inlineStr">
        <is>
          <t>Service Fee Reversal</t>
        </is>
      </c>
      <c r="C31" s="63" t="n">
        <v>0</v>
      </c>
      <c r="D31" s="63" t="n">
        <v>0</v>
      </c>
      <c r="E31" s="63" t="n">
        <v>0</v>
      </c>
      <c r="F31" s="63" t="n">
        <v>0</v>
      </c>
      <c r="G31" s="63" t="n">
        <v>0</v>
      </c>
      <c r="H31" s="63">
        <f>SUM(C31:G31)</f>
        <v/>
      </c>
      <c r="J31" s="150" t="n"/>
    </row>
    <row r="32">
      <c r="A32" s="112" t="n"/>
      <c r="B32" s="62" t="inlineStr">
        <is>
          <t>Interim payments</t>
        </is>
      </c>
      <c r="C32" s="63" t="n">
        <v>0</v>
      </c>
      <c r="D32" s="63" t="n">
        <v>0</v>
      </c>
      <c r="E32" s="88" t="n">
        <v>0</v>
      </c>
      <c r="F32" s="88" t="n">
        <v>0</v>
      </c>
      <c r="G32" s="88" t="n">
        <v>0</v>
      </c>
      <c r="H32" s="88">
        <f>SUM(C32:G32)</f>
        <v/>
      </c>
    </row>
    <row r="33">
      <c r="A33" s="112" t="n"/>
      <c r="B33" s="62" t="inlineStr">
        <is>
          <t>Opening Week Adjustments</t>
        </is>
      </c>
      <c r="C33" s="63" t="n">
        <v>20136.95000000001</v>
      </c>
      <c r="D33" s="63" t="n">
        <v>0</v>
      </c>
      <c r="E33" s="88" t="n">
        <v>0</v>
      </c>
      <c r="F33" s="88" t="n">
        <v>0</v>
      </c>
      <c r="G33" s="88" t="n">
        <v>0</v>
      </c>
      <c r="H33" s="88">
        <f>SUM(C33:G33)</f>
        <v/>
      </c>
    </row>
    <row r="34">
      <c r="A34" s="112" t="n"/>
      <c r="B34" s="62" t="inlineStr">
        <is>
          <t>Following Week Adjustments</t>
        </is>
      </c>
      <c r="C34" s="63" t="n">
        <v>0</v>
      </c>
      <c r="D34" s="63" t="n">
        <v>0</v>
      </c>
      <c r="E34" s="88" t="n">
        <v>0</v>
      </c>
      <c r="F34" s="88" t="n">
        <v>0</v>
      </c>
      <c r="G34" s="88" t="n">
        <v>0</v>
      </c>
      <c r="H34" s="88">
        <f>SUM(C34:G34)</f>
        <v/>
      </c>
    </row>
    <row r="35">
      <c r="A35" s="112" t="n"/>
      <c r="B35" s="62" t="inlineStr">
        <is>
          <t>Closing Week Adjustments</t>
        </is>
      </c>
      <c r="C35" s="63" t="n">
        <v>0</v>
      </c>
      <c r="D35" s="63" t="n">
        <v>0</v>
      </c>
      <c r="E35" s="88" t="n">
        <v>0</v>
      </c>
      <c r="F35" s="88" t="n">
        <v>0</v>
      </c>
      <c r="G35" s="88" t="n">
        <v>6428.560000000003</v>
      </c>
      <c r="H35" s="88">
        <f>SUM(C35:G35)</f>
        <v/>
      </c>
    </row>
    <row r="36">
      <c r="A36" s="112" t="n"/>
      <c r="B36" s="62" t="inlineStr">
        <is>
          <t>Zomato hyperpure Payment Adjustments</t>
        </is>
      </c>
      <c r="C36" s="63">
        <f>'D2W1'!G20</f>
        <v/>
      </c>
      <c r="D36" s="63">
        <f>'D2W2'!G19</f>
        <v/>
      </c>
      <c r="E36" s="88">
        <f>'D2W3'!G19</f>
        <v/>
      </c>
      <c r="F36" s="88">
        <f>'D2W4'!G19</f>
        <v/>
      </c>
      <c r="G36" s="88">
        <f>'D2W5'!G19</f>
        <v/>
      </c>
      <c r="H36" s="88">
        <f>SUM(C36:G36)</f>
        <v/>
      </c>
    </row>
    <row r="37">
      <c r="A37" s="112" t="n"/>
      <c r="B37" s="62" t="inlineStr">
        <is>
          <t>EMI Loan deductions</t>
        </is>
      </c>
      <c r="C37" s="63" t="n">
        <v>0</v>
      </c>
      <c r="D37" s="63" t="n">
        <v>0</v>
      </c>
      <c r="E37" s="88" t="n">
        <v>0</v>
      </c>
      <c r="F37" s="88" t="n">
        <v>0</v>
      </c>
      <c r="G37" s="88" t="n">
        <v>0</v>
      </c>
      <c r="H37" s="88">
        <f>SUM(C37:G37)</f>
        <v/>
      </c>
    </row>
    <row r="38">
      <c r="A38" s="111" t="n">
        <v>8</v>
      </c>
      <c r="B38" s="66" t="inlineStr">
        <is>
          <t>Actual receipts</t>
        </is>
      </c>
      <c r="C38" s="67" t="n">
        <v>0</v>
      </c>
      <c r="D38" s="67" t="n">
        <v>0</v>
      </c>
      <c r="E38" s="68" t="n">
        <v>0</v>
      </c>
      <c r="F38" s="84" t="n">
        <v>0</v>
      </c>
      <c r="G38" s="84" t="n">
        <v>0</v>
      </c>
      <c r="H38" s="84">
        <f>SUM(C38:G38)</f>
        <v/>
      </c>
      <c r="J38" s="1" t="n"/>
    </row>
    <row r="39" ht="15" customHeight="1" s="135" thickBot="1">
      <c r="A39" s="147" t="n"/>
      <c r="B39" s="41" t="inlineStr">
        <is>
          <t>Difference</t>
        </is>
      </c>
      <c r="C39" s="85">
        <f>C30-C38-C36+C33+C35</f>
        <v/>
      </c>
      <c r="D39" s="85">
        <f>D30-D38-D36-D33+D35</f>
        <v/>
      </c>
      <c r="E39" s="85">
        <f>E30-E38-E36-E33+E35</f>
        <v/>
      </c>
      <c r="F39" s="85">
        <f>F30-F38-F36-F33+F35-F34-F32</f>
        <v/>
      </c>
      <c r="G39" s="85">
        <f>G30-G38-G36-G33+G35</f>
        <v/>
      </c>
      <c r="H39" s="85">
        <f>H30-H38-H36+H33+H35-H34-H32</f>
        <v/>
      </c>
    </row>
    <row r="40">
      <c r="A40" s="12" t="n"/>
    </row>
    <row r="41">
      <c r="B41" s="12" t="inlineStr">
        <is>
          <t xml:space="preserve">Note : </t>
        </is>
      </c>
    </row>
    <row r="42"/>
    <row r="43"/>
    <row r="44">
      <c r="B44" s="155" t="n"/>
    </row>
  </sheetData>
  <mergeCells count="2">
    <mergeCell ref="A2:H2"/>
    <mergeCell ref="A1:H1"/>
  </mergeCells>
  <pageMargins left="0.7" right="0.7" top="0.75" bottom="0.75" header="0.3" footer="0.3"/>
  <pageSetup orientation="landscape" paperSize="9" scale="7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H37"/>
  <sheetViews>
    <sheetView showGridLines="0" zoomScaleNormal="100" workbookViewId="0">
      <selection activeCell="A2" sqref="A2:G2"/>
    </sheetView>
  </sheetViews>
  <sheetFormatPr baseColWidth="8" defaultRowHeight="13.8"/>
  <cols>
    <col width="45.5546875" bestFit="1" customWidth="1" style="139" min="1" max="1"/>
    <col width="12.77734375" bestFit="1" customWidth="1" style="139" min="2" max="3"/>
    <col width="13.33203125" bestFit="1" customWidth="1" style="139" min="4" max="4"/>
    <col width="13.109375" bestFit="1" customWidth="1" style="139" min="5" max="5"/>
    <col width="12.33203125" customWidth="1" style="139" min="6" max="6"/>
    <col width="14" bestFit="1" customWidth="1" style="139" min="7" max="7"/>
    <col width="8.88671875" customWidth="1" style="139" min="8" max="9"/>
    <col width="8.88671875" customWidth="1" style="139" min="10" max="16384"/>
  </cols>
  <sheetData>
    <row r="1" ht="18" customHeight="1" s="135">
      <c r="A1" s="138">
        <f>Summary!B1</f>
        <v/>
      </c>
      <c r="H1" s="143" t="n"/>
    </row>
    <row r="2" ht="15.6" customHeight="1" s="135">
      <c r="A2" s="140" t="inlineStr">
        <is>
          <t>Zomato Profit Statement - January - 2026</t>
        </is>
      </c>
      <c r="H2" s="143" t="n"/>
    </row>
    <row r="3" ht="18" customHeight="1" s="135" thickBot="1">
      <c r="A3" s="50" t="n"/>
      <c r="B3" s="42" t="n"/>
      <c r="C3" s="42" t="n"/>
      <c r="D3" s="42" t="n"/>
      <c r="E3" s="42" t="n"/>
      <c r="F3" s="42" t="n"/>
      <c r="G3" s="42" t="n"/>
      <c r="H3" s="143" t="n"/>
    </row>
    <row r="4" ht="15" customHeight="1" s="135" thickBot="1">
      <c r="A4" s="51" t="inlineStr">
        <is>
          <t>Details</t>
        </is>
      </c>
      <c r="B4" s="159">
        <f>Summary!C4</f>
        <v/>
      </c>
      <c r="C4" s="159">
        <f>Summary!D4</f>
        <v/>
      </c>
      <c r="D4" s="159">
        <f>Summary!E4</f>
        <v/>
      </c>
      <c r="E4" s="159">
        <f>Summary!F4</f>
        <v/>
      </c>
      <c r="F4" s="159">
        <f>Summary!G4</f>
        <v/>
      </c>
      <c r="G4" s="159">
        <f>Summary!H4</f>
        <v/>
      </c>
      <c r="H4" s="37" t="n"/>
    </row>
    <row r="5" ht="14.4" customHeight="1" s="135">
      <c r="A5" s="52" t="inlineStr">
        <is>
          <t>A. Net Sales</t>
        </is>
      </c>
      <c r="B5" s="38" t="n"/>
      <c r="C5" s="38" t="n"/>
      <c r="D5" s="38" t="n"/>
      <c r="E5" s="38" t="n"/>
      <c r="F5" s="43" t="n"/>
      <c r="G5" s="43" t="n"/>
      <c r="H5" s="143" t="n"/>
    </row>
    <row r="6" ht="14.4" customHeight="1" s="135">
      <c r="A6" s="49" t="inlineStr">
        <is>
          <t>Total Income</t>
        </is>
      </c>
      <c r="B6" s="88">
        <f>Cashflow!C5+Cashflow!C6+Cashflow!C9-Cashflow!C8-Cashflow!C29</f>
        <v/>
      </c>
      <c r="C6" s="88">
        <f>Cashflow!D5+Cashflow!D6+Cashflow!D9-Cashflow!D8-Cashflow!D29</f>
        <v/>
      </c>
      <c r="D6" s="88">
        <f>Cashflow!E5+Cashflow!E6+Cashflow!E9-Cashflow!E8-Cashflow!E29</f>
        <v/>
      </c>
      <c r="E6" s="88">
        <f>Cashflow!F5+Cashflow!F6+Cashflow!F9-Cashflow!F8-Cashflow!F29</f>
        <v/>
      </c>
      <c r="F6" s="88">
        <f>Cashflow!G5+Cashflow!G6+Cashflow!G9-Cashflow!G8-Cashflow!G29</f>
        <v/>
      </c>
      <c r="G6" s="92">
        <f>SUM(B6:F6)</f>
        <v/>
      </c>
      <c r="H6" s="143" t="n"/>
    </row>
    <row r="7" ht="15" customHeight="1" s="135" thickBot="1">
      <c r="A7" s="49" t="inlineStr">
        <is>
          <t>Add- Adjust: Cancelled orders (By Zomato)</t>
        </is>
      </c>
      <c r="B7" s="89">
        <f>Cashflow!C7</f>
        <v/>
      </c>
      <c r="C7" s="89">
        <f>Cashflow!D7</f>
        <v/>
      </c>
      <c r="D7" s="89">
        <f>Cashflow!E7</f>
        <v/>
      </c>
      <c r="E7" s="89">
        <f>Cashflow!F7</f>
        <v/>
      </c>
      <c r="F7" s="89">
        <f>Cashflow!G7</f>
        <v/>
      </c>
      <c r="G7" s="92">
        <f>SUM(B7:F7)</f>
        <v/>
      </c>
      <c r="H7" s="143" t="n"/>
    </row>
    <row r="8" ht="15" customHeight="1" s="135" thickBot="1">
      <c r="A8" s="53" t="inlineStr">
        <is>
          <t>Net Sales (Number that you see on Numerize app)</t>
        </is>
      </c>
      <c r="B8" s="93">
        <f>B6+B7</f>
        <v/>
      </c>
      <c r="C8" s="93">
        <f>C6+C7</f>
        <v/>
      </c>
      <c r="D8" s="93">
        <f>D6+D7</f>
        <v/>
      </c>
      <c r="E8" s="93">
        <f>E6+E7</f>
        <v/>
      </c>
      <c r="F8" s="93">
        <f>F6+F7</f>
        <v/>
      </c>
      <c r="G8" s="94">
        <f>G6+G7</f>
        <v/>
      </c>
      <c r="H8" s="143" t="n"/>
    </row>
    <row r="9" ht="14.4" customHeight="1" s="135">
      <c r="A9" s="49" t="n"/>
      <c r="B9" s="89" t="n"/>
      <c r="C9" s="89" t="n"/>
      <c r="D9" s="89" t="n"/>
      <c r="E9" s="89" t="n"/>
      <c r="F9" s="90" t="n"/>
      <c r="G9" s="90" t="n"/>
      <c r="H9" s="143" t="n"/>
    </row>
    <row r="10" ht="14.4" customHeight="1" s="135">
      <c r="A10" s="54" t="inlineStr">
        <is>
          <t>B.  Less:- Commission</t>
        </is>
      </c>
      <c r="B10" s="89">
        <f>Cashflow!C11</f>
        <v/>
      </c>
      <c r="C10" s="89">
        <f>Cashflow!D11</f>
        <v/>
      </c>
      <c r="D10" s="89">
        <f>Cashflow!E11</f>
        <v/>
      </c>
      <c r="E10" s="89">
        <f>Cashflow!F11</f>
        <v/>
      </c>
      <c r="F10" s="89">
        <f>Cashflow!G11</f>
        <v/>
      </c>
      <c r="G10" s="92">
        <f>SUM(B10:F10)</f>
        <v/>
      </c>
      <c r="H10" s="143" t="n"/>
    </row>
    <row r="11" ht="14.4" customHeight="1" s="135">
      <c r="A11" s="49" t="n"/>
      <c r="B11" s="89" t="n"/>
      <c r="C11" s="89" t="n"/>
      <c r="D11" s="89" t="n"/>
      <c r="E11" s="89" t="n"/>
      <c r="F11" s="90" t="n"/>
      <c r="G11" s="91" t="n"/>
      <c r="H11" s="143" t="n"/>
    </row>
    <row r="12" ht="14.4" customHeight="1" s="135">
      <c r="A12" s="54" t="inlineStr">
        <is>
          <t>C.  Less:- Marketing &amp; Ads</t>
        </is>
      </c>
      <c r="B12" s="89">
        <f>Cashflow!C21</f>
        <v/>
      </c>
      <c r="C12" s="89">
        <f>Cashflow!D21</f>
        <v/>
      </c>
      <c r="D12" s="89">
        <f>Cashflow!E21</f>
        <v/>
      </c>
      <c r="E12" s="89">
        <f>Cashflow!F21</f>
        <v/>
      </c>
      <c r="F12" s="89">
        <f>Cashflow!G21</f>
        <v/>
      </c>
      <c r="G12" s="92">
        <f>SUM(B12:F12)</f>
        <v/>
      </c>
      <c r="H12" s="143" t="n"/>
    </row>
    <row r="13" ht="14.4" customHeight="1" s="135">
      <c r="A13" s="49" t="n"/>
      <c r="B13" s="89" t="n"/>
      <c r="C13" s="89" t="n"/>
      <c r="D13" s="89" t="n"/>
      <c r="E13" s="89" t="n"/>
      <c r="F13" s="90" t="n"/>
      <c r="G13" s="91" t="n"/>
      <c r="H13" s="143" t="n"/>
    </row>
    <row r="14" ht="14.4" customHeight="1" s="135">
      <c r="A14" s="54" t="inlineStr">
        <is>
          <t>D. Less:- Refund on disputed orders</t>
        </is>
      </c>
      <c r="B14" s="89">
        <f>Cashflow!C18</f>
        <v/>
      </c>
      <c r="C14" s="89">
        <f>Cashflow!D18</f>
        <v/>
      </c>
      <c r="D14" s="89">
        <f>Cashflow!E18</f>
        <v/>
      </c>
      <c r="E14" s="89">
        <f>Cashflow!F18</f>
        <v/>
      </c>
      <c r="F14" s="89">
        <f>Cashflow!G18</f>
        <v/>
      </c>
      <c r="G14" s="92">
        <f>SUM(B14:F14)</f>
        <v/>
      </c>
      <c r="H14" s="143" t="n"/>
    </row>
    <row r="15" ht="14.4" customHeight="1" s="135">
      <c r="A15" s="49" t="n"/>
      <c r="B15" s="89" t="n"/>
      <c r="C15" s="89" t="n"/>
      <c r="D15" s="89" t="n"/>
      <c r="E15" s="89" t="n"/>
      <c r="F15" s="90" t="n"/>
      <c r="G15" s="91" t="n"/>
      <c r="H15" s="143" t="n"/>
    </row>
    <row r="16" ht="14.4" customHeight="1" s="135">
      <c r="A16" s="54" t="inlineStr">
        <is>
          <t>E. Other charges</t>
        </is>
      </c>
      <c r="B16" s="89">
        <f>Cashflow!C13</f>
        <v/>
      </c>
      <c r="C16" s="89">
        <f>Cashflow!D13</f>
        <v/>
      </c>
      <c r="D16" s="89">
        <f>Cashflow!E13</f>
        <v/>
      </c>
      <c r="E16" s="89">
        <f>Cashflow!F13</f>
        <v/>
      </c>
      <c r="F16" s="89">
        <f>Cashflow!G13</f>
        <v/>
      </c>
      <c r="G16" s="92">
        <f>SUM(B16:F16)</f>
        <v/>
      </c>
      <c r="H16" s="143" t="n"/>
    </row>
    <row r="17" ht="15" customHeight="1" s="135" thickBot="1">
      <c r="A17" s="49" t="n"/>
      <c r="B17" s="89" t="n"/>
      <c r="C17" s="89" t="n"/>
      <c r="D17" s="89" t="n"/>
      <c r="E17" s="89" t="n"/>
      <c r="F17" s="90" t="n"/>
      <c r="G17" s="90" t="n"/>
      <c r="H17" s="143" t="n"/>
    </row>
    <row r="18" ht="14.4" customHeight="1" s="135" thickBot="1">
      <c r="A18" s="55" t="inlineStr">
        <is>
          <t>F. Profit</t>
        </is>
      </c>
      <c r="B18" s="93">
        <f>B8-B10-B12-B14-B16</f>
        <v/>
      </c>
      <c r="C18" s="93">
        <f>C8-C10-C12-C14-C16</f>
        <v/>
      </c>
      <c r="D18" s="93">
        <f>D8-D10-D12-D14-D16</f>
        <v/>
      </c>
      <c r="E18" s="93">
        <f>E8-E10-E12-E14-E16</f>
        <v/>
      </c>
      <c r="F18" s="93">
        <f>F8-F10-F12-F14-F16</f>
        <v/>
      </c>
      <c r="G18" s="94">
        <f>G8-G10-G12-G14-G16</f>
        <v/>
      </c>
      <c r="H18" s="143" t="n"/>
    </row>
    <row r="19" ht="15" customHeight="1" s="135" thickBot="1">
      <c r="A19" s="56" t="inlineStr">
        <is>
          <t>Percentage</t>
        </is>
      </c>
      <c r="B19" s="44">
        <f>IFERROR(B18/B8,0)</f>
        <v/>
      </c>
      <c r="C19" s="44">
        <f>IFERROR(C18/C8,0)</f>
        <v/>
      </c>
      <c r="D19" s="44">
        <f>IFERROR(D18/D8,0)</f>
        <v/>
      </c>
      <c r="E19" s="44">
        <f>IFERROR(E18/E8,0)</f>
        <v/>
      </c>
      <c r="F19" s="44">
        <f>IFERROR(F18/F8,0)</f>
        <v/>
      </c>
      <c r="G19" s="45">
        <f>G18/G8</f>
        <v/>
      </c>
      <c r="H19" s="143" t="n"/>
    </row>
    <row r="20" ht="14.4" customHeight="1" s="135">
      <c r="B20" s="143" t="n"/>
      <c r="C20" s="143" t="n"/>
      <c r="D20" s="143" t="n"/>
      <c r="E20" s="143" t="n"/>
      <c r="F20" s="143" t="n"/>
      <c r="G20" s="143" t="n"/>
      <c r="H20" s="143" t="n"/>
    </row>
    <row r="21" ht="17.4" customHeight="1" s="135">
      <c r="B21" s="160" t="n"/>
      <c r="C21" s="160" t="n"/>
      <c r="D21" s="160" t="n"/>
      <c r="E21" s="160" t="n"/>
      <c r="F21" s="160" t="n"/>
      <c r="G21" s="160" t="n"/>
      <c r="H21" s="143" t="n"/>
    </row>
    <row r="22" ht="19.2" customHeight="1" s="135">
      <c r="B22" s="160" t="n"/>
      <c r="C22" s="160" t="n"/>
      <c r="D22" s="160" t="n"/>
      <c r="E22" s="160" t="n"/>
      <c r="F22" s="160" t="n"/>
      <c r="G22" s="160" t="n"/>
      <c r="H22" s="143" t="n"/>
    </row>
    <row r="23" ht="14.4" customHeight="1" s="135">
      <c r="B23" s="160" t="n"/>
      <c r="C23" s="160" t="n"/>
      <c r="D23" s="160" t="n"/>
      <c r="E23" s="160" t="n"/>
      <c r="F23" s="160" t="n"/>
      <c r="G23" s="160" t="n"/>
      <c r="H23" s="143" t="n"/>
    </row>
    <row r="24" ht="14.4" customHeight="1" s="135"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B25" s="160" t="n"/>
      <c r="C25" s="160" t="n"/>
      <c r="D25" s="160" t="n"/>
      <c r="E25" s="160" t="n"/>
      <c r="F25" s="160" t="n"/>
      <c r="G25" s="160" t="n"/>
      <c r="H25" s="143" t="n"/>
    </row>
    <row r="26" ht="14.4" customHeight="1" s="135">
      <c r="B26" s="143" t="n"/>
      <c r="C26" s="143" t="n"/>
      <c r="D26" s="143" t="n"/>
      <c r="E26" s="143" t="n"/>
      <c r="F26" s="143" t="n"/>
      <c r="G26" s="143" t="n"/>
      <c r="H26" s="143" t="n"/>
    </row>
    <row r="27" ht="8.4" customHeight="1" s="135">
      <c r="B27" s="143" t="n"/>
      <c r="C27" s="143" t="n"/>
      <c r="D27" s="143" t="n"/>
      <c r="E27" s="143" t="n"/>
      <c r="F27" s="143" t="n"/>
      <c r="G27" s="143" t="n"/>
      <c r="H27" s="143" t="n"/>
    </row>
    <row r="28" ht="15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.6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4.4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H38"/>
  <sheetViews>
    <sheetView showGridLines="0" zoomScaleNormal="100" workbookViewId="0">
      <selection activeCell="A2" sqref="A2:G2"/>
    </sheetView>
  </sheetViews>
  <sheetFormatPr baseColWidth="8" defaultRowHeight="13.8"/>
  <cols>
    <col width="46.21875" customWidth="1" style="139" min="1" max="1"/>
    <col width="12" bestFit="1" customWidth="1" style="139" min="2" max="3"/>
    <col width="13.33203125" bestFit="1" customWidth="1" style="139" min="4" max="4"/>
    <col width="13.109375" bestFit="1" customWidth="1" style="139" min="5" max="5"/>
    <col width="12.6640625" customWidth="1" style="139" min="6" max="6"/>
    <col width="12.33203125" bestFit="1" customWidth="1" style="139" min="7" max="7"/>
    <col width="8.88671875" customWidth="1" style="139" min="8" max="9"/>
    <col width="8.88671875" customWidth="1" style="139" min="10" max="16384"/>
  </cols>
  <sheetData>
    <row r="1" ht="14.4" customHeight="1" s="135">
      <c r="A1" s="138">
        <f>Summary!B1</f>
        <v/>
      </c>
      <c r="H1" s="36" t="n"/>
    </row>
    <row r="2" ht="15.6" customHeight="1" s="135">
      <c r="A2" s="140" t="inlineStr">
        <is>
          <t>Zomato Discrepancies  - January - 2026</t>
        </is>
      </c>
      <c r="H2" s="143" t="n"/>
    </row>
    <row r="3" ht="15" customHeight="1" s="135" thickBot="1">
      <c r="A3" s="143" t="n"/>
      <c r="B3" s="143" t="n"/>
      <c r="C3" s="143" t="n"/>
      <c r="D3" s="143" t="n"/>
      <c r="E3" s="143" t="n"/>
      <c r="F3" s="143" t="n"/>
      <c r="G3" s="143" t="n"/>
      <c r="H3" s="143" t="n"/>
    </row>
    <row r="4" ht="15" customHeight="1" s="135" thickBot="1">
      <c r="A4" s="57" t="inlineStr">
        <is>
          <t>Details</t>
        </is>
      </c>
      <c r="B4" s="161">
        <f>Summary!C4</f>
        <v/>
      </c>
      <c r="C4" s="161">
        <f>Summary!D4</f>
        <v/>
      </c>
      <c r="D4" s="161">
        <f>Summary!E4</f>
        <v/>
      </c>
      <c r="E4" s="161">
        <f>Summary!F4</f>
        <v/>
      </c>
      <c r="F4" s="161">
        <f>Summary!G4</f>
        <v/>
      </c>
      <c r="G4" s="161">
        <f>Summary!H4</f>
        <v/>
      </c>
      <c r="H4" s="37" t="n"/>
    </row>
    <row r="5" ht="14.4" customHeight="1" s="135">
      <c r="A5" s="48" t="inlineStr">
        <is>
          <t>A. POS discrepancies</t>
        </is>
      </c>
      <c r="B5" s="38" t="n"/>
      <c r="C5" s="38" t="n"/>
      <c r="D5" s="38" t="n"/>
      <c r="E5" s="38" t="n"/>
      <c r="F5" s="38" t="n"/>
      <c r="G5" s="38" t="n"/>
      <c r="H5" s="143" t="n"/>
    </row>
    <row r="6" ht="14.4" customHeight="1" s="135">
      <c r="A6" s="38" t="inlineStr">
        <is>
          <t>Sales as per Zomato</t>
        </is>
      </c>
      <c r="B6" s="86">
        <f>Cashflow!C10</f>
        <v/>
      </c>
      <c r="C6" s="86">
        <f>Cashflow!D10</f>
        <v/>
      </c>
      <c r="D6" s="86">
        <f>Cashflow!E10</f>
        <v/>
      </c>
      <c r="E6" s="86">
        <f>Cashflow!F10</f>
        <v/>
      </c>
      <c r="F6" s="86">
        <f>Cashflow!G10</f>
        <v/>
      </c>
      <c r="G6" s="86">
        <f>SUM(B6:F6)</f>
        <v/>
      </c>
      <c r="H6" s="143" t="n"/>
    </row>
    <row r="7" ht="14.4" customHeight="1" s="135">
      <c r="A7" s="38" t="inlineStr">
        <is>
          <t>Sale as per POS</t>
        </is>
      </c>
      <c r="B7" s="86" t="n"/>
      <c r="C7" s="86" t="n"/>
      <c r="D7" s="86" t="n"/>
      <c r="E7" s="86" t="n"/>
      <c r="F7" s="86" t="n"/>
      <c r="G7" s="86">
        <f>SUM(B7:F7)</f>
        <v/>
      </c>
      <c r="H7" s="143" t="n"/>
    </row>
    <row r="8" ht="14.4" customHeight="1" s="135">
      <c r="A8" s="47" t="inlineStr">
        <is>
          <t>Difference</t>
        </is>
      </c>
      <c r="B8" s="87">
        <f>B7-B6</f>
        <v/>
      </c>
      <c r="C8" s="87">
        <f>C7-C6</f>
        <v/>
      </c>
      <c r="D8" s="87">
        <f>D7-D6</f>
        <v/>
      </c>
      <c r="E8" s="87">
        <f>E7-E6</f>
        <v/>
      </c>
      <c r="F8" s="87">
        <f>F7-F6</f>
        <v/>
      </c>
      <c r="G8" s="87">
        <f>G7-G6</f>
        <v/>
      </c>
      <c r="H8" s="143" t="n"/>
    </row>
    <row r="9" ht="14.4" customHeight="1" s="135">
      <c r="A9" s="38" t="n"/>
      <c r="B9" s="39">
        <f>IFERROR(B8/B6,)</f>
        <v/>
      </c>
      <c r="C9" s="39">
        <f>IFERROR(C8/C6,0)</f>
        <v/>
      </c>
      <c r="D9" s="39">
        <f>IFERROR(D8/D6,0)</f>
        <v/>
      </c>
      <c r="E9" s="39">
        <f>IFERROR(E8/E6,0)</f>
        <v/>
      </c>
      <c r="F9" s="39">
        <f>IFERROR(F8/F6,0)</f>
        <v/>
      </c>
      <c r="G9" s="39">
        <f>IFERROR(G8/G6,0)</f>
        <v/>
      </c>
      <c r="H9" s="143" t="n"/>
    </row>
    <row r="10" ht="14.4" customHeight="1" s="135">
      <c r="A10" s="38" t="n"/>
      <c r="B10" s="40" t="n"/>
      <c r="C10" s="40" t="n"/>
      <c r="D10" s="40" t="n"/>
      <c r="E10" s="40" t="n"/>
      <c r="F10" s="40" t="n"/>
      <c r="G10" s="40" t="n"/>
      <c r="H10" s="143" t="n"/>
    </row>
    <row r="11" ht="14.4" customHeight="1" s="135">
      <c r="A11" s="48" t="inlineStr">
        <is>
          <t>B. Order discrepancies</t>
        </is>
      </c>
      <c r="B11" s="162" t="n"/>
      <c r="C11" s="162" t="n"/>
      <c r="D11" s="162" t="n"/>
      <c r="E11" s="162" t="n"/>
      <c r="F11" s="162" t="n"/>
      <c r="G11" s="162" t="n"/>
      <c r="H11" s="143" t="n"/>
    </row>
    <row r="12" ht="14.4" customHeight="1" s="135">
      <c r="A12" s="38" t="inlineStr">
        <is>
          <t>No.of delivered orders for which payment isn't received</t>
        </is>
      </c>
      <c r="B12" s="86" t="n">
        <v>0</v>
      </c>
      <c r="C12" s="86" t="n">
        <v>0</v>
      </c>
      <c r="D12" s="86" t="n">
        <v>0</v>
      </c>
      <c r="E12" s="86" t="n">
        <v>0</v>
      </c>
      <c r="F12" s="86" t="n">
        <v>0</v>
      </c>
      <c r="G12" s="86">
        <f>SUM(B12:F12)</f>
        <v/>
      </c>
      <c r="H12" s="143" t="n"/>
    </row>
    <row r="13" ht="14.4" customHeight="1" s="135">
      <c r="A13" s="38" t="inlineStr">
        <is>
          <t>Value of such orders</t>
        </is>
      </c>
      <c r="B13" s="86" t="n">
        <v>0</v>
      </c>
      <c r="C13" s="86" t="n">
        <v>0</v>
      </c>
      <c r="D13" s="86" t="n">
        <v>0</v>
      </c>
      <c r="E13" s="86" t="n">
        <v>0</v>
      </c>
      <c r="F13" s="86" t="n">
        <v>0</v>
      </c>
      <c r="G13" s="86">
        <f>SUM(B13:F13)</f>
        <v/>
      </c>
      <c r="H13" s="143" t="n"/>
    </row>
    <row r="14" ht="14.4" customHeight="1" s="135">
      <c r="A14" s="38" t="n"/>
      <c r="B14" s="86" t="n"/>
      <c r="C14" s="86" t="n"/>
      <c r="D14" s="86" t="n"/>
      <c r="E14" s="86" t="n"/>
      <c r="F14" s="86" t="n"/>
      <c r="G14" s="86" t="n"/>
      <c r="H14" s="143" t="n"/>
    </row>
    <row r="15" ht="14.4" customHeight="1" s="135">
      <c r="A15" s="38" t="n"/>
      <c r="B15" s="62" t="n"/>
      <c r="C15" s="62" t="n"/>
      <c r="D15" s="62" t="n"/>
      <c r="E15" s="62" t="n"/>
      <c r="F15" s="62" t="n"/>
      <c r="G15" s="62" t="n"/>
      <c r="H15" s="143" t="n"/>
    </row>
    <row r="16" ht="14.4" customHeight="1" s="135">
      <c r="A16" s="48" t="inlineStr">
        <is>
          <t>C. Payment discrepancies</t>
        </is>
      </c>
      <c r="B16" s="62" t="n"/>
      <c r="C16" s="62" t="n"/>
      <c r="D16" s="62" t="n"/>
      <c r="E16" s="62" t="n"/>
      <c r="F16" s="62" t="n"/>
      <c r="G16" s="62" t="n"/>
      <c r="H16" s="143" t="n"/>
    </row>
    <row r="17" ht="14.4" customHeight="1" s="135">
      <c r="A17" s="38" t="inlineStr">
        <is>
          <t>Expected receipts in the bank account</t>
        </is>
      </c>
      <c r="B17" s="86">
        <f>Cashflow!C30</f>
        <v/>
      </c>
      <c r="C17" s="86">
        <f>Cashflow!D30</f>
        <v/>
      </c>
      <c r="D17" s="86">
        <f>Cashflow!E30</f>
        <v/>
      </c>
      <c r="E17" s="86">
        <f>Cashflow!F30</f>
        <v/>
      </c>
      <c r="F17" s="86">
        <f>Cashflow!G30</f>
        <v/>
      </c>
      <c r="G17" s="86">
        <f>SUM(B17:F17)</f>
        <v/>
      </c>
      <c r="H17" s="143" t="n"/>
    </row>
    <row r="18" ht="14.4" customHeight="1" s="135">
      <c r="A18" s="38" t="inlineStr">
        <is>
          <t>Investment in Hyperpure</t>
        </is>
      </c>
      <c r="B18" s="86">
        <f>Cashflow!C36</f>
        <v/>
      </c>
      <c r="C18" s="86">
        <f>Cashflow!D36</f>
        <v/>
      </c>
      <c r="D18" s="86">
        <f>Cashflow!E36</f>
        <v/>
      </c>
      <c r="E18" s="86">
        <f>Cashflow!F36</f>
        <v/>
      </c>
      <c r="F18" s="86">
        <f>Cashflow!G36</f>
        <v/>
      </c>
      <c r="G18" s="86">
        <f>SUM(B18:F18)</f>
        <v/>
      </c>
      <c r="H18" s="143" t="n"/>
    </row>
    <row r="19" ht="14.4" customHeight="1" s="135">
      <c r="A19" s="38" t="inlineStr">
        <is>
          <t>Following Week Adjustment</t>
        </is>
      </c>
      <c r="B19" s="86">
        <f>Cashflow!C34</f>
        <v/>
      </c>
      <c r="C19" s="86">
        <f>Cashflow!D34</f>
        <v/>
      </c>
      <c r="D19" s="86">
        <f>Cashflow!E34</f>
        <v/>
      </c>
      <c r="E19" s="86">
        <f>Cashflow!F34</f>
        <v/>
      </c>
      <c r="F19" s="86">
        <f>Cashflow!G34</f>
        <v/>
      </c>
      <c r="G19" s="86">
        <f>SUM(B19:F19)</f>
        <v/>
      </c>
      <c r="H19" s="143" t="n"/>
    </row>
    <row r="20" ht="14.4" customHeight="1" s="135">
      <c r="A20" s="38" t="inlineStr">
        <is>
          <t>Opening Week Adjustment</t>
        </is>
      </c>
      <c r="B20" s="86">
        <f>Cashflow!C33</f>
        <v/>
      </c>
      <c r="C20" s="86">
        <f>Cashflow!D33</f>
        <v/>
      </c>
      <c r="D20" s="86">
        <f>Cashflow!E33</f>
        <v/>
      </c>
      <c r="E20" s="86">
        <f>Cashflow!F33</f>
        <v/>
      </c>
      <c r="F20" s="86" t="n">
        <v>0</v>
      </c>
      <c r="G20" s="86">
        <f>SUM(B20:F20)</f>
        <v/>
      </c>
      <c r="H20" s="143" t="n"/>
    </row>
    <row r="21" ht="14.4" customHeight="1" s="135">
      <c r="A21" s="38" t="inlineStr">
        <is>
          <t>Closing Week Adjustment</t>
        </is>
      </c>
      <c r="B21" s="86">
        <f>Cashflow!C35</f>
        <v/>
      </c>
      <c r="C21" s="86">
        <f>Cashflow!D35</f>
        <v/>
      </c>
      <c r="D21" s="86">
        <f>Cashflow!E35</f>
        <v/>
      </c>
      <c r="E21" s="86">
        <f>Cashflow!F35</f>
        <v/>
      </c>
      <c r="F21" s="86">
        <f>Cashflow!G35</f>
        <v/>
      </c>
      <c r="G21" s="86">
        <f>SUM(B21:F21)</f>
        <v/>
      </c>
      <c r="H21" s="143" t="n"/>
    </row>
    <row r="22" ht="17.4" customHeight="1" s="135">
      <c r="A22" s="38" t="inlineStr">
        <is>
          <t>Actual receipts in the bank</t>
        </is>
      </c>
      <c r="B22" s="86">
        <f>Cashflow!C38</f>
        <v/>
      </c>
      <c r="C22" s="86">
        <f>Cashflow!D38</f>
        <v/>
      </c>
      <c r="D22" s="86">
        <f>Cashflow!E38</f>
        <v/>
      </c>
      <c r="E22" s="86">
        <f>Cashflow!F38</f>
        <v/>
      </c>
      <c r="F22" s="86">
        <f>Cashflow!G38</f>
        <v/>
      </c>
      <c r="G22" s="86">
        <f>SUM(B22:F22)</f>
        <v/>
      </c>
      <c r="H22" s="143" t="n"/>
    </row>
    <row r="23" ht="19.2" customHeight="1" s="135" thickBot="1">
      <c r="A23" s="58" t="inlineStr">
        <is>
          <t>Difference</t>
        </is>
      </c>
      <c r="B23" s="41">
        <f>B17-B22-B18+B20</f>
        <v/>
      </c>
      <c r="C23" s="41">
        <f>C17-C22-C18</f>
        <v/>
      </c>
      <c r="D23" s="41">
        <f>D17-D22-D18</f>
        <v/>
      </c>
      <c r="E23" s="41">
        <f>E17-E22-E18-E19</f>
        <v/>
      </c>
      <c r="F23" s="41">
        <f>F17-F22-F18+F21</f>
        <v/>
      </c>
      <c r="G23" s="41">
        <f>G17-G22-G18+G20-G19</f>
        <v/>
      </c>
      <c r="H23" s="143" t="n"/>
    </row>
    <row r="24" ht="14.4" customHeight="1" s="135">
      <c r="A24" s="143" t="n"/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A25" s="12" t="inlineStr">
        <is>
          <t>Note:</t>
        </is>
      </c>
      <c r="B25" s="143" t="n"/>
      <c r="C25" s="143" t="n"/>
      <c r="D25" s="143" t="n"/>
      <c r="E25" s="143" t="n"/>
      <c r="F25" s="143" t="n"/>
      <c r="G25" s="143" t="n"/>
      <c r="H25" s="143" t="n"/>
    </row>
    <row r="26" ht="14.4" customHeight="1" s="135">
      <c r="A26" s="143" t="n"/>
      <c r="B26" s="143" t="n"/>
      <c r="C26" s="143" t="n"/>
      <c r="D26" s="143" t="n"/>
      <c r="E26" s="143" t="n"/>
      <c r="F26" s="143" t="n"/>
      <c r="G26" s="143" t="n"/>
      <c r="H26" s="143" t="n"/>
    </row>
    <row r="27" ht="14.4" customHeight="1" s="135">
      <c r="A27" s="143" t="n"/>
      <c r="B27" s="143" t="n"/>
      <c r="C27" s="143" t="n"/>
      <c r="D27" s="143" t="n"/>
      <c r="E27" s="143" t="n"/>
      <c r="F27" s="143" t="n"/>
      <c r="G27" s="143" t="n"/>
      <c r="H27" s="143" t="n"/>
    </row>
    <row r="28" ht="8.4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5.6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  <row r="38" ht="14.4" customHeight="1" s="135">
      <c r="B38" s="143" t="n"/>
      <c r="C38" s="143" t="n"/>
      <c r="D38" s="143" t="n"/>
      <c r="E38" s="143" t="n"/>
      <c r="F38" s="143" t="n"/>
      <c r="G38" s="143" t="n"/>
      <c r="H38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10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cols>
    <col width="8.88671875" customWidth="1" style="135" min="2" max="2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9" filterMode="1">
    <outlinePr summaryBelow="1" summaryRight="1"/>
    <pageSetUpPr/>
  </sheetPr>
  <dimension ref="A5:G178"/>
  <sheetViews>
    <sheetView workbookViewId="0">
      <selection activeCell="D96" sqref="D96"/>
    </sheetView>
  </sheetViews>
  <sheetFormatPr baseColWidth="8" defaultRowHeight="14.4"/>
  <cols>
    <col width="10.33203125" bestFit="1" customWidth="1" style="135" min="1" max="1"/>
    <col width="12.21875" customWidth="1" style="135" min="6" max="6"/>
  </cols>
  <sheetData>
    <row r="5">
      <c r="B5" t="n">
        <v>1</v>
      </c>
      <c r="C5" t="n">
        <v>2</v>
      </c>
      <c r="D5" t="n">
        <v>3</v>
      </c>
      <c r="E5" t="n">
        <v>4</v>
      </c>
      <c r="F5" t="n">
        <v>5</v>
      </c>
    </row>
    <row r="10">
      <c r="A10" t="inlineStr">
        <is>
          <t>Date</t>
        </is>
      </c>
      <c r="B10" t="inlineStr">
        <is>
          <t>Narration</t>
        </is>
      </c>
      <c r="C10" t="inlineStr">
        <is>
          <t>Chq./Ref.No.</t>
        </is>
      </c>
      <c r="D10" t="inlineStr">
        <is>
          <t>Value Dt</t>
        </is>
      </c>
      <c r="E10" t="inlineStr">
        <is>
          <t>Withdrawal Amt.</t>
        </is>
      </c>
      <c r="F10" t="inlineStr">
        <is>
          <t>Deposit Amt.</t>
        </is>
      </c>
      <c r="G10" t="inlineStr">
        <is>
          <t>Closing Balance</t>
        </is>
      </c>
    </row>
    <row r="11" hidden="1" s="135">
      <c r="A11" t="inlineStr">
        <is>
          <t>01/10/25</t>
        </is>
      </c>
      <c r="B11" t="inlineStr">
        <is>
          <t>NEFT CR-YESB0000001-ONE 97 COMMUNICATIONS LIMITED SETTL-ROCKTAIL HOSPITALITY SERVICES-YESBN12025100101816795</t>
        </is>
      </c>
      <c r="C11" t="inlineStr">
        <is>
          <t>YESBN12025100101816795</t>
        </is>
      </c>
      <c r="D11" t="inlineStr">
        <is>
          <t>01/10/25</t>
        </is>
      </c>
      <c r="F11" t="n">
        <v>28308.11</v>
      </c>
      <c r="G11" t="n">
        <v>369938.81</v>
      </c>
    </row>
    <row r="12" hidden="1" s="135">
      <c r="A12" t="inlineStr">
        <is>
          <t>01/10/25</t>
        </is>
      </c>
      <c r="B12" t="inlineStr">
        <is>
          <t>NEFT CR-RATN0000999-PINE LABS LIMITED-ROCKTAIL HOSPITALITY SERVICES-RATNN52025100142548753</t>
        </is>
      </c>
      <c r="C12" t="inlineStr">
        <is>
          <t>RATNN52025100142548753</t>
        </is>
      </c>
      <c r="D12" t="inlineStr">
        <is>
          <t>01/10/25</t>
        </is>
      </c>
      <c r="F12" t="n">
        <v>988.02</v>
      </c>
      <c r="G12" t="n">
        <v>370926.83</v>
      </c>
    </row>
    <row r="13" hidden="1" s="135">
      <c r="A13" t="inlineStr">
        <is>
          <t>01/10/25</t>
        </is>
      </c>
      <c r="B13" t="inlineStr">
        <is>
          <t>42552394TERMINAL 1 CARDS SETTL. 01/10/25</t>
        </is>
      </c>
      <c r="C13" t="inlineStr">
        <is>
          <t>000000000000000</t>
        </is>
      </c>
      <c r="D13" t="inlineStr">
        <is>
          <t>01/10/25</t>
        </is>
      </c>
      <c r="F13" t="n">
        <v>4135.06</v>
      </c>
      <c r="G13" t="n">
        <v>375061.89</v>
      </c>
    </row>
    <row r="14" hidden="1" s="135">
      <c r="A14" t="inlineStr">
        <is>
          <t>01/10/25</t>
        </is>
      </c>
      <c r="B14" t="inlineStr">
        <is>
          <t>UPI-8978287178PTYES-8978287178@PTYES-UBIN0813567-564035906635-UPI</t>
        </is>
      </c>
      <c r="C14" t="inlineStr">
        <is>
          <t>0000564035906635</t>
        </is>
      </c>
      <c r="D14" t="inlineStr">
        <is>
          <t>01/10/25</t>
        </is>
      </c>
      <c r="E14" t="n">
        <v>165</v>
      </c>
      <c r="G14" t="n">
        <v>374896.89</v>
      </c>
    </row>
    <row r="15" hidden="1" s="135">
      <c r="A15" t="inlineStr">
        <is>
          <t>01/10/25</t>
        </is>
      </c>
      <c r="B15" t="inlineStr">
        <is>
          <t>50200069817641-TPT-NBLCVTK6KLDPDJXS-WOLFFPACK VENTURES PRIVATE LIMITED</t>
        </is>
      </c>
      <c r="C15" t="inlineStr">
        <is>
          <t>0000000223256296</t>
        </is>
      </c>
      <c r="D15" t="inlineStr">
        <is>
          <t>01/10/25</t>
        </is>
      </c>
      <c r="F15" t="n">
        <v>200000</v>
      </c>
      <c r="G15" t="n">
        <v>574896.89</v>
      </c>
    </row>
    <row r="16" hidden="1" s="135">
      <c r="A16" t="inlineStr">
        <is>
          <t>01/10/25</t>
        </is>
      </c>
      <c r="B16" t="inlineStr">
        <is>
          <t>VENDOR PAYMENTS - ROCKTAIL HOSPITALITY DR - 57500000326520 - NEFT TRANSITORY ACCOUNT</t>
        </is>
      </c>
      <c r="C16" t="inlineStr">
        <is>
          <t>0000000000000188</t>
        </is>
      </c>
      <c r="D16" t="inlineStr">
        <is>
          <t>01/10/25</t>
        </is>
      </c>
      <c r="E16" t="n">
        <v>390734</v>
      </c>
      <c r="G16" t="n">
        <v>184162.89</v>
      </c>
    </row>
    <row r="17" hidden="1" s="135">
      <c r="A17" t="inlineStr">
        <is>
          <t>01/10/25</t>
        </is>
      </c>
      <c r="B17" t="inlineStr">
        <is>
          <t>UPI-SHREY SINGH-SHREYSINGH0501-1@OKHDFCBANK-HDFC0004216-564012927870-REGISTRATION</t>
        </is>
      </c>
      <c r="C17" t="inlineStr">
        <is>
          <t>0000564012927870</t>
        </is>
      </c>
      <c r="D17" t="inlineStr">
        <is>
          <t>01/10/25</t>
        </is>
      </c>
      <c r="E17" t="n">
        <v>8700</v>
      </c>
      <c r="G17" t="n">
        <v>175462.89</v>
      </c>
    </row>
    <row r="18" hidden="1" s="135">
      <c r="A18" t="inlineStr">
        <is>
          <t>01/10/25</t>
        </is>
      </c>
      <c r="B18" t="inlineStr">
        <is>
          <t>NEFT RETURN-INCORRECT ACCOUNT NUMBER-LAXMI AGENCIES-IBKLN92025100194760959</t>
        </is>
      </c>
      <c r="C18" t="inlineStr">
        <is>
          <t>HDFCN52025100104276617</t>
        </is>
      </c>
      <c r="D18" t="inlineStr">
        <is>
          <t>01/10/25</t>
        </is>
      </c>
      <c r="F18" t="n">
        <v>8322</v>
      </c>
      <c r="G18" t="n">
        <v>183784.89</v>
      </c>
    </row>
    <row r="19" hidden="1" s="135">
      <c r="A19" t="inlineStr">
        <is>
          <t>01/10/25</t>
        </is>
      </c>
      <c r="B19" t="inlineStr">
        <is>
          <t>NEFT RETURN-INCORRECT ACCOUNT NUMBER-LAXMI AGENCIES-IBKLN92025100194760962</t>
        </is>
      </c>
      <c r="C19" t="inlineStr">
        <is>
          <t>HDFCN52025100104276606</t>
        </is>
      </c>
      <c r="D19" t="inlineStr">
        <is>
          <t>01/10/25</t>
        </is>
      </c>
      <c r="F19" t="n">
        <v>8316</v>
      </c>
      <c r="G19" t="n">
        <v>192100.89</v>
      </c>
    </row>
    <row r="20">
      <c r="A20" t="inlineStr">
        <is>
          <t>01/10/25</t>
        </is>
      </c>
      <c r="B20" t="inlineStr">
        <is>
          <t>NEFT CR-CITI0000002-ETERNAL LIMITED-ROCKTAIL HOSPITALITY SERVICES-CITIN52025100134584901</t>
        </is>
      </c>
      <c r="C20" t="inlineStr">
        <is>
          <t>CITIN52025100134584901</t>
        </is>
      </c>
      <c r="D20" t="inlineStr">
        <is>
          <t>01/10/25</t>
        </is>
      </c>
      <c r="F20" t="n">
        <v>22470.51</v>
      </c>
      <c r="G20" t="n">
        <v>214571.4</v>
      </c>
    </row>
    <row r="21" hidden="1" s="135">
      <c r="A21" t="inlineStr">
        <is>
          <t>01/10/25</t>
        </is>
      </c>
      <c r="B21" t="inlineStr">
        <is>
          <t>NEFT CR-UTIB0000052-BUNDL TECHNOLOGIES PRIVATE LIMITED-ROCKTAIL HOSPITALITY SERVICES-UTIBN62025100172850989</t>
        </is>
      </c>
      <c r="C21" t="inlineStr">
        <is>
          <t>UTIBN62025100172850989</t>
        </is>
      </c>
      <c r="D21" t="inlineStr">
        <is>
          <t>01/10/25</t>
        </is>
      </c>
      <c r="F21" t="n">
        <v>28624.05</v>
      </c>
      <c r="G21" t="n">
        <v>243195.45</v>
      </c>
    </row>
    <row r="22" hidden="1" s="135">
      <c r="A22" t="inlineStr">
        <is>
          <t>01/10/25</t>
        </is>
      </c>
      <c r="B22" t="inlineStr">
        <is>
          <t>FT - DR - 50200086201346 - SRI CHAKRA ENTERPRISES</t>
        </is>
      </c>
      <c r="C22" t="inlineStr">
        <is>
          <t>0000000000000187</t>
        </is>
      </c>
      <c r="D22" t="inlineStr">
        <is>
          <t>01/10/25</t>
        </is>
      </c>
      <c r="E22" t="n">
        <v>68400</v>
      </c>
      <c r="G22" t="n">
        <v>174795.45</v>
      </c>
    </row>
    <row r="23" hidden="1" s="135">
      <c r="A23" t="inlineStr">
        <is>
          <t>01/10/25</t>
        </is>
      </c>
      <c r="B23" t="inlineStr">
        <is>
          <t>CQ NO-000187 AMOUNT-100323 TRANSFERS 4 DR - 50200088485779 - NSP ENTERPRISES</t>
        </is>
      </c>
      <c r="C23" t="inlineStr">
        <is>
          <t>000000000000000</t>
        </is>
      </c>
      <c r="D23" t="inlineStr">
        <is>
          <t>01/10/25</t>
        </is>
      </c>
      <c r="E23" t="n">
        <v>12843</v>
      </c>
      <c r="G23" t="n">
        <v>161952.45</v>
      </c>
    </row>
    <row r="24" hidden="1" s="135">
      <c r="A24" t="inlineStr">
        <is>
          <t>01/10/25</t>
        </is>
      </c>
      <c r="B24" t="inlineStr">
        <is>
          <t>CQ NO-000187 AMOUNT-100323 TRANSFERS 4 DR - 50200082063860 - AAMODHA ENTERPRISES</t>
        </is>
      </c>
      <c r="C24" t="inlineStr">
        <is>
          <t>000000000000000</t>
        </is>
      </c>
      <c r="D24" t="inlineStr">
        <is>
          <t>01/10/25</t>
        </is>
      </c>
      <c r="E24" t="n">
        <v>16560</v>
      </c>
      <c r="G24" t="n">
        <v>145392.45</v>
      </c>
    </row>
    <row r="25" hidden="1" s="135">
      <c r="A25" t="inlineStr">
        <is>
          <t>01/10/25</t>
        </is>
      </c>
      <c r="B25" t="inlineStr">
        <is>
          <t>CQ NO-000187 AMOUNT-100323 TRANSFERS 4 DR - 50200034371828 - SRIHITHA DISTRIBUTORS</t>
        </is>
      </c>
      <c r="C25" t="inlineStr">
        <is>
          <t>000000000000000</t>
        </is>
      </c>
      <c r="D25" t="inlineStr">
        <is>
          <t>01/10/25</t>
        </is>
      </c>
      <c r="E25" t="n">
        <v>2520</v>
      </c>
      <c r="G25" t="n">
        <v>142872.45</v>
      </c>
    </row>
    <row r="26" hidden="1" s="135">
      <c r="A26" t="inlineStr">
        <is>
          <t>01/10/25</t>
        </is>
      </c>
      <c r="B26" t="inlineStr">
        <is>
          <t>UPI-SRI LAXMI CHENNAKESA-Q560982817@YBL-YESB0YBLUPI-112039563850-POOJA</t>
        </is>
      </c>
      <c r="C26" t="inlineStr">
        <is>
          <t>0000112039563850</t>
        </is>
      </c>
      <c r="D26" t="inlineStr">
        <is>
          <t>01/10/25</t>
        </is>
      </c>
      <c r="E26" t="n">
        <v>1651</v>
      </c>
      <c r="G26" t="n">
        <v>141221.45</v>
      </c>
    </row>
    <row r="27" hidden="1" s="135">
      <c r="A27" t="inlineStr">
        <is>
          <t>01/10/25</t>
        </is>
      </c>
      <c r="B27" t="inlineStr">
        <is>
          <t>NEFT CR-YESB0000001-SWIGGY LIMITED-ROCKTAIL HOSPITALITY SERVICES-YESBN12025100106534132</t>
        </is>
      </c>
      <c r="C27" t="inlineStr">
        <is>
          <t>YESBN12025100106534132</t>
        </is>
      </c>
      <c r="D27" t="inlineStr">
        <is>
          <t>01/10/25</t>
        </is>
      </c>
      <c r="F27" t="n">
        <v>37494.72</v>
      </c>
      <c r="G27" t="n">
        <v>178716.17</v>
      </c>
    </row>
    <row r="28" hidden="1" s="135">
      <c r="A28" t="inlineStr">
        <is>
          <t>02/10/25</t>
        </is>
      </c>
      <c r="B28" t="inlineStr">
        <is>
          <t>NEFT CR-YESB0000001-ONE 97 COMMUNICATIONS LIMITED SETTL-ROCKTAIL HOSPITALITY SERVICES-YESBN12025100202440556</t>
        </is>
      </c>
      <c r="C28" t="inlineStr">
        <is>
          <t>YESBN12025100202440556</t>
        </is>
      </c>
      <c r="D28" t="inlineStr">
        <is>
          <t>02/10/25</t>
        </is>
      </c>
      <c r="F28" t="n">
        <v>28924.86</v>
      </c>
      <c r="G28" t="n">
        <v>207641.03</v>
      </c>
    </row>
    <row r="29" hidden="1" s="135">
      <c r="A29" t="inlineStr">
        <is>
          <t>02/10/25</t>
        </is>
      </c>
      <c r="B29" t="inlineStr">
        <is>
          <t>42552394TERMINAL 1 CARDS SETTL. 02/10/25</t>
        </is>
      </c>
      <c r="C29" t="inlineStr">
        <is>
          <t>000000000000000</t>
        </is>
      </c>
      <c r="D29" t="inlineStr">
        <is>
          <t>02/10/25</t>
        </is>
      </c>
      <c r="F29" t="n">
        <v>6676.28</v>
      </c>
      <c r="G29" t="n">
        <v>214317.31</v>
      </c>
    </row>
    <row r="30" hidden="1" s="135">
      <c r="A30" t="inlineStr">
        <is>
          <t>03/10/25</t>
        </is>
      </c>
      <c r="B30" t="inlineStr">
        <is>
          <t>NEFT CR-YESB0000001-ONE 97 COMMUNICATIONS LIMITED SETTL-ROCKTAIL HOSPITALITY SERVICES-YESBN12025100302342936</t>
        </is>
      </c>
      <c r="C30" t="inlineStr">
        <is>
          <t>YESBN12025100302342936</t>
        </is>
      </c>
      <c r="D30" t="inlineStr">
        <is>
          <t>03/10/25</t>
        </is>
      </c>
      <c r="F30" t="n">
        <v>38471.91</v>
      </c>
      <c r="G30" t="n">
        <v>252789.22</v>
      </c>
    </row>
    <row r="31" hidden="1" s="135">
      <c r="A31" t="inlineStr">
        <is>
          <t>03/10/25</t>
        </is>
      </c>
      <c r="B31" t="inlineStr">
        <is>
          <t>42552394TERMINAL 1 CARDS SETTL. 03/10/25</t>
        </is>
      </c>
      <c r="C31" t="inlineStr">
        <is>
          <t>000000000000000</t>
        </is>
      </c>
      <c r="D31" t="inlineStr">
        <is>
          <t>03/10/25</t>
        </is>
      </c>
      <c r="F31" t="n">
        <v>13411.99</v>
      </c>
      <c r="G31" t="n">
        <v>266201.21</v>
      </c>
    </row>
    <row r="32" hidden="1" s="135">
      <c r="A32" t="inlineStr">
        <is>
          <t>03/10/25</t>
        </is>
      </c>
      <c r="B32" t="inlineStr">
        <is>
          <t>UPI-BHANWRA  RAM-BHANWARJATCHOUDHARY251@OKSBI-SBIN0011306-564239417166-FURNITURE</t>
        </is>
      </c>
      <c r="C32" t="inlineStr">
        <is>
          <t>0000564239417166</t>
        </is>
      </c>
      <c r="D32" t="inlineStr">
        <is>
          <t>03/10/25</t>
        </is>
      </c>
      <c r="E32" t="n">
        <v>35000</v>
      </c>
      <c r="G32" t="n">
        <v>231201.21</v>
      </c>
    </row>
    <row r="33" hidden="1" s="135">
      <c r="A33" t="inlineStr">
        <is>
          <t>03/10/25</t>
        </is>
      </c>
      <c r="B33" t="inlineStr">
        <is>
          <t>NEFT CR-UTIB0000052-BUNDL TECHNOLOGIES PRIVATE LIMITED-ROCKTAIL HOSPITALITY SERVICES-UTIBN62025100395892591</t>
        </is>
      </c>
      <c r="C33" t="inlineStr">
        <is>
          <t>UTIBN62025100395892591</t>
        </is>
      </c>
      <c r="D33" t="inlineStr">
        <is>
          <t>03/10/25</t>
        </is>
      </c>
      <c r="F33" t="n">
        <v>13038.51</v>
      </c>
      <c r="G33" t="n">
        <v>244239.72</v>
      </c>
    </row>
    <row r="34" hidden="1" s="135">
      <c r="A34" t="inlineStr">
        <is>
          <t>04/10/25</t>
        </is>
      </c>
      <c r="B34" t="inlineStr">
        <is>
          <t>NEFT CR-YESB0000001-ONE 97 COMMUNICATIONS LIMITED SETTL-ROCKTAIL HOSPITALITY SERVICES-YESBN12025100403632181</t>
        </is>
      </c>
      <c r="C34" t="inlineStr">
        <is>
          <t>YESBN12025100403632181</t>
        </is>
      </c>
      <c r="D34" t="inlineStr">
        <is>
          <t>04/10/25</t>
        </is>
      </c>
      <c r="F34" t="n">
        <v>53035</v>
      </c>
      <c r="G34" t="n">
        <v>297274.72</v>
      </c>
    </row>
    <row r="35" hidden="1" s="135">
      <c r="A35" t="inlineStr">
        <is>
          <t>04/10/25</t>
        </is>
      </c>
      <c r="B35" t="inlineStr">
        <is>
          <t>42552394TERMINAL 1 CARDS SETTL. 04/10/25</t>
        </is>
      </c>
      <c r="C35" t="inlineStr">
        <is>
          <t>000000000000000</t>
        </is>
      </c>
      <c r="D35" t="inlineStr">
        <is>
          <t>04/10/25</t>
        </is>
      </c>
      <c r="F35" t="n">
        <v>10812.69</v>
      </c>
      <c r="G35" t="n">
        <v>308087.41</v>
      </c>
    </row>
    <row r="36" hidden="1" s="135">
      <c r="A36" t="inlineStr">
        <is>
          <t>04/10/25</t>
        </is>
      </c>
      <c r="B36" t="inlineStr">
        <is>
          <t>UPI-SWIGGY LIMITED-SWIGGY.STORES@AXB-UTIB0000100-527751059928-PAY FOR INTENT</t>
        </is>
      </c>
      <c r="C36" t="inlineStr">
        <is>
          <t>0000527751059928</t>
        </is>
      </c>
      <c r="D36" t="inlineStr">
        <is>
          <t>04/10/25</t>
        </is>
      </c>
      <c r="E36" t="n">
        <v>856</v>
      </c>
      <c r="G36" t="n">
        <v>307231.41</v>
      </c>
    </row>
    <row r="37" hidden="1" s="135">
      <c r="A37" t="inlineStr">
        <is>
          <t>05/10/25</t>
        </is>
      </c>
      <c r="B37" t="inlineStr">
        <is>
          <t>NEFT CR-YESB0000001-ONE 97 COMMUNICATIONS LIMITED SETTL-ROCKTAIL HOSPITALITY SERVICES-YESBN12025100501829191</t>
        </is>
      </c>
      <c r="C37" t="inlineStr">
        <is>
          <t>YESBN12025100501829191</t>
        </is>
      </c>
      <c r="D37" t="inlineStr">
        <is>
          <t>05/10/25</t>
        </is>
      </c>
      <c r="F37" t="n">
        <v>72645.73</v>
      </c>
      <c r="G37" t="n">
        <v>379877.14</v>
      </c>
    </row>
    <row r="38" hidden="1" s="135">
      <c r="A38" t="inlineStr">
        <is>
          <t>05/10/25</t>
        </is>
      </c>
      <c r="B38" t="inlineStr">
        <is>
          <t>42552394TERMINAL 1 CARDS SETTL. 05/10/25</t>
        </is>
      </c>
      <c r="C38" t="inlineStr">
        <is>
          <t>000000000000000</t>
        </is>
      </c>
      <c r="D38" t="inlineStr">
        <is>
          <t>05/10/25</t>
        </is>
      </c>
      <c r="F38" t="n">
        <v>17370.83</v>
      </c>
      <c r="G38" t="n">
        <v>397247.97</v>
      </c>
    </row>
    <row r="39" hidden="1" s="135">
      <c r="A39" t="inlineStr">
        <is>
          <t>05/10/25</t>
        </is>
      </c>
      <c r="B39" t="inlineStr">
        <is>
          <t>SETTLEMENT CHARGE-SEP25-CPY597</t>
        </is>
      </c>
      <c r="C39" t="inlineStr">
        <is>
          <t>000000000000000</t>
        </is>
      </c>
      <c r="D39" t="inlineStr">
        <is>
          <t>05/10/25</t>
        </is>
      </c>
      <c r="E39" t="n">
        <v>37.76</v>
      </c>
      <c r="G39" t="n">
        <v>397210.21</v>
      </c>
    </row>
    <row r="40" hidden="1" s="135">
      <c r="A40" t="inlineStr">
        <is>
          <t>06/10/25</t>
        </is>
      </c>
      <c r="B40" t="inlineStr">
        <is>
          <t>NEFT CR-YESB0000001-ONE 97 COMMUNICATIONS LIMITED SETTL-ROCKTAIL HOSPITALITY SERVICES-YESBN12025100601953902</t>
        </is>
      </c>
      <c r="C40" t="inlineStr">
        <is>
          <t>YESBN12025100601953902</t>
        </is>
      </c>
      <c r="D40" t="inlineStr">
        <is>
          <t>06/10/25</t>
        </is>
      </c>
      <c r="F40" t="n">
        <v>65856.98</v>
      </c>
      <c r="G40" t="n">
        <v>463067.19</v>
      </c>
    </row>
    <row r="41" hidden="1" s="135">
      <c r="A41" t="inlineStr">
        <is>
          <t>06/10/25</t>
        </is>
      </c>
      <c r="B41" t="inlineStr">
        <is>
          <t>EMI 162047443 CHQ S16204744314 1025162047443</t>
        </is>
      </c>
      <c r="C41" t="inlineStr">
        <is>
          <t>000000000000000</t>
        </is>
      </c>
      <c r="D41" t="inlineStr">
        <is>
          <t>06/10/25</t>
        </is>
      </c>
      <c r="E41" t="n">
        <v>70666</v>
      </c>
      <c r="G41" t="n">
        <v>392401.19</v>
      </c>
    </row>
    <row r="42" hidden="1" s="135">
      <c r="A42" t="inlineStr">
        <is>
          <t>06/10/25</t>
        </is>
      </c>
      <c r="B42" t="inlineStr">
        <is>
          <t>42552394TERMINAL 1 CARDS SETTL. 06/10/25</t>
        </is>
      </c>
      <c r="C42" t="inlineStr">
        <is>
          <t>000000000000000</t>
        </is>
      </c>
      <c r="D42" t="inlineStr">
        <is>
          <t>06/10/25</t>
        </is>
      </c>
      <c r="F42" t="n">
        <v>1635.17</v>
      </c>
      <c r="G42" t="n">
        <v>394036.36</v>
      </c>
    </row>
    <row r="43">
      <c r="A43" t="inlineStr">
        <is>
          <t>06/10/25</t>
        </is>
      </c>
      <c r="B43" t="inlineStr">
        <is>
          <t>NEFT CR-CITI0000002-ETERNAL LIMITED-ROCKTAIL HOSPITALITY SERVICES-CITIN52025100636240957</t>
        </is>
      </c>
      <c r="C43" t="inlineStr">
        <is>
          <t>CITIN52025100636240957</t>
        </is>
      </c>
      <c r="D43" t="inlineStr">
        <is>
          <t>06/10/25</t>
        </is>
      </c>
      <c r="F43" t="n">
        <v>61201.16</v>
      </c>
      <c r="G43" t="n">
        <v>455237.52</v>
      </c>
    </row>
    <row r="44" hidden="1" s="135">
      <c r="A44" t="inlineStr">
        <is>
          <t>07/10/25</t>
        </is>
      </c>
      <c r="B44" t="inlineStr">
        <is>
          <t>NEFT CR-YESB0000001-ONE 97 COMMUNICATIONS LIMITED SETTL-ROCKTAIL HOSPITALITY SERVICES-YESBN12025100701113506</t>
        </is>
      </c>
      <c r="C44" t="inlineStr">
        <is>
          <t>YESBN12025100701113506</t>
        </is>
      </c>
      <c r="D44" t="inlineStr">
        <is>
          <t>07/10/25</t>
        </is>
      </c>
      <c r="F44" t="n">
        <v>24613.36</v>
      </c>
      <c r="G44" t="n">
        <v>479850.88</v>
      </c>
    </row>
    <row r="45" hidden="1" s="135">
      <c r="A45" t="inlineStr">
        <is>
          <t>07/10/25</t>
        </is>
      </c>
      <c r="B45" t="inlineStr">
        <is>
          <t>42552394TERMINAL 1 CARDS SETTL. 07/10/25</t>
        </is>
      </c>
      <c r="C45" t="inlineStr">
        <is>
          <t>000000000000000</t>
        </is>
      </c>
      <c r="D45" t="inlineStr">
        <is>
          <t>07/10/25</t>
        </is>
      </c>
      <c r="F45" t="n">
        <v>9641.790000000001</v>
      </c>
      <c r="G45" t="n">
        <v>489492.67</v>
      </c>
    </row>
    <row r="46" hidden="1" s="135">
      <c r="A46" t="inlineStr">
        <is>
          <t>07/10/25</t>
        </is>
      </c>
      <c r="B46" t="inlineStr">
        <is>
          <t>NEFT CR-YESB0000001-SWIGGY LIMITED-ROCKTAIL HOSPITALITY SERVICES-YESBN12025100705709842</t>
        </is>
      </c>
      <c r="C46" t="inlineStr">
        <is>
          <t>YESBN12025100705709842</t>
        </is>
      </c>
      <c r="D46" t="inlineStr">
        <is>
          <t>07/10/25</t>
        </is>
      </c>
      <c r="F46" t="n">
        <v>83057.25999999999</v>
      </c>
      <c r="G46" t="n">
        <v>572549.9300000001</v>
      </c>
    </row>
    <row r="47" hidden="1" s="135">
      <c r="A47" t="inlineStr">
        <is>
          <t>08/10/25</t>
        </is>
      </c>
      <c r="B47" t="inlineStr">
        <is>
          <t>NEFT CR-YESB0000001-ONE 97 COMMUNICATIONS LIMITED SETTL-ROCKTAIL HOSPITALITY SERVICES-YESBN12025100800862936</t>
        </is>
      </c>
      <c r="C47" t="inlineStr">
        <is>
          <t>YESBN12025100800862936</t>
        </is>
      </c>
      <c r="D47" t="inlineStr">
        <is>
          <t>08/10/25</t>
        </is>
      </c>
      <c r="F47" t="n">
        <v>17786</v>
      </c>
      <c r="G47" t="n">
        <v>590335.9300000001</v>
      </c>
    </row>
    <row r="48" hidden="1" s="135">
      <c r="A48" t="inlineStr">
        <is>
          <t>08/10/25</t>
        </is>
      </c>
      <c r="B48" t="inlineStr">
        <is>
          <t>42552394TERMINAL 1 CARDS SETTL. 08/10/25</t>
        </is>
      </c>
      <c r="C48" t="inlineStr">
        <is>
          <t>000000000000000</t>
        </is>
      </c>
      <c r="D48" t="inlineStr">
        <is>
          <t>08/10/25</t>
        </is>
      </c>
      <c r="F48" t="n">
        <v>5938.15</v>
      </c>
      <c r="G48" t="n">
        <v>596274.08</v>
      </c>
    </row>
    <row r="49" hidden="1" s="135">
      <c r="A49" t="inlineStr">
        <is>
          <t>08/10/25</t>
        </is>
      </c>
      <c r="B49" t="inlineStr">
        <is>
          <t>NEFT CR-UTIB0000052-BUNDL TECHNOLOGIES PRIVATE LIMITED-ROCKTAIL HOSPITALITY SERVICES-UTIBN62025100849523664</t>
        </is>
      </c>
      <c r="C49" t="inlineStr">
        <is>
          <t>UTIBN62025100849523664</t>
        </is>
      </c>
      <c r="D49" t="inlineStr">
        <is>
          <t>08/10/25</t>
        </is>
      </c>
      <c r="F49" t="n">
        <v>18504.91</v>
      </c>
      <c r="G49" t="n">
        <v>614778.99</v>
      </c>
    </row>
    <row r="50">
      <c r="A50" t="inlineStr">
        <is>
          <t>08/10/25</t>
        </is>
      </c>
      <c r="B50" t="inlineStr">
        <is>
          <t>NEFT CR-CITI0000002-ETERNAL LIMITED-ROCKTAIL HOSPITALITY SERVICES-CITIN52025100837147976</t>
        </is>
      </c>
      <c r="C50" t="inlineStr">
        <is>
          <t>CITIN52025100837147976</t>
        </is>
      </c>
      <c r="D50" t="inlineStr">
        <is>
          <t>08/10/25</t>
        </is>
      </c>
      <c r="F50" t="n">
        <v>50928.19</v>
      </c>
      <c r="G50" t="n">
        <v>665707.1800000001</v>
      </c>
    </row>
    <row r="51" hidden="1" s="135">
      <c r="A51" t="inlineStr">
        <is>
          <t>08/10/25</t>
        </is>
      </c>
      <c r="B51" t="inlineStr">
        <is>
          <t>IMPS-528119960741-ASTRANOVA ENTERPRISES-HDFC-XXXXXXXXXX1166-REPAYMENT</t>
        </is>
      </c>
      <c r="C51" t="inlineStr">
        <is>
          <t>0000528119960741</t>
        </is>
      </c>
      <c r="D51" t="inlineStr">
        <is>
          <t>08/10/25</t>
        </is>
      </c>
      <c r="F51" t="n">
        <v>200000</v>
      </c>
      <c r="G51" t="n">
        <v>865707.1800000001</v>
      </c>
    </row>
    <row r="52" hidden="1" s="135">
      <c r="A52" t="inlineStr">
        <is>
          <t>09/10/25</t>
        </is>
      </c>
      <c r="B52" t="inlineStr">
        <is>
          <t>NEFT CR-YESB0000001-ONE 97 COMMUNICATIONS LIMITED SETTL-ROCKTAIL HOSPITALITY SERVICES-YESBN12025100901044475</t>
        </is>
      </c>
      <c r="C52" t="inlineStr">
        <is>
          <t>YESBN12025100901044475</t>
        </is>
      </c>
      <c r="D52" t="inlineStr">
        <is>
          <t>09/10/25</t>
        </is>
      </c>
      <c r="F52" t="n">
        <v>21882</v>
      </c>
      <c r="G52" t="n">
        <v>887589.1800000001</v>
      </c>
    </row>
    <row r="53" hidden="1" s="135">
      <c r="A53" t="inlineStr">
        <is>
          <t>09/10/25</t>
        </is>
      </c>
      <c r="B53" t="inlineStr">
        <is>
          <t>42552394TERMINAL 1 CARDS SETTL. 09/10/25</t>
        </is>
      </c>
      <c r="C53" t="inlineStr">
        <is>
          <t>000000000000000</t>
        </is>
      </c>
      <c r="D53" t="inlineStr">
        <is>
          <t>09/10/25</t>
        </is>
      </c>
      <c r="F53" t="n">
        <v>4616</v>
      </c>
      <c r="G53" t="n">
        <v>892205.1800000001</v>
      </c>
    </row>
    <row r="54" hidden="1" s="135">
      <c r="A54" t="inlineStr">
        <is>
          <t>09/10/25</t>
        </is>
      </c>
      <c r="B54" t="inlineStr">
        <is>
          <t>UPI-HARISH RAGHAVENDRA-HARISH.RAGHAVENDRA26@OKHDFCBANK-ICIC0000069-528262186657-HARISH</t>
        </is>
      </c>
      <c r="C54" t="inlineStr">
        <is>
          <t>0000528262186657</t>
        </is>
      </c>
      <c r="D54" t="inlineStr">
        <is>
          <t>09/10/25</t>
        </is>
      </c>
      <c r="E54" t="n">
        <v>15000</v>
      </c>
      <c r="G54" t="n">
        <v>877205.1800000001</v>
      </c>
    </row>
    <row r="55" hidden="1" s="135">
      <c r="A55" t="inlineStr">
        <is>
          <t>10/10/25</t>
        </is>
      </c>
      <c r="B55" t="inlineStr">
        <is>
          <t>NEFT CR-YESB0000001-ONE 97 COMMUNICATIONS LIMITED SETTL-ROCKTAIL HOSPITALITY SERVICES-YESBN12025101001357483</t>
        </is>
      </c>
      <c r="C55" t="inlineStr">
        <is>
          <t>YESBN12025101001357483</t>
        </is>
      </c>
      <c r="D55" t="inlineStr">
        <is>
          <t>10/10/25</t>
        </is>
      </c>
      <c r="F55" t="n">
        <v>26001.28</v>
      </c>
      <c r="G55" t="n">
        <v>903206.46</v>
      </c>
    </row>
    <row r="56" hidden="1" s="135">
      <c r="A56" t="inlineStr">
        <is>
          <t>10/10/25</t>
        </is>
      </c>
      <c r="B56" t="inlineStr">
        <is>
          <t>42552394TERMINAL 1 CARDS SETTL. 10/10/25</t>
        </is>
      </c>
      <c r="C56" t="inlineStr">
        <is>
          <t>000000000000000</t>
        </is>
      </c>
      <c r="D56" t="inlineStr">
        <is>
          <t>10/10/25</t>
        </is>
      </c>
      <c r="F56" t="n">
        <v>865</v>
      </c>
      <c r="G56" t="n">
        <v>904071.46</v>
      </c>
    </row>
    <row r="57" hidden="1" s="135">
      <c r="A57" t="inlineStr">
        <is>
          <t>10/10/25</t>
        </is>
      </c>
      <c r="B57" t="inlineStr">
        <is>
          <t>NEFT CR-YESB0000001-SWIGGY LIMITED-ROCKTAIL HOSPITALITY SERVICES-YESBN12025101005972616</t>
        </is>
      </c>
      <c r="C57" t="inlineStr">
        <is>
          <t>YESBN12025101005972616</t>
        </is>
      </c>
      <c r="D57" t="inlineStr">
        <is>
          <t>10/10/25</t>
        </is>
      </c>
      <c r="F57" t="n">
        <v>9952.07</v>
      </c>
      <c r="G57" t="n">
        <v>914023.53</v>
      </c>
    </row>
    <row r="58" hidden="1" s="135">
      <c r="A58" t="inlineStr">
        <is>
          <t>11/10/25</t>
        </is>
      </c>
      <c r="B58" t="inlineStr">
        <is>
          <t>NEFT CR-UTIB0001506-PHONEPE LIMITED-PAYMENT AGGREGATOR ESCROW ACCOUNT-ROCKTAIL HOSPITALITY-UTIBN62025101184068608</t>
        </is>
      </c>
      <c r="C58" t="inlineStr">
        <is>
          <t>UTIBN62025101184068608</t>
        </is>
      </c>
      <c r="D58" t="inlineStr">
        <is>
          <t>11/10/25</t>
        </is>
      </c>
      <c r="F58" t="n">
        <v>1526.84</v>
      </c>
      <c r="G58" t="n">
        <v>915550.37</v>
      </c>
    </row>
    <row r="59" hidden="1" s="135">
      <c r="A59" t="inlineStr">
        <is>
          <t>11/10/25</t>
        </is>
      </c>
      <c r="B59" t="inlineStr">
        <is>
          <t>NEFT CR-YESB0000001-ONE 97 COMMUNICATIONS LIMITED SETTL-ROCKTAIL HOSPITALITY SERVICES-YESBN12025101102528197</t>
        </is>
      </c>
      <c r="C59" t="inlineStr">
        <is>
          <t>YESBN12025101102528197</t>
        </is>
      </c>
      <c r="D59" t="inlineStr">
        <is>
          <t>11/10/25</t>
        </is>
      </c>
      <c r="F59" t="n">
        <v>27767.83</v>
      </c>
      <c r="G59" t="n">
        <v>943318.2</v>
      </c>
    </row>
    <row r="60" hidden="1" s="135">
      <c r="A60" t="inlineStr">
        <is>
          <t>11/10/25</t>
        </is>
      </c>
      <c r="B60" t="inlineStr">
        <is>
          <t>42552394TERMINAL 1 CARDS SETTL. 11/10/25</t>
        </is>
      </c>
      <c r="C60" t="inlineStr">
        <is>
          <t>000000000000000</t>
        </is>
      </c>
      <c r="D60" t="inlineStr">
        <is>
          <t>11/10/25</t>
        </is>
      </c>
      <c r="F60" t="n">
        <v>8196.67</v>
      </c>
      <c r="G60" t="n">
        <v>951514.87</v>
      </c>
    </row>
    <row r="61" hidden="1" s="135">
      <c r="A61" t="inlineStr">
        <is>
          <t>11/10/25</t>
        </is>
      </c>
      <c r="B61" t="inlineStr">
        <is>
          <t>UPI-SYED AITAF HUSSAIN-ALTAFHUSAINN123456789@OKICICI-ANDB0000031-565027520596-SOFA REPAIR</t>
        </is>
      </c>
      <c r="C61" t="inlineStr">
        <is>
          <t>0000565027520596</t>
        </is>
      </c>
      <c r="D61" t="inlineStr">
        <is>
          <t>11/10/25</t>
        </is>
      </c>
      <c r="E61" t="n">
        <v>5000</v>
      </c>
      <c r="G61" t="n">
        <v>946514.87</v>
      </c>
    </row>
    <row r="62" hidden="1" s="135">
      <c r="A62" t="inlineStr">
        <is>
          <t>12/10/25</t>
        </is>
      </c>
      <c r="B62" t="inlineStr">
        <is>
          <t>NEFT CR-YESB0000001-ONE 97 COMMUNICATIONS LIMITED SETTL-ROCKTAIL HOSPITALITY SERVICES-YESBN12025101202583652</t>
        </is>
      </c>
      <c r="C62" t="inlineStr">
        <is>
          <t>YESBN12025101202583652</t>
        </is>
      </c>
      <c r="D62" t="inlineStr">
        <is>
          <t>12/10/25</t>
        </is>
      </c>
      <c r="F62" t="n">
        <v>84506.25999999999</v>
      </c>
      <c r="G62" t="n">
        <v>1031021.13</v>
      </c>
    </row>
    <row r="63" hidden="1" s="135">
      <c r="A63" t="inlineStr">
        <is>
          <t>12/10/25</t>
        </is>
      </c>
      <c r="B63" t="inlineStr">
        <is>
          <t>NEFT CR-UTIB0001506-PHONEPE LIMITED-PAYMENT AGGREGATOR ESCROW ACCOUNT-ROCKTAIL HOSPITALITY-UTIBN62025101294570095</t>
        </is>
      </c>
      <c r="C63" t="inlineStr">
        <is>
          <t>UTIBN62025101294570095</t>
        </is>
      </c>
      <c r="D63" t="inlineStr">
        <is>
          <t>12/10/25</t>
        </is>
      </c>
      <c r="F63" t="n">
        <v>2151.18</v>
      </c>
      <c r="G63" t="n">
        <v>1033172.31</v>
      </c>
    </row>
    <row r="64" hidden="1" s="135">
      <c r="A64" t="inlineStr">
        <is>
          <t>12/10/25</t>
        </is>
      </c>
      <c r="B64" t="inlineStr">
        <is>
          <t>42552394TERMINAL 1 CARDS SETTL. 12/10/25</t>
        </is>
      </c>
      <c r="C64" t="inlineStr">
        <is>
          <t>000000000000000</t>
        </is>
      </c>
      <c r="D64" t="inlineStr">
        <is>
          <t>12/10/25</t>
        </is>
      </c>
      <c r="F64" t="n">
        <v>15719.66</v>
      </c>
      <c r="G64" t="n">
        <v>1048891.97</v>
      </c>
    </row>
    <row r="65" hidden="1" s="135">
      <c r="A65" t="inlineStr">
        <is>
          <t>12/10/25</t>
        </is>
      </c>
      <c r="B65" t="inlineStr">
        <is>
          <t>UPI-GAMPA AMBA PRASAD-PRASADUCANMAIL@OKHDFCBANK-HDFC0004262-565118092224-MILK VENDOR</t>
        </is>
      </c>
      <c r="C65" t="inlineStr">
        <is>
          <t>0000565118092224</t>
        </is>
      </c>
      <c r="D65" t="inlineStr">
        <is>
          <t>12/10/25</t>
        </is>
      </c>
      <c r="E65" t="n">
        <v>4641</v>
      </c>
      <c r="G65" t="n">
        <v>1044250.97</v>
      </c>
    </row>
    <row r="66" hidden="1" s="135">
      <c r="A66" t="inlineStr">
        <is>
          <t>12/10/25</t>
        </is>
      </c>
      <c r="B66" t="inlineStr">
        <is>
          <t>UPI-Y KARUNAKAR-KARUNAKAR.YARLAGADDA1@YBL-DBSS0IN0136-112558585085-SIGN BOARD</t>
        </is>
      </c>
      <c r="C66" t="inlineStr">
        <is>
          <t>0000112558585085</t>
        </is>
      </c>
      <c r="D66" t="inlineStr">
        <is>
          <t>12/10/25</t>
        </is>
      </c>
      <c r="E66" t="n">
        <v>5000</v>
      </c>
      <c r="G66" t="n">
        <v>1039250.97</v>
      </c>
    </row>
    <row r="67" hidden="1" s="135">
      <c r="A67" t="inlineStr">
        <is>
          <t>12/10/25</t>
        </is>
      </c>
      <c r="B67" t="inlineStr">
        <is>
          <t>UPI-VORUGANTI BHAVANI KA-BHAVANI.KARTHIK1@YBL-CNRB0000033-304188751411-ADV</t>
        </is>
      </c>
      <c r="C67" t="inlineStr">
        <is>
          <t>0000304188751411</t>
        </is>
      </c>
      <c r="D67" t="inlineStr">
        <is>
          <t>12/10/25</t>
        </is>
      </c>
      <c r="E67" t="n">
        <v>10000</v>
      </c>
      <c r="G67" t="n">
        <v>1029250.97</v>
      </c>
    </row>
    <row r="68" hidden="1" s="135">
      <c r="A68" t="inlineStr">
        <is>
          <t>13/10/25</t>
        </is>
      </c>
      <c r="B68" t="inlineStr">
        <is>
          <t>NEFT CR-YESB0000001-ONE 97 COMMUNICATIONS LIMITED SETTL-ROCKTAIL HOSPITALITY SERVICES-YESBN12025101301912154</t>
        </is>
      </c>
      <c r="C68" t="inlineStr">
        <is>
          <t>YESBN12025101301912154</t>
        </is>
      </c>
      <c r="D68" t="inlineStr">
        <is>
          <t>13/10/25</t>
        </is>
      </c>
      <c r="F68" t="n">
        <v>58079.77</v>
      </c>
      <c r="G68" t="n">
        <v>1087330.74</v>
      </c>
    </row>
    <row r="69" hidden="1" s="135">
      <c r="A69" t="inlineStr">
        <is>
          <t>13/10/25</t>
        </is>
      </c>
      <c r="B69" t="inlineStr">
        <is>
          <t>NEFT CR-UTIB0001506-PHONEPE LIMITED-PAYMENT AGGREGATOR ESCROW ACCOUNT-ROCKTAIL HOSPITALITY-UTIBN62025101304389126</t>
        </is>
      </c>
      <c r="C69" t="inlineStr">
        <is>
          <t>UTIBN62025101304389126</t>
        </is>
      </c>
      <c r="D69" t="inlineStr">
        <is>
          <t>13/10/25</t>
        </is>
      </c>
      <c r="F69" t="n">
        <v>1257.29</v>
      </c>
      <c r="G69" t="n">
        <v>1088588.03</v>
      </c>
    </row>
    <row r="70" hidden="1" s="135">
      <c r="A70" t="inlineStr">
        <is>
          <t>13/10/25</t>
        </is>
      </c>
      <c r="B70" t="inlineStr">
        <is>
          <t>NEFT CR-SCBL0036001-AMERICAN EXPRESS BANKING CORP-ROCKTAIL HOSPITALITY SERVICES-SCBLN52025101300559815</t>
        </is>
      </c>
      <c r="C70" t="inlineStr">
        <is>
          <t>SCBLN52025101300559815</t>
        </is>
      </c>
      <c r="D70" t="inlineStr">
        <is>
          <t>13/10/25</t>
        </is>
      </c>
      <c r="F70" t="n">
        <v>1335.14</v>
      </c>
      <c r="G70" t="n">
        <v>1089923.17</v>
      </c>
    </row>
    <row r="71" hidden="1" s="135">
      <c r="A71" t="inlineStr">
        <is>
          <t>13/10/25</t>
        </is>
      </c>
      <c r="B71" t="inlineStr">
        <is>
          <t>42552394TERMINAL 1 CARDS SETTL. 13/10/25</t>
        </is>
      </c>
      <c r="C71" t="inlineStr">
        <is>
          <t>000000000000000</t>
        </is>
      </c>
      <c r="D71" t="inlineStr">
        <is>
          <t>13/10/25</t>
        </is>
      </c>
      <c r="F71" t="n">
        <v>8984.17</v>
      </c>
      <c r="G71" t="n">
        <v>1098907.34</v>
      </c>
    </row>
    <row r="72" hidden="1" s="135">
      <c r="A72" t="inlineStr">
        <is>
          <t>13/10/25</t>
        </is>
      </c>
      <c r="B72" t="inlineStr">
        <is>
          <t>SALARIES-ROCKTAIL HOSPITALITY SERVICES DR - 57500000326520 - NEFT TRANSITORY ACCOUNT</t>
        </is>
      </c>
      <c r="C72" t="inlineStr">
        <is>
          <t>0000000000000190</t>
        </is>
      </c>
      <c r="D72" t="inlineStr">
        <is>
          <t>13/10/25</t>
        </is>
      </c>
      <c r="E72" t="n">
        <v>519134</v>
      </c>
      <c r="G72" t="n">
        <v>579773.34</v>
      </c>
    </row>
    <row r="73" hidden="1" s="135">
      <c r="A73" t="inlineStr">
        <is>
          <t>13/10/25</t>
        </is>
      </c>
      <c r="B73" t="inlineStr">
        <is>
          <t>SALARIES-ROCKTAIL HOSPITALITY SERVICES DR - 05122990000036 - SALARY TRANSITORY ACCOUNT - 512</t>
        </is>
      </c>
      <c r="C73" t="inlineStr">
        <is>
          <t>0000000000000189</t>
        </is>
      </c>
      <c r="D73" t="inlineStr">
        <is>
          <t>13/10/25</t>
        </is>
      </c>
      <c r="E73" t="n">
        <v>164400</v>
      </c>
      <c r="G73" t="n">
        <v>415373.34</v>
      </c>
    </row>
    <row r="74">
      <c r="A74" t="inlineStr">
        <is>
          <t>13/10/25</t>
        </is>
      </c>
      <c r="B74" t="inlineStr">
        <is>
          <t>NEFT CR-CITI0000002-ETERNAL LIMITED-ROCKTAIL HOSPITALITY SERVICES-CITIN52025101338860064</t>
        </is>
      </c>
      <c r="C74" t="inlineStr">
        <is>
          <t>CITIN52025101338860064</t>
        </is>
      </c>
      <c r="D74" t="inlineStr">
        <is>
          <t>13/10/25</t>
        </is>
      </c>
      <c r="F74" t="n">
        <v>42965.13</v>
      </c>
      <c r="G74" t="n">
        <v>458338.47</v>
      </c>
    </row>
    <row r="75" hidden="1" s="135">
      <c r="A75" t="inlineStr">
        <is>
          <t>13/10/25</t>
        </is>
      </c>
      <c r="B75" t="inlineStr">
        <is>
          <t>IMPS-528618159341-NAGILLA HARIKRISHNA-BARB-XXXXXXXXXX0258-S</t>
        </is>
      </c>
      <c r="C75" t="inlineStr">
        <is>
          <t>0000528618159341</t>
        </is>
      </c>
      <c r="D75" t="inlineStr">
        <is>
          <t>13/10/25</t>
        </is>
      </c>
      <c r="E75" t="n">
        <v>200000</v>
      </c>
      <c r="G75" t="n">
        <v>258338.47</v>
      </c>
    </row>
    <row r="76" hidden="1" s="135">
      <c r="A76" t="inlineStr">
        <is>
          <t>13/10/25</t>
        </is>
      </c>
      <c r="B76" t="inlineStr">
        <is>
          <t>IMPS-528618149756-NAGILLA HARIKRISHNA-BARB-XXXXXXXXXX2369-S</t>
        </is>
      </c>
      <c r="C76" t="inlineStr">
        <is>
          <t>0000528618149756</t>
        </is>
      </c>
      <c r="D76" t="inlineStr">
        <is>
          <t>13/10/25</t>
        </is>
      </c>
      <c r="E76" t="n">
        <v>200000</v>
      </c>
      <c r="G76" t="n">
        <v>58338.47</v>
      </c>
    </row>
    <row r="77" hidden="1" s="135">
      <c r="A77" t="inlineStr">
        <is>
          <t>14/10/25</t>
        </is>
      </c>
      <c r="B77" t="inlineStr">
        <is>
          <t>NEFT CR-UTIB0005040-TAITAI CREAMERY (OPC) PRIVATE LIMITED-ROCKTAIL HOSPITALITY SERVICES-UTIBN62025101417058455</t>
        </is>
      </c>
      <c r="C77" t="inlineStr">
        <is>
          <t>UTIBN62025101417058455</t>
        </is>
      </c>
      <c r="D77" t="inlineStr">
        <is>
          <t>14/10/25</t>
        </is>
      </c>
      <c r="F77" t="n">
        <v>75600</v>
      </c>
      <c r="G77" t="n">
        <v>133938.47</v>
      </c>
    </row>
    <row r="78" hidden="1" s="135">
      <c r="A78" t="inlineStr">
        <is>
          <t>14/10/25</t>
        </is>
      </c>
      <c r="B78" t="inlineStr">
        <is>
          <t>NEFT CR-UTIB0005040-TAITAI CREAMERY (OPC) PRIVATE LIMITED-ROCKTAIL HOSPITALITY SERVICES-UTIBN62025101417091876</t>
        </is>
      </c>
      <c r="C78" t="inlineStr">
        <is>
          <t>UTIBN62025101417091876</t>
        </is>
      </c>
      <c r="D78" t="inlineStr">
        <is>
          <t>14/10/25</t>
        </is>
      </c>
      <c r="F78" t="n">
        <v>27381</v>
      </c>
      <c r="G78" t="n">
        <v>161319.47</v>
      </c>
    </row>
    <row r="79" hidden="1" s="135">
      <c r="A79" t="inlineStr">
        <is>
          <t>14/10/25</t>
        </is>
      </c>
      <c r="B79" t="inlineStr">
        <is>
          <t>42552394TERMINAL 1 CARDS SETTL. 14/10/25</t>
        </is>
      </c>
      <c r="C79" t="inlineStr">
        <is>
          <t>000000000000000</t>
        </is>
      </c>
      <c r="D79" t="inlineStr">
        <is>
          <t>14/10/25</t>
        </is>
      </c>
      <c r="F79" t="n">
        <v>1475.19</v>
      </c>
      <c r="G79" t="n">
        <v>162794.66</v>
      </c>
    </row>
    <row r="80" hidden="1" s="135">
      <c r="A80" t="inlineStr">
        <is>
          <t>14/10/25</t>
        </is>
      </c>
      <c r="B80" t="inlineStr">
        <is>
          <t>NEFT CR-YESB0000001-ONE 97 COMMUNICATIONS LIMITED SETTL-ROCKTAIL HOSPITALITY SERVICES-YESBN12025101402196356</t>
        </is>
      </c>
      <c r="C80" t="inlineStr">
        <is>
          <t>YESBN12025101402196356</t>
        </is>
      </c>
      <c r="D80" t="inlineStr">
        <is>
          <t>14/10/25</t>
        </is>
      </c>
      <c r="F80" t="n">
        <v>69263.45</v>
      </c>
      <c r="G80" t="n">
        <v>232058.11</v>
      </c>
    </row>
    <row r="81" hidden="1" s="135">
      <c r="A81" t="inlineStr">
        <is>
          <t>14/10/25</t>
        </is>
      </c>
      <c r="B81" t="inlineStr">
        <is>
          <t>UPI-AIRTEL-AIRTEL.PAYU@AXISBANK-UTIB0003156-112638492793-AIRTELPOSTPAIDBILL</t>
        </is>
      </c>
      <c r="C81" t="inlineStr">
        <is>
          <t>0000112638492793</t>
        </is>
      </c>
      <c r="D81" t="inlineStr">
        <is>
          <t>14/10/25</t>
        </is>
      </c>
      <c r="E81" t="n">
        <v>211.94</v>
      </c>
      <c r="G81" t="n">
        <v>231846.17</v>
      </c>
    </row>
    <row r="82" hidden="1" s="135">
      <c r="A82" t="inlineStr">
        <is>
          <t>14/10/25</t>
        </is>
      </c>
      <c r="B82" t="inlineStr">
        <is>
          <t>UPI-MAHANKALI  ANIL-CHANTIANI@YBL-UTIB0001454-112640653774-CARD SWIPE</t>
        </is>
      </c>
      <c r="C82" t="inlineStr">
        <is>
          <t>0000112640653774</t>
        </is>
      </c>
      <c r="D82" t="inlineStr">
        <is>
          <t>14/10/25</t>
        </is>
      </c>
      <c r="E82" t="n">
        <v>25000</v>
      </c>
      <c r="G82" t="n">
        <v>206846.17</v>
      </c>
    </row>
    <row r="83" hidden="1" s="135">
      <c r="A83" t="inlineStr">
        <is>
          <t>14/10/25</t>
        </is>
      </c>
      <c r="B83" t="inlineStr">
        <is>
          <t>UPI-BHANWRA  RAM-BHANWARJATCHOUDHARY251@OKSBI-SBIN0011306-112645088978-FURNITURE</t>
        </is>
      </c>
      <c r="C83" t="inlineStr">
        <is>
          <t>0000112645088978</t>
        </is>
      </c>
      <c r="D83" t="inlineStr">
        <is>
          <t>14/10/25</t>
        </is>
      </c>
      <c r="E83" t="n">
        <v>33984</v>
      </c>
      <c r="G83" t="n">
        <v>172862.17</v>
      </c>
    </row>
    <row r="84" hidden="1" s="135">
      <c r="A84" t="inlineStr">
        <is>
          <t>14/10/25</t>
        </is>
      </c>
      <c r="B84" t="inlineStr">
        <is>
          <t>NEFT CR-YESB0000001-SWIGGY LIMITED-ROCKTAIL HOSPITALITY SERVICES-YESBN12025101406117243</t>
        </is>
      </c>
      <c r="C84" t="inlineStr">
        <is>
          <t>YESBN12025101406117243</t>
        </is>
      </c>
      <c r="D84" t="inlineStr">
        <is>
          <t>14/10/25</t>
        </is>
      </c>
      <c r="F84" t="n">
        <v>22017.22</v>
      </c>
      <c r="G84" t="n">
        <v>194879.39</v>
      </c>
    </row>
    <row r="85" hidden="1" s="135">
      <c r="A85" t="inlineStr">
        <is>
          <t>15/10/25</t>
        </is>
      </c>
      <c r="B85" t="inlineStr">
        <is>
          <t>NEFT CR-YESB0000001-ONE 97 COMMUNICATIONS LIMITED SETTL-ROCKTAIL HOSPITALITY SERVICES-YESBN12025101501310623</t>
        </is>
      </c>
      <c r="C85" t="inlineStr">
        <is>
          <t>YESBN12025101501310623</t>
        </is>
      </c>
      <c r="D85" t="inlineStr">
        <is>
          <t>15/10/25</t>
        </is>
      </c>
      <c r="F85" t="n">
        <v>30576.54</v>
      </c>
      <c r="G85" t="n">
        <v>225455.93</v>
      </c>
    </row>
    <row r="86" hidden="1" s="135">
      <c r="A86" t="inlineStr">
        <is>
          <t>15/10/25</t>
        </is>
      </c>
      <c r="B86" t="inlineStr">
        <is>
          <t>NEFT CR-UTIB0001506-PHONEPE LIMITED-PAYMENT AGGREGATOR ESCROW ACCOUNT-ROCKTAIL HOSPITALITY-UTIBN62025101529095027</t>
        </is>
      </c>
      <c r="C86" t="inlineStr">
        <is>
          <t>UTIBN62025101529095027</t>
        </is>
      </c>
      <c r="D86" t="inlineStr">
        <is>
          <t>15/10/25</t>
        </is>
      </c>
      <c r="F86" t="n">
        <v>24849.71</v>
      </c>
      <c r="G86" t="n">
        <v>250305.64</v>
      </c>
    </row>
    <row r="87" hidden="1" s="135">
      <c r="A87" t="inlineStr">
        <is>
          <t>15/10/25</t>
        </is>
      </c>
      <c r="B87" t="inlineStr">
        <is>
          <t>42552394TERMINAL 1 CARDS SETTL. 15/10/25</t>
        </is>
      </c>
      <c r="C87" t="inlineStr">
        <is>
          <t>000000000000000</t>
        </is>
      </c>
      <c r="D87" t="inlineStr">
        <is>
          <t>15/10/25</t>
        </is>
      </c>
      <c r="F87" t="n">
        <v>1403.68</v>
      </c>
      <c r="G87" t="n">
        <v>251709.32</v>
      </c>
    </row>
    <row r="88" hidden="1" s="135">
      <c r="A88" t="inlineStr">
        <is>
          <t>15/10/25</t>
        </is>
      </c>
      <c r="B88" t="inlineStr">
        <is>
          <t>UPI-I ANIL KUMAR-ANILTIGER9966@YBL-SBIN0008025-112678952262-UPI</t>
        </is>
      </c>
      <c r="C88" t="inlineStr">
        <is>
          <t>0000112678952262</t>
        </is>
      </c>
      <c r="D88" t="inlineStr">
        <is>
          <t>15/10/25</t>
        </is>
      </c>
      <c r="E88" t="n">
        <v>16650</v>
      </c>
      <c r="G88" t="n">
        <v>235059.32</v>
      </c>
    </row>
    <row r="89">
      <c r="A89" t="inlineStr">
        <is>
          <t>15/10/25</t>
        </is>
      </c>
      <c r="B89" t="inlineStr">
        <is>
          <t>NEFT CR-CITI0000002-ETERNAL LIMITED-ROCKTAIL HOSPITALITY SERVICES-CITIN52025101539958263</t>
        </is>
      </c>
      <c r="C89" t="inlineStr">
        <is>
          <t>CITIN52025101539958263</t>
        </is>
      </c>
      <c r="D89" t="inlineStr">
        <is>
          <t>15/10/25</t>
        </is>
      </c>
      <c r="F89" t="n">
        <v>54593.95</v>
      </c>
      <c r="G89" t="n">
        <v>289653.27</v>
      </c>
    </row>
    <row r="90" hidden="1" s="135">
      <c r="A90" t="inlineStr">
        <is>
          <t>15/10/25</t>
        </is>
      </c>
      <c r="B90" t="inlineStr">
        <is>
          <t>ACH D- PINE LABS PVT LTD-9YBBY0K45VFHTZ</t>
        </is>
      </c>
      <c r="C90" t="inlineStr">
        <is>
          <t>0000003300258297</t>
        </is>
      </c>
      <c r="D90" t="inlineStr">
        <is>
          <t>15/10/25</t>
        </is>
      </c>
      <c r="E90" t="n">
        <v>408</v>
      </c>
      <c r="G90" t="n">
        <v>289245.27</v>
      </c>
    </row>
    <row r="91" hidden="1" s="135">
      <c r="A91" t="inlineStr">
        <is>
          <t>15/10/25</t>
        </is>
      </c>
      <c r="B91" t="inlineStr">
        <is>
          <t>NEFT CR-UTIB0000052-BUNDL TECHNOLOGIES PRIVATE LIMITED-ROCKTAIL HOSPITALITY SERVICES-UTIBN62025101531694003</t>
        </is>
      </c>
      <c r="C91" t="inlineStr">
        <is>
          <t>UTIBN62025101531694003</t>
        </is>
      </c>
      <c r="D91" t="inlineStr">
        <is>
          <t>15/10/25</t>
        </is>
      </c>
      <c r="F91" t="n">
        <v>26065.61</v>
      </c>
      <c r="G91" t="n">
        <v>315310.88</v>
      </c>
    </row>
    <row r="92" hidden="1" s="135">
      <c r="A92" t="inlineStr">
        <is>
          <t>16/10/25</t>
        </is>
      </c>
      <c r="B92" t="inlineStr">
        <is>
          <t>NEFT CR-YESB0000001-ONE 97 COMMUNICATIONS LIMITED SETTL-ROCKTAIL HOSPITALITY SERVICES-YESBN12025101601861177</t>
        </is>
      </c>
      <c r="C92" t="inlineStr">
        <is>
          <t>YESBN12025101601861177</t>
        </is>
      </c>
      <c r="D92" t="inlineStr">
        <is>
          <t>16/10/25</t>
        </is>
      </c>
      <c r="F92" t="n">
        <v>26861.69</v>
      </c>
      <c r="G92" t="n">
        <v>342172.57</v>
      </c>
    </row>
    <row r="93" hidden="1" s="135">
      <c r="A93" t="inlineStr">
        <is>
          <t>16/10/25</t>
        </is>
      </c>
      <c r="B93" t="inlineStr">
        <is>
          <t>42552394TERMINAL 1 CARDS SETTL. 16/10/25</t>
        </is>
      </c>
      <c r="C93" t="inlineStr">
        <is>
          <t>000000000000000</t>
        </is>
      </c>
      <c r="D93" t="inlineStr">
        <is>
          <t>16/10/25</t>
        </is>
      </c>
      <c r="F93" t="n">
        <v>6184.19</v>
      </c>
      <c r="G93" t="n">
        <v>348356.76</v>
      </c>
    </row>
    <row r="94" hidden="1" s="135">
      <c r="A94" t="inlineStr">
        <is>
          <t>17/10/25</t>
        </is>
      </c>
      <c r="B94" t="inlineStr">
        <is>
          <t>NEFT CR-YESB0000001-ONE 97 COMMUNICATIONS LIMITED SETTL-ROCKTAIL HOSPITALITY SERVICES-YESBN12025101700504184</t>
        </is>
      </c>
      <c r="C94" t="inlineStr">
        <is>
          <t>YESBN12025101700504184</t>
        </is>
      </c>
      <c r="D94" t="inlineStr">
        <is>
          <t>17/10/25</t>
        </is>
      </c>
      <c r="F94" t="n">
        <v>18765.99</v>
      </c>
      <c r="G94" t="n">
        <v>367122.75</v>
      </c>
    </row>
    <row r="95" hidden="1" s="135">
      <c r="A95" t="inlineStr">
        <is>
          <t>17/10/25</t>
        </is>
      </c>
      <c r="B95" t="inlineStr">
        <is>
          <t>42552394TERMINAL 1 CARDS SETTL. 17/10/25</t>
        </is>
      </c>
      <c r="C95" t="inlineStr">
        <is>
          <t>000000000000000</t>
        </is>
      </c>
      <c r="D95" t="inlineStr">
        <is>
          <t>17/10/25</t>
        </is>
      </c>
      <c r="F95" t="n">
        <v>14392.76</v>
      </c>
      <c r="G95" t="n">
        <v>381515.51</v>
      </c>
    </row>
    <row r="96" hidden="1" s="135">
      <c r="A96" t="inlineStr">
        <is>
          <t>17/10/25</t>
        </is>
      </c>
      <c r="B96" t="inlineStr">
        <is>
          <t>NEFT CR-YESB0000001-SWIGGY LIMITED-ROCKTAIL HOSPITALITY SERVICES-YESBN12025101705389357</t>
        </is>
      </c>
      <c r="C96" t="inlineStr">
        <is>
          <t>YESBN12025101705389357</t>
        </is>
      </c>
      <c r="D96" t="inlineStr">
        <is>
          <t>17/10/25</t>
        </is>
      </c>
      <c r="F96" t="n">
        <v>24683.09</v>
      </c>
      <c r="G96" t="n">
        <v>406198.6</v>
      </c>
    </row>
    <row r="97" hidden="1" s="135">
      <c r="A97" t="inlineStr">
        <is>
          <t>17/10/25</t>
        </is>
      </c>
      <c r="B97" t="inlineStr">
        <is>
          <t>UPI-BHANWRA  RAM-BHANWARJATCHOUDHARY251@OKSBI-SBIN0011306-565615784026-FURNITURE FNF</t>
        </is>
      </c>
      <c r="C97" t="inlineStr">
        <is>
          <t>0000565615784026</t>
        </is>
      </c>
      <c r="D97" t="inlineStr">
        <is>
          <t>17/10/25</t>
        </is>
      </c>
      <c r="E97" t="n">
        <v>16200</v>
      </c>
      <c r="G97" t="n">
        <v>389998.6</v>
      </c>
    </row>
    <row r="98" hidden="1" s="135">
      <c r="A98" t="inlineStr">
        <is>
          <t>17/10/25</t>
        </is>
      </c>
      <c r="B98" t="inlineStr">
        <is>
          <t>UPI-SYED ANSAR ALI-9735000703@YBL-SBIN0002106-565609682617-VALET</t>
        </is>
      </c>
      <c r="C98" t="inlineStr">
        <is>
          <t>0000565609682617</t>
        </is>
      </c>
      <c r="D98" t="inlineStr">
        <is>
          <t>17/10/25</t>
        </is>
      </c>
      <c r="E98" t="n">
        <v>24000</v>
      </c>
      <c r="G98" t="n">
        <v>365998.6</v>
      </c>
    </row>
    <row r="99" hidden="1" s="135">
      <c r="A99" t="inlineStr">
        <is>
          <t>18/10/25</t>
        </is>
      </c>
      <c r="B99" t="inlineStr">
        <is>
          <t>NEFT CR-YESB0000001-ONE 97 COMMUNICATIONS LIMITED SETTL-ROCKTAIL HOSPITALITY SERVICES-YESBN12025101802308425</t>
        </is>
      </c>
      <c r="C99" t="inlineStr">
        <is>
          <t>YESBN12025101802308425</t>
        </is>
      </c>
      <c r="D99" t="inlineStr">
        <is>
          <t>18/10/25</t>
        </is>
      </c>
      <c r="F99" t="n">
        <v>25752</v>
      </c>
      <c r="G99" t="n">
        <v>391750.6</v>
      </c>
    </row>
    <row r="100" hidden="1" s="135">
      <c r="A100" t="inlineStr">
        <is>
          <t>18/10/25</t>
        </is>
      </c>
      <c r="B100" t="inlineStr">
        <is>
          <t>42552394TERMINAL 1 CARDS SETTL. 18/10/25</t>
        </is>
      </c>
      <c r="C100" t="inlineStr">
        <is>
          <t>000000000000000</t>
        </is>
      </c>
      <c r="D100" t="inlineStr">
        <is>
          <t>18/10/25</t>
        </is>
      </c>
      <c r="F100" t="n">
        <v>8270.74</v>
      </c>
      <c r="G100" t="n">
        <v>400021.34</v>
      </c>
    </row>
    <row r="101" hidden="1" s="135">
      <c r="A101" t="inlineStr">
        <is>
          <t>19/10/25</t>
        </is>
      </c>
      <c r="B101" t="inlineStr">
        <is>
          <t>NEFT CR-YESB0000001-ONE 97 COMMUNICATIONS LIMITED SETTL-ROCKTAIL HOSPITALITY SERVICES-YESBN12025101901417601</t>
        </is>
      </c>
      <c r="C101" t="inlineStr">
        <is>
          <t>YESBN12025101901417601</t>
        </is>
      </c>
      <c r="D101" t="inlineStr">
        <is>
          <t>19/10/25</t>
        </is>
      </c>
      <c r="F101" t="n">
        <v>56196.84</v>
      </c>
      <c r="G101" t="n">
        <v>456218.18</v>
      </c>
    </row>
    <row r="102" hidden="1" s="135">
      <c r="A102" t="inlineStr">
        <is>
          <t>19/10/25</t>
        </is>
      </c>
      <c r="B102" t="inlineStr">
        <is>
          <t>NEFT CR-UTIB0001506-PHONEPE LIMITED-PAYMENT AGGREGATOR ESCROW ACCOUNT-ROCKTAIL HOSPITALITY-UTIBN62025101981036322</t>
        </is>
      </c>
      <c r="C102" t="inlineStr">
        <is>
          <t>UTIBN62025101981036322</t>
        </is>
      </c>
      <c r="D102" t="inlineStr">
        <is>
          <t>19/10/25</t>
        </is>
      </c>
      <c r="F102" t="n">
        <v>129.18</v>
      </c>
      <c r="G102" t="n">
        <v>456347.36</v>
      </c>
    </row>
    <row r="103" hidden="1" s="135">
      <c r="A103" t="inlineStr">
        <is>
          <t>19/10/25</t>
        </is>
      </c>
      <c r="B103" t="inlineStr">
        <is>
          <t>42552394TERMINAL 1 CARDS SETTL. 19/10/25</t>
        </is>
      </c>
      <c r="C103" t="inlineStr">
        <is>
          <t>000000000000000</t>
        </is>
      </c>
      <c r="D103" t="inlineStr">
        <is>
          <t>19/10/25</t>
        </is>
      </c>
      <c r="F103" t="n">
        <v>12533.1</v>
      </c>
      <c r="G103" t="n">
        <v>468880.46</v>
      </c>
    </row>
    <row r="104" hidden="1" s="135">
      <c r="A104" t="inlineStr">
        <is>
          <t>20/10/25</t>
        </is>
      </c>
      <c r="B104" t="inlineStr">
        <is>
          <t>NEFT CR-YESB0000001-ONE 97 COMMUNICATIONS LIMITED SETTL-ROCKTAIL HOSPITALITY SERVICES-YESBN12025102002252754</t>
        </is>
      </c>
      <c r="C104" t="inlineStr">
        <is>
          <t>YESBN12025102002252754</t>
        </is>
      </c>
      <c r="D104" t="inlineStr">
        <is>
          <t>20/10/25</t>
        </is>
      </c>
      <c r="F104" t="n">
        <v>56832.39</v>
      </c>
      <c r="G104" t="n">
        <v>525712.85</v>
      </c>
    </row>
    <row r="105" hidden="1" s="135">
      <c r="A105" t="inlineStr">
        <is>
          <t>20/10/25</t>
        </is>
      </c>
      <c r="B105" t="inlineStr">
        <is>
          <t>NEFT CR-UTIB0001506-PHONEPE LIMITED-PAYMENT AGGREGATOR ESCROW ACCOUNT-ROCKTAIL HOSPITALITY-UTIBN62025102091922015</t>
        </is>
      </c>
      <c r="C105" t="inlineStr">
        <is>
          <t>UTIBN62025102091922015</t>
        </is>
      </c>
      <c r="D105" t="inlineStr">
        <is>
          <t>20/10/25</t>
        </is>
      </c>
      <c r="F105" t="n">
        <v>342.18</v>
      </c>
      <c r="G105" t="n">
        <v>526055.03</v>
      </c>
    </row>
    <row r="106" hidden="1" s="135">
      <c r="A106" t="inlineStr">
        <is>
          <t>20/10/25</t>
        </is>
      </c>
      <c r="B106" t="inlineStr">
        <is>
          <t>NEFT CR-SCBL0036001-AMERICAN EXPRESS BANKING CORP-ROCKTAIL HOSPITALITY SERVICES-SCBLN52025102000534540</t>
        </is>
      </c>
      <c r="C106" t="inlineStr">
        <is>
          <t>SCBLN52025102000534540</t>
        </is>
      </c>
      <c r="D106" t="inlineStr">
        <is>
          <t>20/10/25</t>
        </is>
      </c>
      <c r="F106" t="n">
        <v>2527.06</v>
      </c>
      <c r="G106" t="n">
        <v>528582.09</v>
      </c>
    </row>
    <row r="107" hidden="1" s="135">
      <c r="A107" t="inlineStr">
        <is>
          <t>20/10/25</t>
        </is>
      </c>
      <c r="B107" t="inlineStr">
        <is>
          <t>42552394TERMINAL 1 CARDS SETTL. 20/10/25</t>
        </is>
      </c>
      <c r="C107" t="inlineStr">
        <is>
          <t>000000000000000</t>
        </is>
      </c>
      <c r="D107" t="inlineStr">
        <is>
          <t>20/10/25</t>
        </is>
      </c>
      <c r="F107" t="n">
        <v>21406.83</v>
      </c>
      <c r="G107" t="n">
        <v>549988.92</v>
      </c>
    </row>
    <row r="108" hidden="1" s="135">
      <c r="A108" t="inlineStr">
        <is>
          <t>20/10/25</t>
        </is>
      </c>
      <c r="B108" t="inlineStr">
        <is>
          <t>UPI-TIRUMALA SOUNDS AND -GPAY-11193304431@OKBIZAXIS-UTIB0000553-112946107359-MELA TENT HOUSE</t>
        </is>
      </c>
      <c r="C108" t="inlineStr">
        <is>
          <t>0000112946107359</t>
        </is>
      </c>
      <c r="D108" t="inlineStr">
        <is>
          <t>20/10/25</t>
        </is>
      </c>
      <c r="E108" t="n">
        <v>30000</v>
      </c>
      <c r="G108" t="n">
        <v>519988.92</v>
      </c>
    </row>
    <row r="109">
      <c r="A109" t="inlineStr">
        <is>
          <t>20/10/25</t>
        </is>
      </c>
      <c r="B109" t="inlineStr">
        <is>
          <t>NEFT CR-CITI0000002-ETERNAL LIMITED-ROCKTAIL HOSPITALITY SERVICES-CITIN52025102041871588</t>
        </is>
      </c>
      <c r="C109" t="inlineStr">
        <is>
          <t>CITIN52025102041871588</t>
        </is>
      </c>
      <c r="D109" t="inlineStr">
        <is>
          <t>20/10/25</t>
        </is>
      </c>
      <c r="F109" t="n">
        <v>59058.55</v>
      </c>
      <c r="G109" t="n">
        <v>579047.47</v>
      </c>
    </row>
    <row r="110" hidden="1" s="135">
      <c r="A110" t="inlineStr">
        <is>
          <t>21/10/25</t>
        </is>
      </c>
      <c r="B110" t="inlineStr">
        <is>
          <t>NEFT CR-YESB0000001-ONE 97 COMMUNICATIONS LIMITED SETTL-ROCKTAIL HOSPITALITY SERVICES-YESBN12025102101238588</t>
        </is>
      </c>
      <c r="C110" t="inlineStr">
        <is>
          <t>YESBN12025102101238588</t>
        </is>
      </c>
      <c r="D110" t="inlineStr">
        <is>
          <t>21/10/25</t>
        </is>
      </c>
      <c r="F110" t="n">
        <v>33780.11</v>
      </c>
      <c r="G110" t="n">
        <v>612827.58</v>
      </c>
    </row>
    <row r="111" hidden="1" s="135">
      <c r="A111" t="inlineStr">
        <is>
          <t>21/10/25</t>
        </is>
      </c>
      <c r="B111" t="inlineStr">
        <is>
          <t>NEFT CR-UTIB0001506-PHONEPE LIMITED-PAYMENT AGGREGATOR ESCROW ACCOUNT-ROCKTAIL HOSPITALITY-UTIBN62025102103425474</t>
        </is>
      </c>
      <c r="C111" t="inlineStr">
        <is>
          <t>UTIBN62025102103425474</t>
        </is>
      </c>
      <c r="D111" t="inlineStr">
        <is>
          <t>21/10/25</t>
        </is>
      </c>
      <c r="F111" t="n">
        <v>220</v>
      </c>
      <c r="G111" t="n">
        <v>613047.58</v>
      </c>
    </row>
    <row r="112" hidden="1" s="135">
      <c r="A112" t="inlineStr">
        <is>
          <t>21/10/25</t>
        </is>
      </c>
      <c r="B112" t="inlineStr">
        <is>
          <t>42552394TERMINAL 1 CARDS SETTL. 21/10/25</t>
        </is>
      </c>
      <c r="C112" t="inlineStr">
        <is>
          <t>000000000000000</t>
        </is>
      </c>
      <c r="D112" t="inlineStr">
        <is>
          <t>21/10/25</t>
        </is>
      </c>
      <c r="F112" t="n">
        <v>7579.68</v>
      </c>
      <c r="G112" t="n">
        <v>620627.26</v>
      </c>
    </row>
    <row r="113" hidden="1" s="135">
      <c r="A113" t="inlineStr">
        <is>
          <t>21/10/25</t>
        </is>
      </c>
      <c r="B113" t="inlineStr">
        <is>
          <t>UPI-GAMPA AMBA PRASAD-PRASADUCANMAIL@OKHDFCBANK-HDFC0004262-529463122058-MILK VENDOR</t>
        </is>
      </c>
      <c r="C113" t="inlineStr">
        <is>
          <t>0000529463122058</t>
        </is>
      </c>
      <c r="D113" t="inlineStr">
        <is>
          <t>21/10/25</t>
        </is>
      </c>
      <c r="E113" t="n">
        <v>3570</v>
      </c>
      <c r="G113" t="n">
        <v>617057.26</v>
      </c>
    </row>
    <row r="114" hidden="1" s="135">
      <c r="A114" t="inlineStr">
        <is>
          <t>21/10/25</t>
        </is>
      </c>
      <c r="B114" t="inlineStr">
        <is>
          <t>UPI-THIRUPATHAMMA MUTHUM-9490371940@YBL-CNRB0000033-529460829374-STAFF RENT</t>
        </is>
      </c>
      <c r="C114" t="inlineStr">
        <is>
          <t>0000529460829374</t>
        </is>
      </c>
      <c r="D114" t="inlineStr">
        <is>
          <t>21/10/25</t>
        </is>
      </c>
      <c r="E114" t="n">
        <v>38330</v>
      </c>
      <c r="G114" t="n">
        <v>578727.26</v>
      </c>
    </row>
    <row r="115" hidden="1" s="135">
      <c r="A115" t="inlineStr">
        <is>
          <t>21/10/25</t>
        </is>
      </c>
      <c r="B115" t="inlineStr">
        <is>
          <t>UPI-META ADS-FACEBOOKINDIAO.PAYU@MAIRTEL-AIRP0000001-112990962805-UPIINTENT</t>
        </is>
      </c>
      <c r="C115" t="inlineStr">
        <is>
          <t>0000112990962805</t>
        </is>
      </c>
      <c r="D115" t="inlineStr">
        <is>
          <t>21/10/25</t>
        </is>
      </c>
      <c r="E115" t="n">
        <v>2000</v>
      </c>
      <c r="G115" t="n">
        <v>576727.26</v>
      </c>
    </row>
    <row r="116" hidden="1" s="135">
      <c r="A116" t="inlineStr">
        <is>
          <t>21/10/25</t>
        </is>
      </c>
      <c r="B116" t="inlineStr">
        <is>
          <t>NEFT CR-YESB0000001-SWIGGY LIMITED-ROCKTAIL HOSPITALITY SERVICES-YESBN12025102105523192</t>
        </is>
      </c>
      <c r="C116" t="inlineStr">
        <is>
          <t>YESBN12025102105523192</t>
        </is>
      </c>
      <c r="D116" t="inlineStr">
        <is>
          <t>21/10/25</t>
        </is>
      </c>
      <c r="F116" t="n">
        <v>55234.75</v>
      </c>
      <c r="G116" t="n">
        <v>631962.01</v>
      </c>
    </row>
    <row r="117" hidden="1" s="135">
      <c r="A117" t="inlineStr">
        <is>
          <t>21/10/25</t>
        </is>
      </c>
      <c r="B117" t="inlineStr">
        <is>
          <t>UPI-BADHEY BHARATH-BADHEYBHARATH@OKHDFCBANK-CNRB0000033-566023703445-MELA SOCIALS</t>
        </is>
      </c>
      <c r="C117" t="inlineStr">
        <is>
          <t>0000566023703445</t>
        </is>
      </c>
      <c r="D117" t="inlineStr">
        <is>
          <t>21/10/25</t>
        </is>
      </c>
      <c r="E117" t="n">
        <v>37000</v>
      </c>
      <c r="G117" t="n">
        <v>594962.01</v>
      </c>
    </row>
    <row r="118" hidden="1" s="135">
      <c r="A118" t="inlineStr">
        <is>
          <t>22/10/25</t>
        </is>
      </c>
      <c r="B118" t="inlineStr">
        <is>
          <t>NEFT CR-YESB0000001-ONE 97 COMMUNICATIONS LIMITED SETTL-ROCKTAIL HOSPITALITY SERVICES-YESBN12025102201533266</t>
        </is>
      </c>
      <c r="C118" t="inlineStr">
        <is>
          <t>YESBN12025102201533266</t>
        </is>
      </c>
      <c r="D118" t="inlineStr">
        <is>
          <t>22/10/25</t>
        </is>
      </c>
      <c r="F118" t="n">
        <v>39105.07</v>
      </c>
      <c r="G118" t="n">
        <v>634067.08</v>
      </c>
    </row>
    <row r="119" hidden="1" s="135">
      <c r="A119" t="inlineStr">
        <is>
          <t>22/10/25</t>
        </is>
      </c>
      <c r="B119" t="inlineStr">
        <is>
          <t>NEFT CR-SCBL0036001-AMERICAN EXPRESS BANKING CORP-ROCKTAIL HOSPITALITY SERVICES-SCBLN52025102200524541</t>
        </is>
      </c>
      <c r="C119" t="inlineStr">
        <is>
          <t>SCBLN52025102200524541</t>
        </is>
      </c>
      <c r="D119" t="inlineStr">
        <is>
          <t>22/10/25</t>
        </is>
      </c>
      <c r="F119" t="n">
        <v>1743.24</v>
      </c>
      <c r="G119" t="n">
        <v>635810.3199999999</v>
      </c>
    </row>
    <row r="120" hidden="1" s="135">
      <c r="A120" t="inlineStr">
        <is>
          <t>22/10/25</t>
        </is>
      </c>
      <c r="B120" t="inlineStr">
        <is>
          <t>42552394TERMINAL 1 CARDS SETTL. 22/10/25</t>
        </is>
      </c>
      <c r="C120" t="inlineStr">
        <is>
          <t>000000000000000</t>
        </is>
      </c>
      <c r="D120" t="inlineStr">
        <is>
          <t>22/10/25</t>
        </is>
      </c>
      <c r="F120" t="n">
        <v>3966.01</v>
      </c>
      <c r="G120" t="n">
        <v>639776.33</v>
      </c>
    </row>
    <row r="121" hidden="1" s="135">
      <c r="A121" t="inlineStr">
        <is>
          <t>22/10/25</t>
        </is>
      </c>
      <c r="B121" t="inlineStr">
        <is>
          <t>NEFT CR-UTIB0000052-BUNDL TECHNOLOGIES PRIVATE LIMITED-ROCKTAIL HOSPITALITY SERVICES-UTIBN62025102214786836</t>
        </is>
      </c>
      <c r="C121" t="inlineStr">
        <is>
          <t>UTIBN62025102214786836</t>
        </is>
      </c>
      <c r="D121" t="inlineStr">
        <is>
          <t>22/10/25</t>
        </is>
      </c>
      <c r="F121" t="n">
        <v>27200.41</v>
      </c>
      <c r="G121" t="n">
        <v>666976.74</v>
      </c>
    </row>
    <row r="122">
      <c r="A122" t="inlineStr">
        <is>
          <t>22/10/25</t>
        </is>
      </c>
      <c r="B122" t="inlineStr">
        <is>
          <t>NEFT CR-CITI0000002-ETERNAL LIMITED-ROCKTAIL HOSPITALITY SERVICES-CITIN52025102242479154</t>
        </is>
      </c>
      <c r="C122" t="inlineStr">
        <is>
          <t>CITIN52025102242479154</t>
        </is>
      </c>
      <c r="D122" t="inlineStr">
        <is>
          <t>22/10/25</t>
        </is>
      </c>
      <c r="F122" t="n">
        <v>41686.89</v>
      </c>
      <c r="G122" t="n">
        <v>708663.63</v>
      </c>
    </row>
    <row r="123" hidden="1" s="135">
      <c r="A123" t="inlineStr">
        <is>
          <t>22/10/25</t>
        </is>
      </c>
      <c r="B123" t="inlineStr">
        <is>
          <t>UPI-SHANTH SAI KUMAR-SHANTHSAI@IBL-HDFC0000126-113039786363-RENT</t>
        </is>
      </c>
      <c r="C123" t="inlineStr">
        <is>
          <t>0000113039786363</t>
        </is>
      </c>
      <c r="D123" t="inlineStr">
        <is>
          <t>22/10/25</t>
        </is>
      </c>
      <c r="E123" t="n">
        <v>25000</v>
      </c>
      <c r="G123" t="n">
        <v>683663.63</v>
      </c>
    </row>
    <row r="124" hidden="1" s="135">
      <c r="A124" t="inlineStr">
        <is>
          <t>23/10/25</t>
        </is>
      </c>
      <c r="B124" t="inlineStr">
        <is>
          <t>NEFT CR-YESB0000001-ONE 97 COMMUNICATIONS LIMITED SETTL-ROCKTAIL HOSPITALITY SERVICES-YESBN12025102301234200</t>
        </is>
      </c>
      <c r="C124" t="inlineStr">
        <is>
          <t>YESBN12025102301234200</t>
        </is>
      </c>
      <c r="D124" t="inlineStr">
        <is>
          <t>23/10/25</t>
        </is>
      </c>
      <c r="F124" t="n">
        <v>38836.81</v>
      </c>
      <c r="G124" t="n">
        <v>722500.4399999999</v>
      </c>
    </row>
    <row r="125" hidden="1" s="135">
      <c r="A125" t="inlineStr">
        <is>
          <t>23/10/25</t>
        </is>
      </c>
      <c r="B125" t="inlineStr">
        <is>
          <t>NEFT CR-UTIB0001506-PHONEPE LIMITED-PAYMENT AGGREGATOR ESCROW ACCOUNT-ROCKTAIL HOSPITALITY-UTIBN62025102323642286</t>
        </is>
      </c>
      <c r="C125" t="inlineStr">
        <is>
          <t>UTIBN62025102323642286</t>
        </is>
      </c>
      <c r="D125" t="inlineStr">
        <is>
          <t>23/10/25</t>
        </is>
      </c>
      <c r="F125" t="n">
        <v>110</v>
      </c>
      <c r="G125" t="n">
        <v>722610.4399999999</v>
      </c>
    </row>
    <row r="126" hidden="1" s="135">
      <c r="A126" t="inlineStr">
        <is>
          <t>23/10/25</t>
        </is>
      </c>
      <c r="B126" t="inlineStr">
        <is>
          <t>NEFT CR-SCBL0036001-AMERICAN EXPRESS BANKING CORP-ROCKTAIL HOSPITALITY SERVICES-SCBLN52025102300524874</t>
        </is>
      </c>
      <c r="C126" t="inlineStr">
        <is>
          <t>SCBLN52025102300524874</t>
        </is>
      </c>
      <c r="D126" t="inlineStr">
        <is>
          <t>23/10/25</t>
        </is>
      </c>
      <c r="F126" t="n">
        <v>6198.83</v>
      </c>
      <c r="G126" t="n">
        <v>728809.27</v>
      </c>
    </row>
    <row r="127" hidden="1" s="135">
      <c r="A127" t="inlineStr">
        <is>
          <t>23/10/25</t>
        </is>
      </c>
      <c r="B127" t="inlineStr">
        <is>
          <t>42552394TERMINAL 1 CARDS SETTL. 23/10/25</t>
        </is>
      </c>
      <c r="C127" t="inlineStr">
        <is>
          <t>000000000000000</t>
        </is>
      </c>
      <c r="D127" t="inlineStr">
        <is>
          <t>23/10/25</t>
        </is>
      </c>
      <c r="F127" t="n">
        <v>14447.72</v>
      </c>
      <c r="G127" t="n">
        <v>743256.99</v>
      </c>
    </row>
    <row r="128" hidden="1" s="135">
      <c r="A128" t="inlineStr">
        <is>
          <t>23/10/25</t>
        </is>
      </c>
      <c r="B128" t="inlineStr">
        <is>
          <t>ACH D- PINE LABS PVT LTD-LKFVWNXRS92HQS</t>
        </is>
      </c>
      <c r="C128" t="inlineStr">
        <is>
          <t>0000003320579748</t>
        </is>
      </c>
      <c r="D128" t="inlineStr">
        <is>
          <t>23/10/25</t>
        </is>
      </c>
      <c r="E128" t="n">
        <v>1298</v>
      </c>
      <c r="G128" t="n">
        <v>741958.99</v>
      </c>
    </row>
    <row r="129" hidden="1" s="135">
      <c r="A129" t="inlineStr">
        <is>
          <t>23/10/25</t>
        </is>
      </c>
      <c r="B129" t="inlineStr">
        <is>
          <t>UPI-CRED CLUB-CRED.CLUB@AXISB-UTIB0000114-566210138143-PAYMENT ON CRED</t>
        </is>
      </c>
      <c r="C129" t="inlineStr">
        <is>
          <t>0000566210138143</t>
        </is>
      </c>
      <c r="D129" t="inlineStr">
        <is>
          <t>23/10/25</t>
        </is>
      </c>
      <c r="E129" t="n">
        <v>7487</v>
      </c>
      <c r="G129" t="n">
        <v>734471.99</v>
      </c>
    </row>
    <row r="130" hidden="1" s="135">
      <c r="A130" t="inlineStr">
        <is>
          <t>23/10/25</t>
        </is>
      </c>
      <c r="B130" t="inlineStr">
        <is>
          <t>IMPS-529613166068-HOUSE PARTY-HDFC-XXXXXXXXXX7641-LOAN RETURN</t>
        </is>
      </c>
      <c r="C130" t="inlineStr">
        <is>
          <t>0000529613166068</t>
        </is>
      </c>
      <c r="D130" t="inlineStr">
        <is>
          <t>23/10/25</t>
        </is>
      </c>
      <c r="E130" t="n">
        <v>200000</v>
      </c>
      <c r="G130" t="n">
        <v>534471.99</v>
      </c>
    </row>
    <row r="131" hidden="1" s="135">
      <c r="A131" t="inlineStr">
        <is>
          <t>23/10/25</t>
        </is>
      </c>
      <c r="B131" t="inlineStr">
        <is>
          <t>UPI-WOLFFPACK VENTURES P-ABHISHEK.LADHA11-1@OKAXIS-HDFC0000512-529665135013-LOAN</t>
        </is>
      </c>
      <c r="C131" t="inlineStr">
        <is>
          <t>0000529665135013</t>
        </is>
      </c>
      <c r="D131" t="inlineStr">
        <is>
          <t>23/10/25</t>
        </is>
      </c>
      <c r="F131" t="n">
        <v>50000</v>
      </c>
      <c r="G131" t="n">
        <v>584471.99</v>
      </c>
    </row>
    <row r="132" hidden="1" s="135">
      <c r="A132" t="inlineStr">
        <is>
          <t>23/10/25</t>
        </is>
      </c>
      <c r="B132" t="inlineStr">
        <is>
          <t>VENDOR PAYMENTS - ROCKTAIL HOSPITALITY DR - 57500000326520 - NEFT TRANSITORY ACCOUNT</t>
        </is>
      </c>
      <c r="C132" t="inlineStr">
        <is>
          <t>0000000000000191</t>
        </is>
      </c>
      <c r="D132" t="inlineStr">
        <is>
          <t>23/10/25</t>
        </is>
      </c>
      <c r="E132" t="n">
        <v>562427</v>
      </c>
      <c r="G132" t="n">
        <v>22044.99</v>
      </c>
    </row>
    <row r="133" hidden="1" s="135">
      <c r="A133" t="inlineStr">
        <is>
          <t>23/10/25</t>
        </is>
      </c>
      <c r="B133" t="inlineStr">
        <is>
          <t>NEFT RETURN-INCORRECT ACCOUNT NUMBER-LAXMI AGENCIES-IBKLN92025102303245025</t>
        </is>
      </c>
      <c r="C133" t="inlineStr">
        <is>
          <t>HDFCN52025102352676626</t>
        </is>
      </c>
      <c r="D133" t="inlineStr">
        <is>
          <t>23/10/25</t>
        </is>
      </c>
      <c r="F133" t="n">
        <v>1924</v>
      </c>
      <c r="G133" t="n">
        <v>23968.99</v>
      </c>
    </row>
    <row r="134" hidden="1" s="135">
      <c r="A134" t="inlineStr">
        <is>
          <t>23/10/25</t>
        </is>
      </c>
      <c r="B134" t="inlineStr">
        <is>
          <t>NEFT RETURN-INCORRECT ACCOUNT NUMBER-SRI HANUMAN AGENCIES-KVBLN52025102346825366</t>
        </is>
      </c>
      <c r="C134" t="inlineStr">
        <is>
          <t>HDFCN52025102352676639</t>
        </is>
      </c>
      <c r="D134" t="inlineStr">
        <is>
          <t>23/10/25</t>
        </is>
      </c>
      <c r="F134" t="n">
        <v>7021</v>
      </c>
      <c r="G134" t="n">
        <v>30989.99</v>
      </c>
    </row>
    <row r="135" hidden="1" s="135">
      <c r="A135" t="inlineStr">
        <is>
          <t>24/10/25</t>
        </is>
      </c>
      <c r="B135" t="inlineStr">
        <is>
          <t>NEFT CR-YESB0000001-ONE 97 COMMUNICATIONS LIMITED SETTL-ROCKTAIL HOSPITALITY SERVICES-YESBN12025102401591171</t>
        </is>
      </c>
      <c r="C135" t="inlineStr">
        <is>
          <t>YESBN12025102401591171</t>
        </is>
      </c>
      <c r="D135" t="inlineStr">
        <is>
          <t>24/10/25</t>
        </is>
      </c>
      <c r="F135" t="n">
        <v>19480</v>
      </c>
      <c r="G135" t="n">
        <v>50469.99</v>
      </c>
    </row>
    <row r="136" hidden="1" s="135">
      <c r="A136" t="inlineStr">
        <is>
          <t>24/10/25</t>
        </is>
      </c>
      <c r="B136" t="inlineStr">
        <is>
          <t>42552394TERMINAL 1 CARDS SETTL. 24/10/25</t>
        </is>
      </c>
      <c r="C136" t="inlineStr">
        <is>
          <t>000000000000000</t>
        </is>
      </c>
      <c r="D136" t="inlineStr">
        <is>
          <t>24/10/25</t>
        </is>
      </c>
      <c r="F136" t="n">
        <v>1323.06</v>
      </c>
      <c r="G136" t="n">
        <v>51793.05</v>
      </c>
    </row>
    <row r="137" hidden="1" s="135">
      <c r="A137" t="inlineStr">
        <is>
          <t>24/10/25</t>
        </is>
      </c>
      <c r="B137" t="inlineStr">
        <is>
          <t>NEFT CR-YESB0000001-SWIGGY LIMITED-ROCKTAIL HOSPITALITY SERVICES-YESBN12025102404916414</t>
        </is>
      </c>
      <c r="C137" t="inlineStr">
        <is>
          <t>YESBN12025102404916414</t>
        </is>
      </c>
      <c r="D137" t="inlineStr">
        <is>
          <t>24/10/25</t>
        </is>
      </c>
      <c r="F137" t="n">
        <v>32984.19</v>
      </c>
      <c r="G137" t="n">
        <v>84777.24000000001</v>
      </c>
    </row>
    <row r="138" hidden="1" s="135">
      <c r="A138" t="inlineStr">
        <is>
          <t>24/10/25</t>
        </is>
      </c>
      <c r="B138" t="inlineStr">
        <is>
          <t>UPI-CHIVUKULA UPENDER SH-8332842446@YESCRED-HDFC0009608-566340339670-DIWALI PUJA</t>
        </is>
      </c>
      <c r="C138" t="inlineStr">
        <is>
          <t>0000566340339670</t>
        </is>
      </c>
      <c r="D138" t="inlineStr">
        <is>
          <t>24/10/25</t>
        </is>
      </c>
      <c r="E138" t="n">
        <v>3000</v>
      </c>
      <c r="G138" t="n">
        <v>81777.24000000001</v>
      </c>
    </row>
    <row r="139" hidden="1" s="135">
      <c r="A139" t="inlineStr">
        <is>
          <t>25/10/25</t>
        </is>
      </c>
      <c r="B139" t="inlineStr">
        <is>
          <t>NEFT CR-YESB0000001-ONE 97 COMMUNICATIONS LIMITED SETTL-ROCKTAIL HOSPITALITY SERVICES-YESBN12025102501315902</t>
        </is>
      </c>
      <c r="C139" t="inlineStr">
        <is>
          <t>YESBN12025102501315902</t>
        </is>
      </c>
      <c r="D139" t="inlineStr">
        <is>
          <t>25/10/25</t>
        </is>
      </c>
      <c r="F139" t="n">
        <v>36652.21</v>
      </c>
      <c r="G139" t="n">
        <v>118429.45</v>
      </c>
    </row>
    <row r="140" hidden="1" s="135">
      <c r="A140" t="inlineStr">
        <is>
          <t>25/10/25</t>
        </is>
      </c>
      <c r="B140" t="inlineStr">
        <is>
          <t>NEFT CR-UTIB0001506-PHONEPE LIMITED-PAYMENT AGGREGATOR ESCROW ACCOUNT-ROCKTAIL HOSPITALITY-UTIBN62025102546303839</t>
        </is>
      </c>
      <c r="C140" t="inlineStr">
        <is>
          <t>UTIBN62025102546303839</t>
        </is>
      </c>
      <c r="D140" t="inlineStr">
        <is>
          <t>25/10/25</t>
        </is>
      </c>
      <c r="F140" t="n">
        <v>220</v>
      </c>
      <c r="G140" t="n">
        <v>118649.45</v>
      </c>
    </row>
    <row r="141" hidden="1" s="135">
      <c r="A141" t="inlineStr">
        <is>
          <t>26/10/25</t>
        </is>
      </c>
      <c r="B141" t="inlineStr">
        <is>
          <t>NEFT CR-YESB0000001-ONE 97 COMMUNICATIONS LIMITED SETTL-ROCKTAIL HOSPITALITY SERVICES-YESBN12025102601257886</t>
        </is>
      </c>
      <c r="C141" t="inlineStr">
        <is>
          <t>YESBN12025102601257886</t>
        </is>
      </c>
      <c r="D141" t="inlineStr">
        <is>
          <t>26/10/25</t>
        </is>
      </c>
      <c r="F141" t="n">
        <v>49021.23</v>
      </c>
      <c r="G141" t="n">
        <v>167670.68</v>
      </c>
    </row>
    <row r="142" hidden="1" s="135">
      <c r="A142" t="inlineStr">
        <is>
          <t>26/10/25</t>
        </is>
      </c>
      <c r="B142" t="inlineStr">
        <is>
          <t>NEFT CR-UTIB0001506-PHONEPE LIMITED-PAYMENT AGGREGATOR ESCROW ACCOUNT-ROCKTAIL HOSPITALITY-UTIBN62025102656587443</t>
        </is>
      </c>
      <c r="C142" t="inlineStr">
        <is>
          <t>UTIBN62025102656587443</t>
        </is>
      </c>
      <c r="D142" t="inlineStr">
        <is>
          <t>26/10/25</t>
        </is>
      </c>
      <c r="F142" t="n">
        <v>110</v>
      </c>
      <c r="G142" t="n">
        <v>167780.68</v>
      </c>
    </row>
    <row r="143" hidden="1" s="135">
      <c r="A143" t="inlineStr">
        <is>
          <t>26/10/25</t>
        </is>
      </c>
      <c r="B143" t="inlineStr">
        <is>
          <t>42552394TERMINAL 1 CARDS SETTL. 26/10/25</t>
        </is>
      </c>
      <c r="C143" t="inlineStr">
        <is>
          <t>000000000000000</t>
        </is>
      </c>
      <c r="D143" t="inlineStr">
        <is>
          <t>26/10/25</t>
        </is>
      </c>
      <c r="F143" t="n">
        <v>23146.27</v>
      </c>
      <c r="G143" t="n">
        <v>190926.95</v>
      </c>
    </row>
    <row r="144" hidden="1" s="135">
      <c r="A144" t="inlineStr">
        <is>
          <t>26/10/25</t>
        </is>
      </c>
      <c r="B144" t="inlineStr">
        <is>
          <t>IMPS-529912104492-HOUSE PARTY-HDFC-XXXXXXXXXX7641-ELECTRICITY BILL</t>
        </is>
      </c>
      <c r="C144" t="inlineStr">
        <is>
          <t>0000529912104492</t>
        </is>
      </c>
      <c r="D144" t="inlineStr">
        <is>
          <t>26/10/25</t>
        </is>
      </c>
      <c r="E144" t="n">
        <v>117500</v>
      </c>
      <c r="G144" t="n">
        <v>73426.95</v>
      </c>
    </row>
    <row r="145" hidden="1" s="135">
      <c r="A145" t="inlineStr">
        <is>
          <t>26/10/25</t>
        </is>
      </c>
      <c r="B145" t="inlineStr">
        <is>
          <t>UPI-P ARUN KUMAR-93937475761967@IBL-BARB0ASRAON-113226240320-STAFF RENT</t>
        </is>
      </c>
      <c r="C145" t="inlineStr">
        <is>
          <t>0000113226240320</t>
        </is>
      </c>
      <c r="D145" t="inlineStr">
        <is>
          <t>26/10/25</t>
        </is>
      </c>
      <c r="E145" t="n">
        <v>12751</v>
      </c>
      <c r="G145" t="n">
        <v>60675.95</v>
      </c>
    </row>
    <row r="146" hidden="1" s="135">
      <c r="A146" t="inlineStr">
        <is>
          <t>26/10/25</t>
        </is>
      </c>
      <c r="B146" t="inlineStr">
        <is>
          <t>UPI-SUJOY GHOSH-GSUJOY009@OKHDFCBANK-HDFC0009383-566540142891-STAFF ROOM</t>
        </is>
      </c>
      <c r="C146" t="inlineStr">
        <is>
          <t>0000566540142891</t>
        </is>
      </c>
      <c r="D146" t="inlineStr">
        <is>
          <t>26/10/25</t>
        </is>
      </c>
      <c r="E146" t="n">
        <v>8000</v>
      </c>
      <c r="G146" t="n">
        <v>52675.95</v>
      </c>
    </row>
    <row r="147" hidden="1" s="135">
      <c r="A147" t="inlineStr">
        <is>
          <t>27/10/25</t>
        </is>
      </c>
      <c r="B147" t="inlineStr">
        <is>
          <t>NEFT CR-YESB0000001-ONE 97 COMMUNICATIONS LIMITED SETTL-ROCKTAIL HOSPITALITY SERVICES-YESBN12025102702384026</t>
        </is>
      </c>
      <c r="C147" t="inlineStr">
        <is>
          <t>YESBN12025102702384026</t>
        </is>
      </c>
      <c r="D147" t="inlineStr">
        <is>
          <t>27/10/25</t>
        </is>
      </c>
      <c r="F147" t="n">
        <v>63344.01</v>
      </c>
      <c r="G147" t="n">
        <v>116019.96</v>
      </c>
    </row>
    <row r="148" hidden="1" s="135">
      <c r="A148" t="inlineStr">
        <is>
          <t>27/10/25</t>
        </is>
      </c>
      <c r="B148" t="inlineStr">
        <is>
          <t>NEFT CR-UTIB0001506-PHONEPE LIMITED-PAYMENT AGGREGATOR ESCROW ACCOUNT-ROCKTAIL HOSPITALITY-UTIBN62025102766283201</t>
        </is>
      </c>
      <c r="C148" t="inlineStr">
        <is>
          <t>UTIBN62025102766283201</t>
        </is>
      </c>
      <c r="D148" t="inlineStr">
        <is>
          <t>27/10/25</t>
        </is>
      </c>
      <c r="F148" t="n">
        <v>330</v>
      </c>
      <c r="G148" t="n">
        <v>116349.96</v>
      </c>
    </row>
    <row r="149" hidden="1" s="135">
      <c r="A149" t="inlineStr">
        <is>
          <t>27/10/25</t>
        </is>
      </c>
      <c r="B149" t="inlineStr">
        <is>
          <t>42552394TERMINAL 1 CARDS SETTL. 27/10/25</t>
        </is>
      </c>
      <c r="C149" t="inlineStr">
        <is>
          <t>000000000000000</t>
        </is>
      </c>
      <c r="D149" t="inlineStr">
        <is>
          <t>27/10/25</t>
        </is>
      </c>
      <c r="F149" t="n">
        <v>14880.3</v>
      </c>
      <c r="G149" t="n">
        <v>131230.26</v>
      </c>
    </row>
    <row r="150" hidden="1" s="135">
      <c r="A150" t="inlineStr">
        <is>
          <t>27/10/25</t>
        </is>
      </c>
      <c r="B150" t="inlineStr">
        <is>
          <t>UPI-SATYAJIT   JAUR-SATYAJITJAUR@OKICICI-KKBK0000565-113256799309-LOVE BAKERY</t>
        </is>
      </c>
      <c r="C150" t="inlineStr">
        <is>
          <t>0000113256799309</t>
        </is>
      </c>
      <c r="D150" t="inlineStr">
        <is>
          <t>27/10/25</t>
        </is>
      </c>
      <c r="E150" t="n">
        <v>10318</v>
      </c>
      <c r="G150" t="n">
        <v>120912.26</v>
      </c>
    </row>
    <row r="151">
      <c r="A151" t="inlineStr">
        <is>
          <t>27/10/25</t>
        </is>
      </c>
      <c r="B151" t="inlineStr">
        <is>
          <t>NEFT CR-CITI0000002-ETERNAL LIMITED-ROCKTAIL HOSPITALITY SERVICES-CITIN52025102744279131</t>
        </is>
      </c>
      <c r="C151" t="inlineStr">
        <is>
          <t>CITIN52025102744279131</t>
        </is>
      </c>
      <c r="D151" t="inlineStr">
        <is>
          <t>27/10/25</t>
        </is>
      </c>
      <c r="F151" t="n">
        <v>65157.11</v>
      </c>
      <c r="G151" t="n">
        <v>186069.37</v>
      </c>
    </row>
    <row r="152" hidden="1" s="135">
      <c r="A152" t="inlineStr">
        <is>
          <t>27/10/25</t>
        </is>
      </c>
      <c r="B152" t="inlineStr">
        <is>
          <t>UPI-CHURROLTO FOODS PRIV-CHURROLTO@YBL-HDFC0003974-113265686087-CHUROLTO PURCHASE</t>
        </is>
      </c>
      <c r="C152" t="inlineStr">
        <is>
          <t>0000113265686087</t>
        </is>
      </c>
      <c r="D152" t="inlineStr">
        <is>
          <t>27/10/25</t>
        </is>
      </c>
      <c r="E152" t="n">
        <v>17591</v>
      </c>
      <c r="G152" t="n">
        <v>168478.37</v>
      </c>
    </row>
    <row r="153" hidden="1" s="135">
      <c r="A153" t="inlineStr">
        <is>
          <t>28/10/25</t>
        </is>
      </c>
      <c r="B153" t="inlineStr">
        <is>
          <t>NEFT CR-YESB0000001-ONE 97 COMMUNICATIONS LIMITED SETTL-ROCKTAIL HOSPITALITY SERVICES-YESBN12025102800759935</t>
        </is>
      </c>
      <c r="C153" t="inlineStr">
        <is>
          <t>YESBN12025102800759935</t>
        </is>
      </c>
      <c r="D153" t="inlineStr">
        <is>
          <t>28/10/25</t>
        </is>
      </c>
      <c r="F153" t="n">
        <v>23074.76</v>
      </c>
      <c r="G153" t="n">
        <v>191553.13</v>
      </c>
    </row>
    <row r="154" hidden="1" s="135">
      <c r="A154" t="inlineStr">
        <is>
          <t>28/10/25</t>
        </is>
      </c>
      <c r="B154" t="inlineStr">
        <is>
          <t>42552394TERMINAL 1 CARDS SETTL. 28/10/25</t>
        </is>
      </c>
      <c r="C154" t="inlineStr">
        <is>
          <t>000000000000000</t>
        </is>
      </c>
      <c r="D154" t="inlineStr">
        <is>
          <t>28/10/25</t>
        </is>
      </c>
      <c r="F154" t="n">
        <v>11638.87</v>
      </c>
      <c r="G154" t="n">
        <v>203192</v>
      </c>
    </row>
    <row r="155" hidden="1" s="135">
      <c r="A155" t="inlineStr">
        <is>
          <t>28/10/25</t>
        </is>
      </c>
      <c r="B155" t="inlineStr">
        <is>
          <t>UPI-GAMPA AMBA PRASAD-PRASADUCANMAIL@OKHDFCBANK-HDFC0004262-113296668851-MILK VENDOR</t>
        </is>
      </c>
      <c r="C155" t="inlineStr">
        <is>
          <t>0000113296668851</t>
        </is>
      </c>
      <c r="D155" t="inlineStr">
        <is>
          <t>28/10/25</t>
        </is>
      </c>
      <c r="E155" t="n">
        <v>3570</v>
      </c>
      <c r="G155" t="n">
        <v>199622</v>
      </c>
    </row>
    <row r="156" hidden="1" s="135">
      <c r="A156" t="inlineStr">
        <is>
          <t>28/10/25</t>
        </is>
      </c>
      <c r="B156" t="inlineStr">
        <is>
          <t>NEFT CR-YESB0000001-SWIGGY LIMITED-ROCKTAIL HOSPITALITY SERVICES-YESBN12025102805002383</t>
        </is>
      </c>
      <c r="C156" t="inlineStr">
        <is>
          <t>YESBN12025102805002383</t>
        </is>
      </c>
      <c r="D156" t="inlineStr">
        <is>
          <t>28/10/25</t>
        </is>
      </c>
      <c r="F156" t="n">
        <v>58109.58</v>
      </c>
      <c r="G156" t="n">
        <v>257731.58</v>
      </c>
    </row>
    <row r="157" hidden="1" s="135">
      <c r="A157" t="inlineStr">
        <is>
          <t>29/10/25</t>
        </is>
      </c>
      <c r="B157" t="inlineStr">
        <is>
          <t>UPI-AIRTEL-AIRTEL4.PAYU@ICICI-ICIC0DC0099-530274291644-UPI MANDATE</t>
        </is>
      </c>
      <c r="C157" t="inlineStr">
        <is>
          <t>0000530274291644</t>
        </is>
      </c>
      <c r="D157" t="inlineStr">
        <is>
          <t>29/10/25</t>
        </is>
      </c>
      <c r="E157" t="n">
        <v>4718.82</v>
      </c>
      <c r="G157" t="n">
        <v>253012.76</v>
      </c>
    </row>
    <row r="158" hidden="1" s="135">
      <c r="A158" t="inlineStr">
        <is>
          <t>29/10/25</t>
        </is>
      </c>
      <c r="B158" t="inlineStr">
        <is>
          <t>NEFT CR-YESB0000001-ONE 97 COMMUNICATIONS LIMITED SETTL-ROCKTAIL HOSPITALITY SERVICES-YESBN12025102900875545</t>
        </is>
      </c>
      <c r="C158" t="inlineStr">
        <is>
          <t>YESBN12025102900875545</t>
        </is>
      </c>
      <c r="D158" t="inlineStr">
        <is>
          <t>29/10/25</t>
        </is>
      </c>
      <c r="F158" t="n">
        <v>20033.91</v>
      </c>
      <c r="G158" t="n">
        <v>273046.67</v>
      </c>
    </row>
    <row r="159" hidden="1" s="135">
      <c r="A159" t="inlineStr">
        <is>
          <t>29/10/25</t>
        </is>
      </c>
      <c r="B159" t="inlineStr">
        <is>
          <t>NEFT CR-UTIB0001506-PHONEPE LIMITED-PAYMENT AGGREGATOR ESCROW ACCOUNT-ROCKTAIL HOSPITALITY-UTIBN62025102988649977</t>
        </is>
      </c>
      <c r="C159" t="inlineStr">
        <is>
          <t>UTIBN62025102988649977</t>
        </is>
      </c>
      <c r="D159" t="inlineStr">
        <is>
          <t>29/10/25</t>
        </is>
      </c>
      <c r="F159" t="n">
        <v>286</v>
      </c>
      <c r="G159" t="n">
        <v>273332.67</v>
      </c>
    </row>
    <row r="160" hidden="1" s="135">
      <c r="A160" t="inlineStr">
        <is>
          <t>29/10/25</t>
        </is>
      </c>
      <c r="B160" t="inlineStr">
        <is>
          <t>42552394TERMINAL 1 CARDS SETTL. 29/10/25</t>
        </is>
      </c>
      <c r="C160" t="inlineStr">
        <is>
          <t>000000000000000</t>
        </is>
      </c>
      <c r="D160" t="inlineStr">
        <is>
          <t>29/10/25</t>
        </is>
      </c>
      <c r="F160" t="n">
        <v>5616.99</v>
      </c>
      <c r="G160" t="n">
        <v>278949.66</v>
      </c>
    </row>
    <row r="161" hidden="1" s="135">
      <c r="A161" t="inlineStr">
        <is>
          <t>29/10/25</t>
        </is>
      </c>
      <c r="B161" t="inlineStr">
        <is>
          <t>UPI-SHREY SINGH-SHREYSINGH0501-1@OKHDFCBANK-HDFC0004216-113331491172-LEGAL</t>
        </is>
      </c>
      <c r="C161" t="inlineStr">
        <is>
          <t>0000113331491172</t>
        </is>
      </c>
      <c r="D161" t="inlineStr">
        <is>
          <t>29/10/25</t>
        </is>
      </c>
      <c r="E161" t="n">
        <v>2500</v>
      </c>
      <c r="G161" t="n">
        <v>276449.66</v>
      </c>
    </row>
    <row r="162" hidden="1" s="135">
      <c r="A162" t="inlineStr">
        <is>
          <t>29/10/25</t>
        </is>
      </c>
      <c r="B162" t="inlineStr">
        <is>
          <t>UPI-GHANSHYAM TAK-9032357065TAK-1@OKHDFCBANK-BARB0CHILAK-566868538255-DIWALI SWEETS</t>
        </is>
      </c>
      <c r="C162" t="inlineStr">
        <is>
          <t>0000566868538255</t>
        </is>
      </c>
      <c r="D162" t="inlineStr">
        <is>
          <t>29/10/25</t>
        </is>
      </c>
      <c r="E162" t="n">
        <v>5460</v>
      </c>
      <c r="G162" t="n">
        <v>270989.66</v>
      </c>
    </row>
    <row r="163" hidden="1" s="135">
      <c r="A163" t="inlineStr">
        <is>
          <t>29/10/25</t>
        </is>
      </c>
      <c r="B163" t="inlineStr">
        <is>
          <t>NEFT CR-UTIB0000052-BUNDL TECHNOLOGIES PRIVATE LIMITED-ROCKTAIL HOSPITALITY SERVICES-UTIBN62025102990401735</t>
        </is>
      </c>
      <c r="C163" t="inlineStr">
        <is>
          <t>UTIBN62025102990401735</t>
        </is>
      </c>
      <c r="D163" t="inlineStr">
        <is>
          <t>29/10/25</t>
        </is>
      </c>
      <c r="F163" t="n">
        <v>36388.42</v>
      </c>
      <c r="G163" t="n">
        <v>307378.08</v>
      </c>
    </row>
    <row r="164">
      <c r="A164" t="inlineStr">
        <is>
          <t>29/10/25</t>
        </is>
      </c>
      <c r="B164" t="inlineStr">
        <is>
          <t>NEFT CR-CITI0000002-ETERNAL LIMITED-ROCKTAIL HOSPITALITY SERVICES-CITIN52025102945837468</t>
        </is>
      </c>
      <c r="C164" t="inlineStr">
        <is>
          <t>CITIN52025102945837468</t>
        </is>
      </c>
      <c r="D164" t="inlineStr">
        <is>
          <t>29/10/25</t>
        </is>
      </c>
      <c r="F164" t="n">
        <v>65058.96</v>
      </c>
      <c r="G164" t="n">
        <v>372437.04</v>
      </c>
    </row>
    <row r="165" hidden="1" s="135">
      <c r="A165" t="inlineStr">
        <is>
          <t>30/10/25</t>
        </is>
      </c>
      <c r="B165" t="inlineStr">
        <is>
          <t>NEFT CR-YESB0000001-ONE 97 COMMUNICATIONS LIMITED SETTL-ROCKTAIL HOSPITALITY SERVICES-YESBN12025103001214775</t>
        </is>
      </c>
      <c r="C165" t="inlineStr">
        <is>
          <t>YESBN12025103001214775</t>
        </is>
      </c>
      <c r="D165" t="inlineStr">
        <is>
          <t>30/10/25</t>
        </is>
      </c>
      <c r="F165" t="n">
        <v>18326</v>
      </c>
      <c r="G165" t="n">
        <v>390763.04</v>
      </c>
    </row>
    <row r="166" hidden="1" s="135">
      <c r="A166" t="inlineStr">
        <is>
          <t>30/10/25</t>
        </is>
      </c>
      <c r="B166" t="inlineStr">
        <is>
          <t>NEFT CR-UTIB0001506-PHONEPE LIMITED-PAYMENT AGGREGATOR ESCROW ACCOUNT-ROCKTAIL HOSPITALITY-UTIBN62025103000023706</t>
        </is>
      </c>
      <c r="C166" t="inlineStr">
        <is>
          <t>UTIBN62025103000023706</t>
        </is>
      </c>
      <c r="D166" t="inlineStr">
        <is>
          <t>30/10/25</t>
        </is>
      </c>
      <c r="F166" t="n">
        <v>110</v>
      </c>
      <c r="G166" t="n">
        <v>390873.04</v>
      </c>
    </row>
    <row r="167" hidden="1" s="135">
      <c r="A167" t="inlineStr">
        <is>
          <t>30/10/25</t>
        </is>
      </c>
      <c r="B167" t="inlineStr">
        <is>
          <t>42552394TERMINAL 1 CARDS SETTL. 30/10/25</t>
        </is>
      </c>
      <c r="C167" t="inlineStr">
        <is>
          <t>000000000000000</t>
        </is>
      </c>
      <c r="D167" t="inlineStr">
        <is>
          <t>30/10/25</t>
        </is>
      </c>
      <c r="F167" t="n">
        <v>9881.709999999999</v>
      </c>
      <c r="G167" t="n">
        <v>400754.75</v>
      </c>
    </row>
    <row r="168" hidden="1" s="135">
      <c r="A168" t="inlineStr">
        <is>
          <t>30/10/25</t>
        </is>
      </c>
      <c r="B168" t="inlineStr">
        <is>
          <t>UPI-BUTUKURI CHANDRA RED-CHREDDY332@IBL-UBIN0803944-530301632344-BENNE LEAF</t>
        </is>
      </c>
      <c r="C168" t="inlineStr">
        <is>
          <t>0000530301632344</t>
        </is>
      </c>
      <c r="D168" t="inlineStr">
        <is>
          <t>30/10/25</t>
        </is>
      </c>
      <c r="E168" t="n">
        <v>2000</v>
      </c>
      <c r="G168" t="n">
        <v>398754.75</v>
      </c>
    </row>
    <row r="169" hidden="1" s="135">
      <c r="A169" t="inlineStr">
        <is>
          <t>30/10/25</t>
        </is>
      </c>
      <c r="B169" t="inlineStr">
        <is>
          <t>UPI-BUTUKURI CHANDRA RED-CHREDDY332@IBL-UBIN0803944-566942126755-BENNE</t>
        </is>
      </c>
      <c r="C169" t="inlineStr">
        <is>
          <t>0000566942126755</t>
        </is>
      </c>
      <c r="D169" t="inlineStr">
        <is>
          <t>30/10/25</t>
        </is>
      </c>
      <c r="E169" t="n">
        <v>100</v>
      </c>
      <c r="G169" t="n">
        <v>398654.75</v>
      </c>
    </row>
    <row r="170" hidden="1" s="135">
      <c r="A170" t="inlineStr">
        <is>
          <t>30/10/25</t>
        </is>
      </c>
      <c r="B170" t="inlineStr">
        <is>
          <t>NEFT DR-UTIB0003241-SRINIVAS AGENCY-NETBANK, MUM-HDFCN52025103063055650-JULY VENDOR</t>
        </is>
      </c>
      <c r="C170" t="inlineStr">
        <is>
          <t>HDFCN52025103063055650</t>
        </is>
      </c>
      <c r="D170" t="inlineStr">
        <is>
          <t>30/10/25</t>
        </is>
      </c>
      <c r="E170" t="n">
        <v>150788</v>
      </c>
      <c r="G170" t="n">
        <v>247866.75</v>
      </c>
    </row>
    <row r="171" hidden="1" s="135">
      <c r="A171" t="inlineStr">
        <is>
          <t>30/10/25</t>
        </is>
      </c>
      <c r="B171" t="inlineStr">
        <is>
          <t>UPI-DIGGYREDDY KUSHAL RE-9908441203@YBL-HDFC0004343-113388314228-GAS VENDOR</t>
        </is>
      </c>
      <c r="C171" t="inlineStr">
        <is>
          <t>0000113388314228</t>
        </is>
      </c>
      <c r="D171" t="inlineStr">
        <is>
          <t>30/10/25</t>
        </is>
      </c>
      <c r="E171" t="n">
        <v>71380</v>
      </c>
      <c r="G171" t="n">
        <v>176486.75</v>
      </c>
    </row>
    <row r="172" hidden="1" s="135">
      <c r="A172" t="inlineStr">
        <is>
          <t>31/10/25</t>
        </is>
      </c>
      <c r="B172" t="inlineStr">
        <is>
          <t>NEFT CR-YESB0000001-ONE 97 COMMUNICATIONS LIMITED SETTL-ROCKTAIL HOSPITALITY SERVICES-YESBN12025103101226643</t>
        </is>
      </c>
      <c r="C172" t="inlineStr">
        <is>
          <t>YESBN12025103101226643</t>
        </is>
      </c>
      <c r="D172" t="inlineStr">
        <is>
          <t>31/10/25</t>
        </is>
      </c>
      <c r="F172" t="n">
        <v>32765.24</v>
      </c>
      <c r="G172" t="n">
        <v>209251.99</v>
      </c>
    </row>
    <row r="173" hidden="1" s="135">
      <c r="A173" t="inlineStr">
        <is>
          <t>31/10/25</t>
        </is>
      </c>
      <c r="B173" t="inlineStr">
        <is>
          <t>42552394TERMINAL 1 CARDS SETTL. 31/10/25</t>
        </is>
      </c>
      <c r="C173" t="inlineStr">
        <is>
          <t>000000000000000</t>
        </is>
      </c>
      <c r="D173" t="inlineStr">
        <is>
          <t>31/10/25</t>
        </is>
      </c>
      <c r="F173" t="n">
        <v>8133.02</v>
      </c>
      <c r="G173" t="n">
        <v>217385.01</v>
      </c>
    </row>
    <row r="174"/>
    <row r="175"/>
    <row r="176"/>
    <row r="177"/>
    <row r="178"/>
  </sheetData>
  <autoFilter ref="A10:G173">
    <filterColumn colId="1" hiddenButton="0" showButton="1">
      <filters>
        <filter val="NEFT CR-CITI0000002-ETERNAL LIMITED-ROCKTAIL HOSPITALITY SERVICES-CITIN52025100134584901"/>
        <filter val="NEFT CR-CITI0000002-ETERNAL LIMITED-ROCKTAIL HOSPITALITY SERVICES-CITIN52025100636240957"/>
        <filter val="NEFT CR-CITI0000002-ETERNAL LIMITED-ROCKTAIL HOSPITALITY SERVICES-CITIN52025100837147976"/>
        <filter val="NEFT CR-CITI0000002-ETERNAL LIMITED-ROCKTAIL HOSPITALITY SERVICES-CITIN52025101338860064"/>
        <filter val="NEFT CR-CITI0000002-ETERNAL LIMITED-ROCKTAIL HOSPITALITY SERVICES-CITIN52025101539958263"/>
        <filter val="NEFT CR-CITI0000002-ETERNAL LIMITED-ROCKTAIL HOSPITALITY SERVICES-CITIN52025102041871588"/>
        <filter val="NEFT CR-CITI0000002-ETERNAL LIMITED-ROCKTAIL HOSPITALITY SERVICES-CITIN52025102242479154"/>
        <filter val="NEFT CR-CITI0000002-ETERNAL LIMITED-ROCKTAIL HOSPITALITY SERVICES-CITIN52025102744279131"/>
        <filter val="NEFT CR-CITI0000002-ETERNAL LIMITED-ROCKTAIL HOSPITALITY SERVICES-CITIN52025102945837468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01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58501</v>
      </c>
      <c r="P2" t="n">
        <v>686</v>
      </c>
      <c r="Q2" t="n">
        <v>0</v>
      </c>
      <c r="R2" t="n">
        <v>12382.50000000002</v>
      </c>
      <c r="S2" t="n">
        <v>0</v>
      </c>
      <c r="T2" t="n">
        <v>0</v>
      </c>
      <c r="U2" t="n">
        <v>0</v>
      </c>
      <c r="V2" t="n">
        <v>2340.580000000004</v>
      </c>
      <c r="W2" t="n">
        <v>49145.07999999999</v>
      </c>
      <c r="X2" t="n">
        <v>46804.50000000009</v>
      </c>
      <c r="Y2" t="n">
        <v>3724</v>
      </c>
      <c r="Z2" t="n">
        <v>8892.810000000005</v>
      </c>
      <c r="AA2" t="n">
        <v>903.8599999999984</v>
      </c>
      <c r="AB2" t="n">
        <v>9796.670000000004</v>
      </c>
      <c r="AC2" t="n">
        <v>1763.390000000003</v>
      </c>
      <c r="AD2" t="n">
        <v>0</v>
      </c>
      <c r="AE2" t="n">
        <v>46804.50000000009</v>
      </c>
      <c r="AF2" t="n">
        <v>0</v>
      </c>
      <c r="AG2" t="n">
        <v>0</v>
      </c>
      <c r="AH2" t="n">
        <v>46.58999999999985</v>
      </c>
      <c r="AI2" t="n">
        <v>2341.829999999999</v>
      </c>
      <c r="AJ2" t="n">
        <v>-1.250000000000001</v>
      </c>
      <c r="AK2" t="n">
        <v>4151.810000000013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13948.47999999998</v>
      </c>
      <c r="AV2" t="n">
        <v>0</v>
      </c>
      <c r="AW2" t="n">
        <v>35196.60000000003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69031.17999999999</v>
      </c>
      <c r="P3" t="n">
        <v>809.4799999999999</v>
      </c>
      <c r="Q3" t="n">
        <v>0</v>
      </c>
      <c r="R3" t="n">
        <v>14611.35000000003</v>
      </c>
      <c r="S3" t="n">
        <v>0</v>
      </c>
      <c r="T3" t="n">
        <v>0</v>
      </c>
      <c r="U3" t="n">
        <v>0</v>
      </c>
      <c r="V3" t="n">
        <v>2761.884400000004</v>
      </c>
      <c r="W3" t="n">
        <v>57991.19439999998</v>
      </c>
      <c r="X3" t="n">
        <v>55229.31000000011</v>
      </c>
      <c r="Y3" t="n">
        <v>4394.32</v>
      </c>
      <c r="Z3" t="n">
        <v>10493.5158</v>
      </c>
      <c r="AA3" t="n">
        <v>1066.554799999998</v>
      </c>
      <c r="AB3" t="n">
        <v>11560.0706</v>
      </c>
      <c r="AC3" t="n">
        <v>2080.800200000003</v>
      </c>
      <c r="AD3" t="n">
        <v>0</v>
      </c>
      <c r="AE3" t="n">
        <v>55229.31000000011</v>
      </c>
      <c r="AF3" t="n">
        <v>0</v>
      </c>
      <c r="AG3" t="n">
        <v>0</v>
      </c>
      <c r="AH3" t="n">
        <v>54.97619999999981</v>
      </c>
      <c r="AI3" t="n">
        <v>2763.359399999999</v>
      </c>
      <c r="AJ3" t="n">
        <v>-1.475000000000001</v>
      </c>
      <c r="AK3" t="n">
        <v>4899.135800000015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16459.20639999998</v>
      </c>
      <c r="AV3" t="n">
        <v>0</v>
      </c>
      <c r="AW3" t="n">
        <v>41531.98800000003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58501</v>
      </c>
      <c r="P4" t="n">
        <v>686</v>
      </c>
      <c r="Q4" t="n">
        <v>0</v>
      </c>
      <c r="R4" t="n">
        <v>12382.50000000002</v>
      </c>
      <c r="S4" t="n">
        <v>0</v>
      </c>
      <c r="T4" t="n">
        <v>0</v>
      </c>
      <c r="U4" t="n">
        <v>0</v>
      </c>
      <c r="V4" t="n">
        <v>2340.580000000004</v>
      </c>
      <c r="W4" t="n">
        <v>49145.07999999999</v>
      </c>
      <c r="X4" t="n">
        <v>46804.50000000009</v>
      </c>
      <c r="Y4" t="n">
        <v>3724</v>
      </c>
      <c r="Z4" t="n">
        <v>8892.810000000005</v>
      </c>
      <c r="AA4" t="n">
        <v>903.8599999999984</v>
      </c>
      <c r="AB4" t="n">
        <v>9796.670000000004</v>
      </c>
      <c r="AC4" t="n">
        <v>1763.390000000003</v>
      </c>
      <c r="AD4" t="n">
        <v>0</v>
      </c>
      <c r="AE4" t="n">
        <v>46804.50000000009</v>
      </c>
      <c r="AF4" t="n">
        <v>0</v>
      </c>
      <c r="AG4" t="n">
        <v>0</v>
      </c>
      <c r="AH4" t="n">
        <v>46.58999999999985</v>
      </c>
      <c r="AI4" t="n">
        <v>2341.829999999999</v>
      </c>
      <c r="AJ4" t="n">
        <v>-1.250000000000001</v>
      </c>
      <c r="AK4" t="n">
        <v>4151.810000000013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13948.47999999998</v>
      </c>
      <c r="AV4" t="n">
        <v>0</v>
      </c>
      <c r="AW4" t="n">
        <v>35196.60000000003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116</t>
        </is>
      </c>
      <c r="B6" t="inlineStr">
        <is>
          <t>7636581212</t>
        </is>
      </c>
      <c r="C6" t="inlineStr">
        <is>
          <t>2026-01-01 00:13:33</t>
        </is>
      </c>
      <c r="D6" t="inlineStr">
        <is>
          <t>1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438</v>
      </c>
      <c r="P6" t="n">
        <v>3.5</v>
      </c>
      <c r="Q6" t="n">
        <v>0</v>
      </c>
      <c r="R6" t="n">
        <v>75</v>
      </c>
      <c r="S6" t="n">
        <v>0</v>
      </c>
      <c r="T6" t="n">
        <v>0</v>
      </c>
      <c r="U6" t="n">
        <v>0</v>
      </c>
      <c r="V6" t="n">
        <v>18.33</v>
      </c>
      <c r="W6" t="n">
        <v>384.83</v>
      </c>
      <c r="X6" t="n">
        <v>366.5</v>
      </c>
      <c r="Y6" t="n">
        <v>19</v>
      </c>
      <c r="Z6" t="n">
        <v>69.64</v>
      </c>
      <c r="AA6" t="n">
        <v>7.08</v>
      </c>
      <c r="AB6" t="n">
        <v>76.72</v>
      </c>
      <c r="AC6" t="n">
        <v>13.81</v>
      </c>
      <c r="AD6" t="n">
        <v>0</v>
      </c>
      <c r="AE6" t="n">
        <v>366.5</v>
      </c>
      <c r="AF6" t="n">
        <v>0</v>
      </c>
      <c r="AG6" t="n">
        <v>0</v>
      </c>
      <c r="AH6" t="n">
        <v>0.37</v>
      </c>
      <c r="AI6" t="n">
        <v>18.33</v>
      </c>
      <c r="AJ6" t="n">
        <v>0</v>
      </c>
      <c r="AK6" t="n">
        <v>32.51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109.23</v>
      </c>
      <c r="AV6" t="n">
        <v>0</v>
      </c>
      <c r="AW6" t="n">
        <v>275.6</v>
      </c>
      <c r="AX6" t="inlineStr">
        <is>
          <t>settled</t>
        </is>
      </c>
      <c r="AY6" t="inlineStr">
        <is>
          <t>2026-01-07 05:30:00</t>
        </is>
      </c>
      <c r="AZ6" t="inlineStr">
        <is>
          <t>CITIN26602720826</t>
        </is>
      </c>
      <c r="BA6" t="n">
        <v>0</v>
      </c>
      <c r="BB6" t="inlineStr">
        <is>
          <t>28b3b09010f4a8f77527842f05ce8bd0f08a2773bedf9f6e521ea848662b8191</t>
        </is>
      </c>
    </row>
    <row r="7">
      <c r="A7" t="inlineStr">
        <is>
          <t>117</t>
        </is>
      </c>
      <c r="B7" t="inlineStr">
        <is>
          <t>7636469807</t>
        </is>
      </c>
      <c r="C7" t="inlineStr">
        <is>
          <t>2026-01-01 00:22:53</t>
        </is>
      </c>
      <c r="D7" t="inlineStr">
        <is>
          <t>1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30% off upto ₹75 (2025-06-25 - 2031-01-01)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1095</v>
      </c>
      <c r="P7" t="n">
        <v>3.5</v>
      </c>
      <c r="Q7" t="n">
        <v>0</v>
      </c>
      <c r="R7" t="n">
        <v>75</v>
      </c>
      <c r="S7" t="n">
        <v>0</v>
      </c>
      <c r="T7" t="n">
        <v>0</v>
      </c>
      <c r="U7" t="n">
        <v>0</v>
      </c>
      <c r="V7" t="n">
        <v>51.18</v>
      </c>
      <c r="W7" t="n">
        <v>1074.68</v>
      </c>
      <c r="X7" t="n">
        <v>1023.5</v>
      </c>
      <c r="Y7" t="n">
        <v>19</v>
      </c>
      <c r="Z7" t="n">
        <v>194.46</v>
      </c>
      <c r="AA7" t="n">
        <v>19.77</v>
      </c>
      <c r="AB7" t="n">
        <v>214.23</v>
      </c>
      <c r="AC7" t="n">
        <v>38.56</v>
      </c>
      <c r="AD7" t="n">
        <v>0</v>
      </c>
      <c r="AE7" t="n">
        <v>1023.5</v>
      </c>
      <c r="AF7" t="n">
        <v>0</v>
      </c>
      <c r="AG7" t="n">
        <v>0</v>
      </c>
      <c r="AH7" t="n">
        <v>1.02</v>
      </c>
      <c r="AI7" t="n">
        <v>51.18</v>
      </c>
      <c r="AJ7" t="n">
        <v>0</v>
      </c>
      <c r="AK7" t="n">
        <v>90.76000000000001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304.99</v>
      </c>
      <c r="AV7" t="n">
        <v>0</v>
      </c>
      <c r="AW7" t="n">
        <v>769.6900000000001</v>
      </c>
      <c r="AX7" t="inlineStr">
        <is>
          <t>settled</t>
        </is>
      </c>
      <c r="AY7" t="inlineStr">
        <is>
          <t>2026-01-07 05:30:00</t>
        </is>
      </c>
      <c r="AZ7" t="inlineStr">
        <is>
          <t>CITIN26602720826</t>
        </is>
      </c>
      <c r="BA7" t="n">
        <v>0</v>
      </c>
      <c r="BB7" t="inlineStr">
        <is>
          <t>98b20de171436a8ef0dc0b7acb5f8633e0d254f6f7bcaa79955455a59f36f367</t>
        </is>
      </c>
    </row>
    <row r="8">
      <c r="A8" t="inlineStr">
        <is>
          <t>118</t>
        </is>
      </c>
      <c r="B8" t="inlineStr">
        <is>
          <t>7642503764</t>
        </is>
      </c>
      <c r="C8" t="inlineStr">
        <is>
          <t>2026-01-01 00:23:35</t>
        </is>
      </c>
      <c r="D8" t="inlineStr">
        <is>
          <t>1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30% off upto ₹75 (2025-06-25 - 2031-01-01)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229</v>
      </c>
      <c r="P8" t="n">
        <v>3.5</v>
      </c>
      <c r="Q8" t="n">
        <v>0</v>
      </c>
      <c r="R8" t="n">
        <v>68.7</v>
      </c>
      <c r="S8" t="n">
        <v>0</v>
      </c>
      <c r="T8" t="n">
        <v>0</v>
      </c>
      <c r="U8" t="n">
        <v>0</v>
      </c>
      <c r="V8" t="n">
        <v>8.19</v>
      </c>
      <c r="W8" t="n">
        <v>171.99</v>
      </c>
      <c r="X8" t="n">
        <v>163.8</v>
      </c>
      <c r="Y8" t="n">
        <v>19</v>
      </c>
      <c r="Z8" t="n">
        <v>31.12</v>
      </c>
      <c r="AA8" t="n">
        <v>3.16</v>
      </c>
      <c r="AB8" t="n">
        <v>34.28</v>
      </c>
      <c r="AC8" t="n">
        <v>6.17</v>
      </c>
      <c r="AD8" t="n">
        <v>0</v>
      </c>
      <c r="AE8" t="n">
        <v>163.8</v>
      </c>
      <c r="AF8" t="n">
        <v>0</v>
      </c>
      <c r="AG8" t="n">
        <v>0</v>
      </c>
      <c r="AH8" t="n">
        <v>0.16</v>
      </c>
      <c r="AI8" t="n">
        <v>8.199999999999999</v>
      </c>
      <c r="AJ8" t="n">
        <v>-0.01</v>
      </c>
      <c r="AK8" t="n">
        <v>14.53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48.81</v>
      </c>
      <c r="AV8" t="n">
        <v>0</v>
      </c>
      <c r="AW8" t="n">
        <v>123.18</v>
      </c>
      <c r="AX8" t="inlineStr">
        <is>
          <t>settled</t>
        </is>
      </c>
      <c r="AY8" t="inlineStr">
        <is>
          <t>2026-01-07 05:30:00</t>
        </is>
      </c>
      <c r="AZ8" t="inlineStr">
        <is>
          <t>CITIN26602720826</t>
        </is>
      </c>
      <c r="BA8" t="n">
        <v>0</v>
      </c>
      <c r="BB8" t="inlineStr">
        <is>
          <t>f965c705b5c4cac429aaa12fa644d2d6b611f69f55ef841ad3fea42d208be5e0</t>
        </is>
      </c>
    </row>
    <row r="9">
      <c r="A9" t="inlineStr">
        <is>
          <t>119</t>
        </is>
      </c>
      <c r="B9" t="inlineStr">
        <is>
          <t>7643675925</t>
        </is>
      </c>
      <c r="C9" t="inlineStr">
        <is>
          <t>2026-01-01 00:24:39</t>
        </is>
      </c>
      <c r="D9" t="inlineStr">
        <is>
          <t>1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229</v>
      </c>
      <c r="P9" t="n">
        <v>3.5</v>
      </c>
      <c r="Q9" t="n">
        <v>0</v>
      </c>
      <c r="R9" t="n">
        <v>68.7</v>
      </c>
      <c r="S9" t="n">
        <v>0</v>
      </c>
      <c r="T9" t="n">
        <v>0</v>
      </c>
      <c r="U9" t="n">
        <v>0</v>
      </c>
      <c r="V9" t="n">
        <v>8.19</v>
      </c>
      <c r="W9" t="n">
        <v>171.99</v>
      </c>
      <c r="X9" t="n">
        <v>163.8</v>
      </c>
      <c r="Y9" t="n">
        <v>19</v>
      </c>
      <c r="Z9" t="n">
        <v>31.12</v>
      </c>
      <c r="AA9" t="n">
        <v>3.16</v>
      </c>
      <c r="AB9" t="n">
        <v>34.28</v>
      </c>
      <c r="AC9" t="n">
        <v>6.17</v>
      </c>
      <c r="AD9" t="n">
        <v>0</v>
      </c>
      <c r="AE9" t="n">
        <v>163.8</v>
      </c>
      <c r="AF9" t="n">
        <v>0</v>
      </c>
      <c r="AG9" t="n">
        <v>0</v>
      </c>
      <c r="AH9" t="n">
        <v>0.16</v>
      </c>
      <c r="AI9" t="n">
        <v>8.199999999999999</v>
      </c>
      <c r="AJ9" t="n">
        <v>-0.01</v>
      </c>
      <c r="AK9" t="n">
        <v>14.53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48.81</v>
      </c>
      <c r="AV9" t="n">
        <v>0</v>
      </c>
      <c r="AW9" t="n">
        <v>123.18</v>
      </c>
      <c r="AX9" t="inlineStr">
        <is>
          <t>settled</t>
        </is>
      </c>
      <c r="AY9" t="inlineStr">
        <is>
          <t>2026-01-07 05:30:00</t>
        </is>
      </c>
      <c r="AZ9" t="inlineStr">
        <is>
          <t>CITIN26602720826</t>
        </is>
      </c>
      <c r="BA9" t="n">
        <v>0</v>
      </c>
      <c r="BB9" t="inlineStr">
        <is>
          <t>698ff2c4622ac1d05c0f630119941426046847ccc4a3c36bb5411a963a35b80c</t>
        </is>
      </c>
    </row>
    <row r="10">
      <c r="A10" t="inlineStr">
        <is>
          <t>120</t>
        </is>
      </c>
      <c r="B10" t="inlineStr">
        <is>
          <t>7636876354</t>
        </is>
      </c>
      <c r="C10" t="inlineStr">
        <is>
          <t>2026-01-01 01:10:10</t>
        </is>
      </c>
      <c r="D10" t="inlineStr">
        <is>
          <t>1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229</v>
      </c>
      <c r="P10" t="n">
        <v>3.5</v>
      </c>
      <c r="Q10" t="n">
        <v>0</v>
      </c>
      <c r="R10" t="n">
        <v>68.7</v>
      </c>
      <c r="S10" t="n">
        <v>0</v>
      </c>
      <c r="T10" t="n">
        <v>0</v>
      </c>
      <c r="U10" t="n">
        <v>0</v>
      </c>
      <c r="V10" t="n">
        <v>8.19</v>
      </c>
      <c r="W10" t="n">
        <v>171.99</v>
      </c>
      <c r="X10" t="n">
        <v>163.8</v>
      </c>
      <c r="Y10" t="n">
        <v>19</v>
      </c>
      <c r="Z10" t="n">
        <v>31.12</v>
      </c>
      <c r="AA10" t="n">
        <v>3.16</v>
      </c>
      <c r="AB10" t="n">
        <v>34.28</v>
      </c>
      <c r="AC10" t="n">
        <v>6.17</v>
      </c>
      <c r="AD10" t="n">
        <v>0</v>
      </c>
      <c r="AE10" t="n">
        <v>163.8</v>
      </c>
      <c r="AF10" t="n">
        <v>0</v>
      </c>
      <c r="AG10" t="n">
        <v>0</v>
      </c>
      <c r="AH10" t="n">
        <v>0.16</v>
      </c>
      <c r="AI10" t="n">
        <v>8.199999999999999</v>
      </c>
      <c r="AJ10" t="n">
        <v>-0.01</v>
      </c>
      <c r="AK10" t="n">
        <v>14.53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48.81</v>
      </c>
      <c r="AV10" t="n">
        <v>0</v>
      </c>
      <c r="AW10" t="n">
        <v>123.18</v>
      </c>
      <c r="AX10" t="inlineStr">
        <is>
          <t>settled</t>
        </is>
      </c>
      <c r="AY10" t="inlineStr">
        <is>
          <t>2026-01-07 05:30:00</t>
        </is>
      </c>
      <c r="AZ10" t="inlineStr">
        <is>
          <t>CITIN26602720826</t>
        </is>
      </c>
      <c r="BA10" t="n">
        <v>0</v>
      </c>
      <c r="BB10" t="inlineStr">
        <is>
          <t>2bbc31bbec3c0a4ea4e924d4aa7ad19ddbf6c65db21b0eb4fe8b54287e1a55ad</t>
        </is>
      </c>
    </row>
    <row r="11">
      <c r="A11" t="inlineStr">
        <is>
          <t>121</t>
        </is>
      </c>
      <c r="B11" t="inlineStr">
        <is>
          <t>7634837780</t>
        </is>
      </c>
      <c r="C11" t="inlineStr">
        <is>
          <t>2026-01-01 01:20:52</t>
        </is>
      </c>
      <c r="D11" t="inlineStr">
        <is>
          <t>1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NA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229</v>
      </c>
      <c r="P11" t="n">
        <v>3.5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11.63</v>
      </c>
      <c r="W11" t="n">
        <v>244.13</v>
      </c>
      <c r="X11" t="n">
        <v>232.5</v>
      </c>
      <c r="Y11" t="n">
        <v>19</v>
      </c>
      <c r="Z11" t="n">
        <v>44.18</v>
      </c>
      <c r="AA11" t="n">
        <v>4.49</v>
      </c>
      <c r="AB11" t="n">
        <v>48.67</v>
      </c>
      <c r="AC11" t="n">
        <v>8.76</v>
      </c>
      <c r="AD11" t="n">
        <v>0</v>
      </c>
      <c r="AE11" t="n">
        <v>232.5</v>
      </c>
      <c r="AF11" t="n">
        <v>0</v>
      </c>
      <c r="AG11" t="n">
        <v>0</v>
      </c>
      <c r="AH11" t="n">
        <v>0.23</v>
      </c>
      <c r="AI11" t="n">
        <v>11.63</v>
      </c>
      <c r="AJ11" t="n">
        <v>0</v>
      </c>
      <c r="AK11" t="n">
        <v>20.62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69.29000000000001</v>
      </c>
      <c r="AV11" t="n">
        <v>0</v>
      </c>
      <c r="AW11" t="n">
        <v>174.84</v>
      </c>
      <c r="AX11" t="inlineStr">
        <is>
          <t>settled</t>
        </is>
      </c>
      <c r="AY11" t="inlineStr">
        <is>
          <t>2026-01-07 05:30:00</t>
        </is>
      </c>
      <c r="AZ11" t="inlineStr">
        <is>
          <t>CITIN26602720826</t>
        </is>
      </c>
      <c r="BA11" t="n">
        <v>0</v>
      </c>
      <c r="BB11" t="inlineStr">
        <is>
          <t>aca3ea8829f35f32eeb9c617b1f572fd528973fe5d98cd8653b3eae979a66190</t>
        </is>
      </c>
    </row>
    <row r="12">
      <c r="A12" t="inlineStr">
        <is>
          <t>122</t>
        </is>
      </c>
      <c r="B12" t="inlineStr">
        <is>
          <t>7643032364</t>
        </is>
      </c>
      <c r="C12" t="inlineStr">
        <is>
          <t>2026-01-01 01:31:38</t>
        </is>
      </c>
      <c r="D12" t="inlineStr">
        <is>
          <t>1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30% off upto ₹75 (2025-06-25 - 2031-01-01)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229</v>
      </c>
      <c r="P12" t="n">
        <v>3.5</v>
      </c>
      <c r="Q12" t="n">
        <v>0</v>
      </c>
      <c r="R12" t="n">
        <v>68.7</v>
      </c>
      <c r="S12" t="n">
        <v>0</v>
      </c>
      <c r="T12" t="n">
        <v>0</v>
      </c>
      <c r="U12" t="n">
        <v>0</v>
      </c>
      <c r="V12" t="n">
        <v>8.19</v>
      </c>
      <c r="W12" t="n">
        <v>171.99</v>
      </c>
      <c r="X12" t="n">
        <v>163.8</v>
      </c>
      <c r="Y12" t="n">
        <v>19</v>
      </c>
      <c r="Z12" t="n">
        <v>31.12</v>
      </c>
      <c r="AA12" t="n">
        <v>3.16</v>
      </c>
      <c r="AB12" t="n">
        <v>34.28</v>
      </c>
      <c r="AC12" t="n">
        <v>6.17</v>
      </c>
      <c r="AD12" t="n">
        <v>0</v>
      </c>
      <c r="AE12" t="n">
        <v>163.8</v>
      </c>
      <c r="AF12" t="n">
        <v>0</v>
      </c>
      <c r="AG12" t="n">
        <v>0</v>
      </c>
      <c r="AH12" t="n">
        <v>0.16</v>
      </c>
      <c r="AI12" t="n">
        <v>8.199999999999999</v>
      </c>
      <c r="AJ12" t="n">
        <v>-0.01</v>
      </c>
      <c r="AK12" t="n">
        <v>14.53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48.81</v>
      </c>
      <c r="AV12" t="n">
        <v>0</v>
      </c>
      <c r="AW12" t="n">
        <v>123.18</v>
      </c>
      <c r="AX12" t="inlineStr">
        <is>
          <t>settled</t>
        </is>
      </c>
      <c r="AY12" t="inlineStr">
        <is>
          <t>2026-01-07 05:30:00</t>
        </is>
      </c>
      <c r="AZ12" t="inlineStr">
        <is>
          <t>CITIN26602720826</t>
        </is>
      </c>
      <c r="BA12" t="n">
        <v>0</v>
      </c>
      <c r="BB12" t="inlineStr">
        <is>
          <t>4a90e5febf5308624328dc5953e96680f5d19bd804096e4db488689d65222ea4</t>
        </is>
      </c>
    </row>
    <row r="13">
      <c r="A13" t="inlineStr">
        <is>
          <t>123</t>
        </is>
      </c>
      <c r="B13" t="inlineStr">
        <is>
          <t>7642127182</t>
        </is>
      </c>
      <c r="C13" t="inlineStr">
        <is>
          <t>2026-01-01 02:18:03</t>
        </is>
      </c>
      <c r="D13" t="inlineStr">
        <is>
          <t>1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229</v>
      </c>
      <c r="P13" t="n">
        <v>3.5</v>
      </c>
      <c r="Q13" t="n">
        <v>0</v>
      </c>
      <c r="R13" t="n">
        <v>68.7</v>
      </c>
      <c r="S13" t="n">
        <v>0</v>
      </c>
      <c r="T13" t="n">
        <v>0</v>
      </c>
      <c r="U13" t="n">
        <v>0</v>
      </c>
      <c r="V13" t="n">
        <v>8.19</v>
      </c>
      <c r="W13" t="n">
        <v>171.99</v>
      </c>
      <c r="X13" t="n">
        <v>163.8</v>
      </c>
      <c r="Y13" t="n">
        <v>19</v>
      </c>
      <c r="Z13" t="n">
        <v>31.12</v>
      </c>
      <c r="AA13" t="n">
        <v>3.16</v>
      </c>
      <c r="AB13" t="n">
        <v>34.28</v>
      </c>
      <c r="AC13" t="n">
        <v>6.17</v>
      </c>
      <c r="AD13" t="n">
        <v>0</v>
      </c>
      <c r="AE13" t="n">
        <v>163.8</v>
      </c>
      <c r="AF13" t="n">
        <v>0</v>
      </c>
      <c r="AG13" t="n">
        <v>0</v>
      </c>
      <c r="AH13" t="n">
        <v>0.16</v>
      </c>
      <c r="AI13" t="n">
        <v>8.199999999999999</v>
      </c>
      <c r="AJ13" t="n">
        <v>-0.01</v>
      </c>
      <c r="AK13" t="n">
        <v>14.53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48.81</v>
      </c>
      <c r="AV13" t="n">
        <v>0</v>
      </c>
      <c r="AW13" t="n">
        <v>123.18</v>
      </c>
      <c r="AX13" t="inlineStr">
        <is>
          <t>settled</t>
        </is>
      </c>
      <c r="AY13" t="inlineStr">
        <is>
          <t>2026-01-07 05:30:00</t>
        </is>
      </c>
      <c r="AZ13" t="inlineStr">
        <is>
          <t>CITIN26602720826</t>
        </is>
      </c>
      <c r="BA13" t="n">
        <v>0</v>
      </c>
      <c r="BB13" t="inlineStr">
        <is>
          <t>f59205a6412cd5d8fe633658ae0da95767dd06ef0e84e3115f815110c4b1996e</t>
        </is>
      </c>
    </row>
    <row r="14">
      <c r="A14" t="inlineStr">
        <is>
          <t>124</t>
        </is>
      </c>
      <c r="B14" t="inlineStr">
        <is>
          <t>7642671036</t>
        </is>
      </c>
      <c r="C14" t="inlineStr">
        <is>
          <t>2026-01-01 02:26:35</t>
        </is>
      </c>
      <c r="D14" t="inlineStr">
        <is>
          <t>1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2026-01-07 05:30:00</t>
        </is>
      </c>
      <c r="AZ14" t="inlineStr">
        <is>
          <t>CITIN26602720826</t>
        </is>
      </c>
      <c r="BA14" t="n">
        <v>0</v>
      </c>
      <c r="BB14" t="inlineStr">
        <is>
          <t>be5d8cc3809e3a403f69fb51edd5960c0ebef3179b956e6e42dc1e48f6364453</t>
        </is>
      </c>
    </row>
    <row r="15">
      <c r="A15" t="inlineStr">
        <is>
          <t>125</t>
        </is>
      </c>
      <c r="B15" t="inlineStr">
        <is>
          <t>7637410325</t>
        </is>
      </c>
      <c r="C15" t="inlineStr">
        <is>
          <t>2026-01-01 02:35:33</t>
        </is>
      </c>
      <c r="D15" t="inlineStr">
        <is>
          <t>1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30% off upto ₹75 (2025-06-25 - 2031-01-01)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458</v>
      </c>
      <c r="P15" t="n">
        <v>3.5</v>
      </c>
      <c r="Q15" t="n">
        <v>0</v>
      </c>
      <c r="R15" t="n">
        <v>75</v>
      </c>
      <c r="S15" t="n">
        <v>0</v>
      </c>
      <c r="T15" t="n">
        <v>0</v>
      </c>
      <c r="U15" t="n">
        <v>0</v>
      </c>
      <c r="V15" t="n">
        <v>19.33</v>
      </c>
      <c r="W15" t="n">
        <v>405.83</v>
      </c>
      <c r="X15" t="n">
        <v>386.5</v>
      </c>
      <c r="Y15" t="n">
        <v>19</v>
      </c>
      <c r="Z15" t="n">
        <v>73.44</v>
      </c>
      <c r="AA15" t="n">
        <v>7.47</v>
      </c>
      <c r="AB15" t="n">
        <v>80.91</v>
      </c>
      <c r="AC15" t="n">
        <v>14.56</v>
      </c>
      <c r="AD15" t="n">
        <v>0</v>
      </c>
      <c r="AE15" t="n">
        <v>386.5</v>
      </c>
      <c r="AF15" t="n">
        <v>0</v>
      </c>
      <c r="AG15" t="n">
        <v>0</v>
      </c>
      <c r="AH15" t="n">
        <v>0.39</v>
      </c>
      <c r="AI15" t="n">
        <v>19.33</v>
      </c>
      <c r="AJ15" t="n">
        <v>0</v>
      </c>
      <c r="AK15" t="n">
        <v>34.28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115.19</v>
      </c>
      <c r="AV15" t="n">
        <v>0</v>
      </c>
      <c r="AW15" t="n">
        <v>290.64</v>
      </c>
      <c r="AX15" t="inlineStr">
        <is>
          <t>settled</t>
        </is>
      </c>
      <c r="AY15" t="inlineStr">
        <is>
          <t>2026-01-07 05:30:00</t>
        </is>
      </c>
      <c r="AZ15" t="inlineStr">
        <is>
          <t>CITIN26602720826</t>
        </is>
      </c>
      <c r="BA15" t="n">
        <v>0</v>
      </c>
      <c r="BB15" t="inlineStr">
        <is>
          <t>cff90805a595d623387bdcd500670cf0610c8c1bd791104906f3ed2c1be1ac15</t>
        </is>
      </c>
    </row>
    <row r="16">
      <c r="A16" t="inlineStr">
        <is>
          <t>126</t>
        </is>
      </c>
      <c r="B16" t="inlineStr">
        <is>
          <t>7641307016</t>
        </is>
      </c>
      <c r="C16" t="inlineStr">
        <is>
          <t>2026-01-01 02:42:19</t>
        </is>
      </c>
      <c r="D16" t="inlineStr">
        <is>
          <t>1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229</v>
      </c>
      <c r="P16" t="n">
        <v>3.5</v>
      </c>
      <c r="Q16" t="n">
        <v>0</v>
      </c>
      <c r="R16" t="n">
        <v>68.7</v>
      </c>
      <c r="S16" t="n">
        <v>0</v>
      </c>
      <c r="T16" t="n">
        <v>0</v>
      </c>
      <c r="U16" t="n">
        <v>0</v>
      </c>
      <c r="V16" t="n">
        <v>8.19</v>
      </c>
      <c r="W16" t="n">
        <v>171.99</v>
      </c>
      <c r="X16" t="n">
        <v>163.8</v>
      </c>
      <c r="Y16" t="n">
        <v>19</v>
      </c>
      <c r="Z16" t="n">
        <v>31.12</v>
      </c>
      <c r="AA16" t="n">
        <v>3.16</v>
      </c>
      <c r="AB16" t="n">
        <v>34.28</v>
      </c>
      <c r="AC16" t="n">
        <v>6.17</v>
      </c>
      <c r="AD16" t="n">
        <v>0</v>
      </c>
      <c r="AE16" t="n">
        <v>163.8</v>
      </c>
      <c r="AF16" t="n">
        <v>0</v>
      </c>
      <c r="AG16" t="n">
        <v>0</v>
      </c>
      <c r="AH16" t="n">
        <v>0.16</v>
      </c>
      <c r="AI16" t="n">
        <v>8.199999999999999</v>
      </c>
      <c r="AJ16" t="n">
        <v>-0.01</v>
      </c>
      <c r="AK16" t="n">
        <v>14.53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48.81</v>
      </c>
      <c r="AV16" t="n">
        <v>0</v>
      </c>
      <c r="AW16" t="n">
        <v>123.18</v>
      </c>
      <c r="AX16" t="inlineStr">
        <is>
          <t>settled</t>
        </is>
      </c>
      <c r="AY16" t="inlineStr">
        <is>
          <t>2026-01-07 05:30:00</t>
        </is>
      </c>
      <c r="AZ16" t="inlineStr">
        <is>
          <t>CITIN26602720826</t>
        </is>
      </c>
      <c r="BA16" t="n">
        <v>0</v>
      </c>
      <c r="BB16" t="inlineStr">
        <is>
          <t>00b3c8429cb17175c902e66ea0782526c8a257bc581dc08b3ff67067e0f8a377</t>
        </is>
      </c>
    </row>
    <row r="17">
      <c r="A17" t="inlineStr">
        <is>
          <t>127</t>
        </is>
      </c>
      <c r="B17" t="inlineStr">
        <is>
          <t>7638216436</t>
        </is>
      </c>
      <c r="C17" t="inlineStr">
        <is>
          <t>2026-01-01 03:02:18</t>
        </is>
      </c>
      <c r="D17" t="inlineStr">
        <is>
          <t>1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219</v>
      </c>
      <c r="P17" t="n">
        <v>3.5</v>
      </c>
      <c r="Q17" t="n">
        <v>0</v>
      </c>
      <c r="R17" t="n">
        <v>65.7</v>
      </c>
      <c r="S17" t="n">
        <v>0</v>
      </c>
      <c r="T17" t="n">
        <v>0</v>
      </c>
      <c r="U17" t="n">
        <v>0</v>
      </c>
      <c r="V17" t="n">
        <v>7.84</v>
      </c>
      <c r="W17" t="n">
        <v>164.64</v>
      </c>
      <c r="X17" t="n">
        <v>156.8</v>
      </c>
      <c r="Y17" t="n">
        <v>19</v>
      </c>
      <c r="Z17" t="n">
        <v>29.79</v>
      </c>
      <c r="AA17" t="n">
        <v>3.03</v>
      </c>
      <c r="AB17" t="n">
        <v>32.82</v>
      </c>
      <c r="AC17" t="n">
        <v>5.91</v>
      </c>
      <c r="AD17" t="n">
        <v>0</v>
      </c>
      <c r="AE17" t="n">
        <v>156.8</v>
      </c>
      <c r="AF17" t="n">
        <v>0</v>
      </c>
      <c r="AG17" t="n">
        <v>0</v>
      </c>
      <c r="AH17" t="n">
        <v>0.16</v>
      </c>
      <c r="AI17" t="n">
        <v>7.85</v>
      </c>
      <c r="AJ17" t="n">
        <v>-0.01</v>
      </c>
      <c r="AK17" t="n">
        <v>13.92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46.74</v>
      </c>
      <c r="AV17" t="n">
        <v>0</v>
      </c>
      <c r="AW17" t="n">
        <v>117.9</v>
      </c>
      <c r="AX17" t="inlineStr">
        <is>
          <t>settled</t>
        </is>
      </c>
      <c r="AY17" t="inlineStr">
        <is>
          <t>2026-01-07 05:30:00</t>
        </is>
      </c>
      <c r="AZ17" t="inlineStr">
        <is>
          <t>CITIN26602720826</t>
        </is>
      </c>
      <c r="BA17" t="n">
        <v>0</v>
      </c>
      <c r="BB17" t="inlineStr">
        <is>
          <t>5579837ef747f9228f83ec97b51876253cf4ce7ab0293c2342f4cf67c01214bc</t>
        </is>
      </c>
    </row>
    <row r="18">
      <c r="A18" t="inlineStr">
        <is>
          <t>128</t>
        </is>
      </c>
      <c r="B18" t="inlineStr">
        <is>
          <t>7641758185</t>
        </is>
      </c>
      <c r="C18" t="inlineStr">
        <is>
          <t>2026-01-01 03:10:07</t>
        </is>
      </c>
      <c r="D18" t="inlineStr">
        <is>
          <t>1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278</v>
      </c>
      <c r="P18" t="n">
        <v>3.5</v>
      </c>
      <c r="Q18" t="n">
        <v>0</v>
      </c>
      <c r="R18" t="n">
        <v>75</v>
      </c>
      <c r="S18" t="n">
        <v>0</v>
      </c>
      <c r="T18" t="n">
        <v>0</v>
      </c>
      <c r="U18" t="n">
        <v>0</v>
      </c>
      <c r="V18" t="n">
        <v>10.33</v>
      </c>
      <c r="W18" t="n">
        <v>216.83</v>
      </c>
      <c r="X18" t="n">
        <v>206.5</v>
      </c>
      <c r="Y18" t="n">
        <v>19</v>
      </c>
      <c r="Z18" t="n">
        <v>39.24</v>
      </c>
      <c r="AA18" t="n">
        <v>3.99</v>
      </c>
      <c r="AB18" t="n">
        <v>43.23</v>
      </c>
      <c r="AC18" t="n">
        <v>7.78</v>
      </c>
      <c r="AD18" t="n">
        <v>0</v>
      </c>
      <c r="AE18" t="n">
        <v>206.5</v>
      </c>
      <c r="AF18" t="n">
        <v>0</v>
      </c>
      <c r="AG18" t="n">
        <v>0</v>
      </c>
      <c r="AH18" t="n">
        <v>0.21</v>
      </c>
      <c r="AI18" t="n">
        <v>10.33</v>
      </c>
      <c r="AJ18" t="n">
        <v>0</v>
      </c>
      <c r="AK18" t="n">
        <v>18.32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61.55</v>
      </c>
      <c r="AV18" t="n">
        <v>0</v>
      </c>
      <c r="AW18" t="n">
        <v>155.28</v>
      </c>
      <c r="AX18" t="inlineStr">
        <is>
          <t>settled</t>
        </is>
      </c>
      <c r="AY18" t="inlineStr">
        <is>
          <t>2026-01-07 05:30:00</t>
        </is>
      </c>
      <c r="AZ18" t="inlineStr">
        <is>
          <t>CITIN26602720826</t>
        </is>
      </c>
      <c r="BA18" t="n">
        <v>0</v>
      </c>
      <c r="BB18" t="inlineStr">
        <is>
          <t>a67f62dc97d9e1fd264e4d74b77214f895b0745f639630859e2fd6e98c5f781b</t>
        </is>
      </c>
    </row>
    <row r="19">
      <c r="A19" t="inlineStr">
        <is>
          <t>129</t>
        </is>
      </c>
      <c r="B19" t="inlineStr">
        <is>
          <t>7634945813</t>
        </is>
      </c>
      <c r="C19" t="inlineStr">
        <is>
          <t>2026-01-01 03:14:22</t>
        </is>
      </c>
      <c r="D19" t="inlineStr">
        <is>
          <t>1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864</v>
      </c>
      <c r="P19" t="n">
        <v>3.5</v>
      </c>
      <c r="Q19" t="n">
        <v>0</v>
      </c>
      <c r="R19" t="n">
        <v>75</v>
      </c>
      <c r="S19" t="n">
        <v>0</v>
      </c>
      <c r="T19" t="n">
        <v>0</v>
      </c>
      <c r="U19" t="n">
        <v>0</v>
      </c>
      <c r="V19" t="n">
        <v>39.63</v>
      </c>
      <c r="W19" t="n">
        <v>832.13</v>
      </c>
      <c r="X19" t="n">
        <v>792.5</v>
      </c>
      <c r="Y19" t="n">
        <v>19</v>
      </c>
      <c r="Z19" t="n">
        <v>150.58</v>
      </c>
      <c r="AA19" t="n">
        <v>15.31</v>
      </c>
      <c r="AB19" t="n">
        <v>165.89</v>
      </c>
      <c r="AC19" t="n">
        <v>29.86</v>
      </c>
      <c r="AD19" t="n">
        <v>0</v>
      </c>
      <c r="AE19" t="n">
        <v>792.5</v>
      </c>
      <c r="AF19" t="n">
        <v>0</v>
      </c>
      <c r="AG19" t="n">
        <v>0</v>
      </c>
      <c r="AH19" t="n">
        <v>0.79</v>
      </c>
      <c r="AI19" t="n">
        <v>39.63</v>
      </c>
      <c r="AJ19" t="n">
        <v>0</v>
      </c>
      <c r="AK19" t="n">
        <v>70.28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236.17</v>
      </c>
      <c r="AV19" t="n">
        <v>0</v>
      </c>
      <c r="AW19" t="n">
        <v>595.96</v>
      </c>
      <c r="AX19" t="inlineStr">
        <is>
          <t>settled</t>
        </is>
      </c>
      <c r="AY19" t="inlineStr">
        <is>
          <t>2026-01-07 05:30:00</t>
        </is>
      </c>
      <c r="AZ19" t="inlineStr">
        <is>
          <t>CITIN26602720826</t>
        </is>
      </c>
      <c r="BA19" t="n">
        <v>0</v>
      </c>
      <c r="BB19" t="inlineStr">
        <is>
          <t>33f22e8d16f5898888e0ea0586952a406db0a4165ee3c72d50c479315a6dc276</t>
        </is>
      </c>
    </row>
    <row r="20">
      <c r="A20" t="inlineStr">
        <is>
          <t>130</t>
        </is>
      </c>
      <c r="B20" t="inlineStr">
        <is>
          <t>7639259357</t>
        </is>
      </c>
      <c r="C20" t="inlineStr">
        <is>
          <t>2026-01-01 03:22:39</t>
        </is>
      </c>
      <c r="D20" t="inlineStr">
        <is>
          <t>1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229</v>
      </c>
      <c r="P20" t="n">
        <v>3.5</v>
      </c>
      <c r="Q20" t="n">
        <v>0</v>
      </c>
      <c r="R20" t="n">
        <v>68.7</v>
      </c>
      <c r="S20" t="n">
        <v>0</v>
      </c>
      <c r="T20" t="n">
        <v>0</v>
      </c>
      <c r="U20" t="n">
        <v>0</v>
      </c>
      <c r="V20" t="n">
        <v>8.19</v>
      </c>
      <c r="W20" t="n">
        <v>171.99</v>
      </c>
      <c r="X20" t="n">
        <v>163.8</v>
      </c>
      <c r="Y20" t="n">
        <v>19</v>
      </c>
      <c r="Z20" t="n">
        <v>31.12</v>
      </c>
      <c r="AA20" t="n">
        <v>3.16</v>
      </c>
      <c r="AB20" t="n">
        <v>34.28</v>
      </c>
      <c r="AC20" t="n">
        <v>6.17</v>
      </c>
      <c r="AD20" t="n">
        <v>0</v>
      </c>
      <c r="AE20" t="n">
        <v>163.8</v>
      </c>
      <c r="AF20" t="n">
        <v>0</v>
      </c>
      <c r="AG20" t="n">
        <v>0</v>
      </c>
      <c r="AH20" t="n">
        <v>0.16</v>
      </c>
      <c r="AI20" t="n">
        <v>8.199999999999999</v>
      </c>
      <c r="AJ20" t="n">
        <v>-0.01</v>
      </c>
      <c r="AK20" t="n">
        <v>14.53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48.81</v>
      </c>
      <c r="AV20" t="n">
        <v>0</v>
      </c>
      <c r="AW20" t="n">
        <v>123.18</v>
      </c>
      <c r="AX20" t="inlineStr">
        <is>
          <t>settled</t>
        </is>
      </c>
      <c r="AY20" t="inlineStr">
        <is>
          <t>2026-01-07 05:30:00</t>
        </is>
      </c>
      <c r="AZ20" t="inlineStr">
        <is>
          <t>CITIN26602720826</t>
        </is>
      </c>
      <c r="BA20" t="n">
        <v>0</v>
      </c>
      <c r="BB20" t="inlineStr">
        <is>
          <t>72f99584ab10c75d275951d73a882c8a7dca4c54096f5425dbc8ff77e98ca6f0</t>
        </is>
      </c>
    </row>
    <row r="21">
      <c r="A21" t="inlineStr">
        <is>
          <t>131</t>
        </is>
      </c>
      <c r="B21" t="inlineStr">
        <is>
          <t>7633734354</t>
        </is>
      </c>
      <c r="C21" t="inlineStr">
        <is>
          <t>2026-01-01 03:27:40</t>
        </is>
      </c>
      <c r="D21" t="inlineStr">
        <is>
          <t>1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NA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358</v>
      </c>
      <c r="P21" t="n">
        <v>3.5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18.08</v>
      </c>
      <c r="W21" t="n">
        <v>379.58</v>
      </c>
      <c r="X21" t="n">
        <v>361.5</v>
      </c>
      <c r="Y21" t="n">
        <v>19</v>
      </c>
      <c r="Z21" t="n">
        <v>68.68000000000001</v>
      </c>
      <c r="AA21" t="n">
        <v>6.98</v>
      </c>
      <c r="AB21" t="n">
        <v>75.66</v>
      </c>
      <c r="AC21" t="n">
        <v>13.62</v>
      </c>
      <c r="AD21" t="n">
        <v>0</v>
      </c>
      <c r="AE21" t="n">
        <v>361.5</v>
      </c>
      <c r="AF21" t="n">
        <v>0</v>
      </c>
      <c r="AG21" t="n">
        <v>0</v>
      </c>
      <c r="AH21" t="n">
        <v>0.36</v>
      </c>
      <c r="AI21" t="n">
        <v>18.08</v>
      </c>
      <c r="AJ21" t="n">
        <v>0</v>
      </c>
      <c r="AK21" t="n">
        <v>32.06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107.72</v>
      </c>
      <c r="AV21" t="n">
        <v>0</v>
      </c>
      <c r="AW21" t="n">
        <v>271.86</v>
      </c>
      <c r="AX21" t="inlineStr">
        <is>
          <t>settled</t>
        </is>
      </c>
      <c r="AY21" t="inlineStr">
        <is>
          <t>2026-01-07 05:30:00</t>
        </is>
      </c>
      <c r="AZ21" t="inlineStr">
        <is>
          <t>CITIN26602720826</t>
        </is>
      </c>
      <c r="BA21" t="n">
        <v>0</v>
      </c>
      <c r="BB21" t="inlineStr">
        <is>
          <t>e2e81542cbc46d377d8c5d8959599d9fab0963e9f8d5d50138873d22117440b8</t>
        </is>
      </c>
    </row>
    <row r="22">
      <c r="A22" t="inlineStr">
        <is>
          <t>132</t>
        </is>
      </c>
      <c r="B22" t="inlineStr">
        <is>
          <t>7642397024</t>
        </is>
      </c>
      <c r="C22" t="inlineStr">
        <is>
          <t>2026-01-01 03:36:25</t>
        </is>
      </c>
      <c r="D22" t="inlineStr">
        <is>
          <t>1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219</v>
      </c>
      <c r="P22" t="n">
        <v>3.5</v>
      </c>
      <c r="Q22" t="n">
        <v>0</v>
      </c>
      <c r="R22" t="n">
        <v>65.7</v>
      </c>
      <c r="S22" t="n">
        <v>0</v>
      </c>
      <c r="T22" t="n">
        <v>0</v>
      </c>
      <c r="U22" t="n">
        <v>0</v>
      </c>
      <c r="V22" t="n">
        <v>7.84</v>
      </c>
      <c r="W22" t="n">
        <v>164.64</v>
      </c>
      <c r="X22" t="n">
        <v>156.8</v>
      </c>
      <c r="Y22" t="n">
        <v>19</v>
      </c>
      <c r="Z22" t="n">
        <v>29.79</v>
      </c>
      <c r="AA22" t="n">
        <v>3.03</v>
      </c>
      <c r="AB22" t="n">
        <v>32.82</v>
      </c>
      <c r="AC22" t="n">
        <v>5.91</v>
      </c>
      <c r="AD22" t="n">
        <v>0</v>
      </c>
      <c r="AE22" t="n">
        <v>156.8</v>
      </c>
      <c r="AF22" t="n">
        <v>0</v>
      </c>
      <c r="AG22" t="n">
        <v>0</v>
      </c>
      <c r="AH22" t="n">
        <v>0.16</v>
      </c>
      <c r="AI22" t="n">
        <v>7.85</v>
      </c>
      <c r="AJ22" t="n">
        <v>-0.01</v>
      </c>
      <c r="AK22" t="n">
        <v>13.92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46.74</v>
      </c>
      <c r="AV22" t="n">
        <v>0</v>
      </c>
      <c r="AW22" t="n">
        <v>117.9</v>
      </c>
      <c r="AX22" t="inlineStr">
        <is>
          <t>settled</t>
        </is>
      </c>
      <c r="AY22" t="inlineStr">
        <is>
          <t>2026-01-07 05:30:00</t>
        </is>
      </c>
      <c r="AZ22" t="inlineStr">
        <is>
          <t>CITIN26602720826</t>
        </is>
      </c>
      <c r="BA22" t="n">
        <v>0</v>
      </c>
      <c r="BB22" t="inlineStr">
        <is>
          <t>f903969f6fa8cf4ebf167ace7819157d436d5ae7861a4e83d7cf7921c958cf6a</t>
        </is>
      </c>
    </row>
    <row r="23">
      <c r="A23" t="inlineStr">
        <is>
          <t>133</t>
        </is>
      </c>
      <c r="B23" t="inlineStr">
        <is>
          <t>7639457060</t>
        </is>
      </c>
      <c r="C23" t="inlineStr">
        <is>
          <t>2026-01-01 04:02:37</t>
        </is>
      </c>
      <c r="D23" t="inlineStr">
        <is>
          <t>1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229</v>
      </c>
      <c r="P23" t="n">
        <v>3.5</v>
      </c>
      <c r="Q23" t="n">
        <v>0</v>
      </c>
      <c r="R23" t="n">
        <v>68.7</v>
      </c>
      <c r="S23" t="n">
        <v>0</v>
      </c>
      <c r="T23" t="n">
        <v>0</v>
      </c>
      <c r="U23" t="n">
        <v>0</v>
      </c>
      <c r="V23" t="n">
        <v>8.19</v>
      </c>
      <c r="W23" t="n">
        <v>171.99</v>
      </c>
      <c r="X23" t="n">
        <v>163.8</v>
      </c>
      <c r="Y23" t="n">
        <v>19</v>
      </c>
      <c r="Z23" t="n">
        <v>31.12</v>
      </c>
      <c r="AA23" t="n">
        <v>3.16</v>
      </c>
      <c r="AB23" t="n">
        <v>34.28</v>
      </c>
      <c r="AC23" t="n">
        <v>6.17</v>
      </c>
      <c r="AD23" t="n">
        <v>0</v>
      </c>
      <c r="AE23" t="n">
        <v>163.8</v>
      </c>
      <c r="AF23" t="n">
        <v>0</v>
      </c>
      <c r="AG23" t="n">
        <v>0</v>
      </c>
      <c r="AH23" t="n">
        <v>0.16</v>
      </c>
      <c r="AI23" t="n">
        <v>8.199999999999999</v>
      </c>
      <c r="AJ23" t="n">
        <v>-0.01</v>
      </c>
      <c r="AK23" t="n">
        <v>14.53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48.81</v>
      </c>
      <c r="AV23" t="n">
        <v>0</v>
      </c>
      <c r="AW23" t="n">
        <v>123.18</v>
      </c>
      <c r="AX23" t="inlineStr">
        <is>
          <t>settled</t>
        </is>
      </c>
      <c r="AY23" t="inlineStr">
        <is>
          <t>2026-01-07 05:30:00</t>
        </is>
      </c>
      <c r="AZ23" t="inlineStr">
        <is>
          <t>CITIN26602720826</t>
        </is>
      </c>
      <c r="BA23" t="n">
        <v>0</v>
      </c>
      <c r="BB23" t="inlineStr">
        <is>
          <t>7d5aa01bb5ac09bc254f28b4ceeb12061e44ae392b0705e84231d3a2c88e6594</t>
        </is>
      </c>
    </row>
    <row r="24">
      <c r="A24" t="inlineStr">
        <is>
          <t>134</t>
        </is>
      </c>
      <c r="B24" t="inlineStr">
        <is>
          <t>7642096661</t>
        </is>
      </c>
      <c r="C24" t="inlineStr">
        <is>
          <t>2026-01-01 04:11:11</t>
        </is>
      </c>
      <c r="D24" t="inlineStr">
        <is>
          <t>1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1603</v>
      </c>
      <c r="P24" t="n">
        <v>3.5</v>
      </c>
      <c r="Q24" t="n">
        <v>0</v>
      </c>
      <c r="R24" t="n">
        <v>75</v>
      </c>
      <c r="S24" t="n">
        <v>0</v>
      </c>
      <c r="T24" t="n">
        <v>0</v>
      </c>
      <c r="U24" t="n">
        <v>0</v>
      </c>
      <c r="V24" t="n">
        <v>76.58</v>
      </c>
      <c r="W24" t="n">
        <v>1608.08</v>
      </c>
      <c r="X24" t="n">
        <v>1531.5</v>
      </c>
      <c r="Y24" t="n">
        <v>19</v>
      </c>
      <c r="Z24" t="n">
        <v>290.98</v>
      </c>
      <c r="AA24" t="n">
        <v>29.59</v>
      </c>
      <c r="AB24" t="n">
        <v>320.57</v>
      </c>
      <c r="AC24" t="n">
        <v>57.71</v>
      </c>
      <c r="AD24" t="n">
        <v>0</v>
      </c>
      <c r="AE24" t="n">
        <v>1531.5</v>
      </c>
      <c r="AF24" t="n">
        <v>0</v>
      </c>
      <c r="AG24" t="n">
        <v>0</v>
      </c>
      <c r="AH24" t="n">
        <v>1.53</v>
      </c>
      <c r="AI24" t="n">
        <v>76.58</v>
      </c>
      <c r="AJ24" t="n">
        <v>0</v>
      </c>
      <c r="AK24" t="n">
        <v>135.82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456.39</v>
      </c>
      <c r="AV24" t="n">
        <v>0</v>
      </c>
      <c r="AW24" t="n">
        <v>1151.69</v>
      </c>
      <c r="AX24" t="inlineStr">
        <is>
          <t>settled</t>
        </is>
      </c>
      <c r="AY24" t="inlineStr">
        <is>
          <t>2026-01-07 05:30:00</t>
        </is>
      </c>
      <c r="AZ24" t="inlineStr">
        <is>
          <t>CITIN26602720826</t>
        </is>
      </c>
      <c r="BA24" t="n">
        <v>0</v>
      </c>
      <c r="BB24" t="inlineStr">
        <is>
          <t>451fcf9d7666a0bb854f5f9d53ba5d357eb3df2eab72b2fc44c7c778aa6e8ab1</t>
        </is>
      </c>
    </row>
    <row r="25">
      <c r="A25" t="inlineStr">
        <is>
          <t>135</t>
        </is>
      </c>
      <c r="B25" t="inlineStr">
        <is>
          <t>7634803015</t>
        </is>
      </c>
      <c r="C25" t="inlineStr">
        <is>
          <t>2026-01-01 11:34:33</t>
        </is>
      </c>
      <c r="D25" t="inlineStr">
        <is>
          <t>1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30% off upto ₹75 (2025-06-25 - 2031-01-01)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1314</v>
      </c>
      <c r="P25" t="n">
        <v>3.5</v>
      </c>
      <c r="Q25" t="n">
        <v>0</v>
      </c>
      <c r="R25" t="n">
        <v>75</v>
      </c>
      <c r="S25" t="n">
        <v>0</v>
      </c>
      <c r="T25" t="n">
        <v>0</v>
      </c>
      <c r="U25" t="n">
        <v>0</v>
      </c>
      <c r="V25" t="n">
        <v>62.13</v>
      </c>
      <c r="W25" t="n">
        <v>1304.63</v>
      </c>
      <c r="X25" t="n">
        <v>1242.5</v>
      </c>
      <c r="Y25" t="n">
        <v>19</v>
      </c>
      <c r="Z25" t="n">
        <v>236.08</v>
      </c>
      <c r="AA25" t="n">
        <v>24.01</v>
      </c>
      <c r="AB25" t="n">
        <v>260.09</v>
      </c>
      <c r="AC25" t="n">
        <v>46.81</v>
      </c>
      <c r="AD25" t="n">
        <v>0</v>
      </c>
      <c r="AE25" t="n">
        <v>1242.5</v>
      </c>
      <c r="AF25" t="n">
        <v>0</v>
      </c>
      <c r="AG25" t="n">
        <v>0</v>
      </c>
      <c r="AH25" t="n">
        <v>1.24</v>
      </c>
      <c r="AI25" t="n">
        <v>62.13</v>
      </c>
      <c r="AJ25" t="n">
        <v>0</v>
      </c>
      <c r="AK25" t="n">
        <v>110.18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370.27</v>
      </c>
      <c r="AV25" t="n">
        <v>0</v>
      </c>
      <c r="AW25" t="n">
        <v>934.36</v>
      </c>
      <c r="AX25" t="inlineStr">
        <is>
          <t>settled</t>
        </is>
      </c>
      <c r="AY25" t="inlineStr">
        <is>
          <t>2026-01-07 05:30:00</t>
        </is>
      </c>
      <c r="AZ25" t="inlineStr">
        <is>
          <t>CITIN26602720826</t>
        </is>
      </c>
      <c r="BA25" t="n">
        <v>0</v>
      </c>
      <c r="BB25" t="inlineStr">
        <is>
          <t>00b75dfb978f699413a2217e2bea39e80aef454312c0ed5e13ab5f8cf1799e73</t>
        </is>
      </c>
    </row>
    <row r="26">
      <c r="A26" t="inlineStr">
        <is>
          <t>136</t>
        </is>
      </c>
      <c r="B26" t="inlineStr">
        <is>
          <t>7632592822</t>
        </is>
      </c>
      <c r="C26" t="inlineStr">
        <is>
          <t>2026-01-01 12:18:16</t>
        </is>
      </c>
      <c r="D26" t="inlineStr">
        <is>
          <t>1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229</v>
      </c>
      <c r="P26" t="n">
        <v>3.5</v>
      </c>
      <c r="Q26" t="n">
        <v>0</v>
      </c>
      <c r="R26" t="n">
        <v>68.7</v>
      </c>
      <c r="S26" t="n">
        <v>0</v>
      </c>
      <c r="T26" t="n">
        <v>0</v>
      </c>
      <c r="U26" t="n">
        <v>0</v>
      </c>
      <c r="V26" t="n">
        <v>8.19</v>
      </c>
      <c r="W26" t="n">
        <v>171.99</v>
      </c>
      <c r="X26" t="n">
        <v>163.8</v>
      </c>
      <c r="Y26" t="n">
        <v>19</v>
      </c>
      <c r="Z26" t="n">
        <v>31.12</v>
      </c>
      <c r="AA26" t="n">
        <v>3.16</v>
      </c>
      <c r="AB26" t="n">
        <v>34.28</v>
      </c>
      <c r="AC26" t="n">
        <v>6.17</v>
      </c>
      <c r="AD26" t="n">
        <v>0</v>
      </c>
      <c r="AE26" t="n">
        <v>163.8</v>
      </c>
      <c r="AF26" t="n">
        <v>0</v>
      </c>
      <c r="AG26" t="n">
        <v>0</v>
      </c>
      <c r="AH26" t="n">
        <v>0.16</v>
      </c>
      <c r="AI26" t="n">
        <v>8.199999999999999</v>
      </c>
      <c r="AJ26" t="n">
        <v>-0.01</v>
      </c>
      <c r="AK26" t="n">
        <v>14.53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48.81</v>
      </c>
      <c r="AV26" t="n">
        <v>0</v>
      </c>
      <c r="AW26" t="n">
        <v>123.18</v>
      </c>
      <c r="AX26" t="inlineStr">
        <is>
          <t>settled</t>
        </is>
      </c>
      <c r="AY26" t="inlineStr">
        <is>
          <t>2026-01-07 05:30:00</t>
        </is>
      </c>
      <c r="AZ26" t="inlineStr">
        <is>
          <t>CITIN26602720826</t>
        </is>
      </c>
      <c r="BA26" t="n">
        <v>0</v>
      </c>
      <c r="BB26" t="inlineStr">
        <is>
          <t>a8b0cf286d0a8aebd995676d8a5a613e29b34627b22a371c2f23f79ecb802d6a</t>
        </is>
      </c>
    </row>
    <row r="27">
      <c r="A27" t="inlineStr">
        <is>
          <t>137</t>
        </is>
      </c>
      <c r="B27" t="inlineStr">
        <is>
          <t>7640540046</t>
        </is>
      </c>
      <c r="C27" t="inlineStr">
        <is>
          <t>2026-01-01 12:40:17</t>
        </is>
      </c>
      <c r="D27" t="inlineStr">
        <is>
          <t>1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30% off upto ₹75 (2025-06-25 - 2031-01-01)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219</v>
      </c>
      <c r="P27" t="n">
        <v>3.5</v>
      </c>
      <c r="Q27" t="n">
        <v>0</v>
      </c>
      <c r="R27" t="n">
        <v>65.7</v>
      </c>
      <c r="S27" t="n">
        <v>0</v>
      </c>
      <c r="T27" t="n">
        <v>0</v>
      </c>
      <c r="U27" t="n">
        <v>0</v>
      </c>
      <c r="V27" t="n">
        <v>7.84</v>
      </c>
      <c r="W27" t="n">
        <v>164.64</v>
      </c>
      <c r="X27" t="n">
        <v>156.8</v>
      </c>
      <c r="Y27" t="n">
        <v>19</v>
      </c>
      <c r="Z27" t="n">
        <v>29.79</v>
      </c>
      <c r="AA27" t="n">
        <v>3.03</v>
      </c>
      <c r="AB27" t="n">
        <v>32.82</v>
      </c>
      <c r="AC27" t="n">
        <v>5.91</v>
      </c>
      <c r="AD27" t="n">
        <v>0</v>
      </c>
      <c r="AE27" t="n">
        <v>156.8</v>
      </c>
      <c r="AF27" t="n">
        <v>0</v>
      </c>
      <c r="AG27" t="n">
        <v>0</v>
      </c>
      <c r="AH27" t="n">
        <v>0.16</v>
      </c>
      <c r="AI27" t="n">
        <v>7.85</v>
      </c>
      <c r="AJ27" t="n">
        <v>-0.01</v>
      </c>
      <c r="AK27" t="n">
        <v>13.92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46.74</v>
      </c>
      <c r="AV27" t="n">
        <v>0</v>
      </c>
      <c r="AW27" t="n">
        <v>117.9</v>
      </c>
      <c r="AX27" t="inlineStr">
        <is>
          <t>settled</t>
        </is>
      </c>
      <c r="AY27" t="inlineStr">
        <is>
          <t>2026-01-07 05:30:00</t>
        </is>
      </c>
      <c r="AZ27" t="inlineStr">
        <is>
          <t>CITIN26602720826</t>
        </is>
      </c>
      <c r="BA27" t="n">
        <v>0</v>
      </c>
      <c r="BB27" t="inlineStr">
        <is>
          <t>95307757600d319b142a867ee00cc753a197f3c2322dc4382327106a99e9408a</t>
        </is>
      </c>
    </row>
    <row r="28">
      <c r="A28" t="inlineStr">
        <is>
          <t>138</t>
        </is>
      </c>
      <c r="B28" t="inlineStr">
        <is>
          <t>7642908003</t>
        </is>
      </c>
      <c r="C28" t="inlineStr">
        <is>
          <t>2026-01-01 13:21:47</t>
        </is>
      </c>
      <c r="D28" t="inlineStr">
        <is>
          <t>1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30% off upto ₹75 (2025-06-25 - 2031-01-01)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229</v>
      </c>
      <c r="P28" t="n">
        <v>3.5</v>
      </c>
      <c r="Q28" t="n">
        <v>0</v>
      </c>
      <c r="R28" t="n">
        <v>68.7</v>
      </c>
      <c r="S28" t="n">
        <v>0</v>
      </c>
      <c r="T28" t="n">
        <v>0</v>
      </c>
      <c r="U28" t="n">
        <v>0</v>
      </c>
      <c r="V28" t="n">
        <v>8.19</v>
      </c>
      <c r="W28" t="n">
        <v>171.99</v>
      </c>
      <c r="X28" t="n">
        <v>163.8</v>
      </c>
      <c r="Y28" t="n">
        <v>19</v>
      </c>
      <c r="Z28" t="n">
        <v>31.12</v>
      </c>
      <c r="AA28" t="n">
        <v>3.16</v>
      </c>
      <c r="AB28" t="n">
        <v>34.28</v>
      </c>
      <c r="AC28" t="n">
        <v>6.17</v>
      </c>
      <c r="AD28" t="n">
        <v>0</v>
      </c>
      <c r="AE28" t="n">
        <v>163.8</v>
      </c>
      <c r="AF28" t="n">
        <v>0</v>
      </c>
      <c r="AG28" t="n">
        <v>0</v>
      </c>
      <c r="AH28" t="n">
        <v>0.16</v>
      </c>
      <c r="AI28" t="n">
        <v>8.199999999999999</v>
      </c>
      <c r="AJ28" t="n">
        <v>-0.01</v>
      </c>
      <c r="AK28" t="n">
        <v>14.53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48.81</v>
      </c>
      <c r="AV28" t="n">
        <v>0</v>
      </c>
      <c r="AW28" t="n">
        <v>123.18</v>
      </c>
      <c r="AX28" t="inlineStr">
        <is>
          <t>settled</t>
        </is>
      </c>
      <c r="AY28" t="inlineStr">
        <is>
          <t>2026-01-07 05:30:00</t>
        </is>
      </c>
      <c r="AZ28" t="inlineStr">
        <is>
          <t>CITIN26602720826</t>
        </is>
      </c>
      <c r="BA28" t="n">
        <v>0</v>
      </c>
      <c r="BB28" t="inlineStr">
        <is>
          <t>48c35b68bfe584b15d781c5fcf938afa4c199d5801e110a298aafcc2f0dbe1dc</t>
        </is>
      </c>
    </row>
    <row r="29">
      <c r="A29" t="inlineStr">
        <is>
          <t>139</t>
        </is>
      </c>
      <c r="B29" t="inlineStr">
        <is>
          <t>7638972993</t>
        </is>
      </c>
      <c r="C29" t="inlineStr">
        <is>
          <t>2026-01-01 13:30:23</t>
        </is>
      </c>
      <c r="D29" t="inlineStr">
        <is>
          <t>1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438</v>
      </c>
      <c r="P29" t="n">
        <v>3.5</v>
      </c>
      <c r="Q29" t="n">
        <v>0</v>
      </c>
      <c r="R29" t="n">
        <v>75</v>
      </c>
      <c r="S29" t="n">
        <v>0</v>
      </c>
      <c r="T29" t="n">
        <v>0</v>
      </c>
      <c r="U29" t="n">
        <v>0</v>
      </c>
      <c r="V29" t="n">
        <v>18.33</v>
      </c>
      <c r="W29" t="n">
        <v>384.83</v>
      </c>
      <c r="X29" t="n">
        <v>366.5</v>
      </c>
      <c r="Y29" t="n">
        <v>19</v>
      </c>
      <c r="Z29" t="n">
        <v>69.64</v>
      </c>
      <c r="AA29" t="n">
        <v>7.08</v>
      </c>
      <c r="AB29" t="n">
        <v>76.72</v>
      </c>
      <c r="AC29" t="n">
        <v>13.81</v>
      </c>
      <c r="AD29" t="n">
        <v>0</v>
      </c>
      <c r="AE29" t="n">
        <v>366.5</v>
      </c>
      <c r="AF29" t="n">
        <v>0</v>
      </c>
      <c r="AG29" t="n">
        <v>0</v>
      </c>
      <c r="AH29" t="n">
        <v>0.37</v>
      </c>
      <c r="AI29" t="n">
        <v>18.33</v>
      </c>
      <c r="AJ29" t="n">
        <v>0</v>
      </c>
      <c r="AK29" t="n">
        <v>32.51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109.23</v>
      </c>
      <c r="AV29" t="n">
        <v>0</v>
      </c>
      <c r="AW29" t="n">
        <v>275.6</v>
      </c>
      <c r="AX29" t="inlineStr">
        <is>
          <t>settled</t>
        </is>
      </c>
      <c r="AY29" t="inlineStr">
        <is>
          <t>2026-01-07 05:30:00</t>
        </is>
      </c>
      <c r="AZ29" t="inlineStr">
        <is>
          <t>CITIN26602720826</t>
        </is>
      </c>
      <c r="BA29" t="n">
        <v>0</v>
      </c>
      <c r="BB29" t="inlineStr">
        <is>
          <t>b9703b180d91b66929fbdf015a9195578c23a1a82dfd9c92daa509298b59c43e</t>
        </is>
      </c>
    </row>
    <row r="30">
      <c r="A30" t="inlineStr">
        <is>
          <t>140</t>
        </is>
      </c>
      <c r="B30" t="inlineStr">
        <is>
          <t>7642403144</t>
        </is>
      </c>
      <c r="C30" t="inlineStr">
        <is>
          <t>2026-01-01 15:10:00</t>
        </is>
      </c>
      <c r="D30" t="inlineStr">
        <is>
          <t>1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268</v>
      </c>
      <c r="P30" t="n">
        <v>3.5</v>
      </c>
      <c r="Q30" t="n">
        <v>0</v>
      </c>
      <c r="R30" t="n">
        <v>75</v>
      </c>
      <c r="S30" t="n">
        <v>0</v>
      </c>
      <c r="T30" t="n">
        <v>0</v>
      </c>
      <c r="U30" t="n">
        <v>0</v>
      </c>
      <c r="V30" t="n">
        <v>9.83</v>
      </c>
      <c r="W30" t="n">
        <v>206.33</v>
      </c>
      <c r="X30" t="n">
        <v>196.5</v>
      </c>
      <c r="Y30" t="n">
        <v>19</v>
      </c>
      <c r="Z30" t="n">
        <v>37.34</v>
      </c>
      <c r="AA30" t="n">
        <v>3.8</v>
      </c>
      <c r="AB30" t="n">
        <v>41.14</v>
      </c>
      <c r="AC30" t="n">
        <v>7.4</v>
      </c>
      <c r="AD30" t="n">
        <v>0</v>
      </c>
      <c r="AE30" t="n">
        <v>196.5</v>
      </c>
      <c r="AF30" t="n">
        <v>0</v>
      </c>
      <c r="AG30" t="n">
        <v>0</v>
      </c>
      <c r="AH30" t="n">
        <v>0.2</v>
      </c>
      <c r="AI30" t="n">
        <v>9.83</v>
      </c>
      <c r="AJ30" t="n">
        <v>0</v>
      </c>
      <c r="AK30" t="n">
        <v>17.43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58.57</v>
      </c>
      <c r="AV30" t="n">
        <v>0</v>
      </c>
      <c r="AW30" t="n">
        <v>147.76</v>
      </c>
      <c r="AX30" t="inlineStr">
        <is>
          <t>settled</t>
        </is>
      </c>
      <c r="AY30" t="inlineStr">
        <is>
          <t>2026-01-07 05:30:00</t>
        </is>
      </c>
      <c r="AZ30" t="inlineStr">
        <is>
          <t>CITIN26602720826</t>
        </is>
      </c>
      <c r="BA30" t="n">
        <v>0</v>
      </c>
      <c r="BB30" t="inlineStr">
        <is>
          <t>75be844dfebf62be0318f917a9b96e1a4a7dbe29075bdebbaab6d4a4b95200e1</t>
        </is>
      </c>
    </row>
    <row r="31">
      <c r="A31" t="inlineStr">
        <is>
          <t>141</t>
        </is>
      </c>
      <c r="B31" t="inlineStr">
        <is>
          <t>7637450101</t>
        </is>
      </c>
      <c r="C31" t="inlineStr">
        <is>
          <t>2026-01-01 15:10:37</t>
        </is>
      </c>
      <c r="D31" t="inlineStr">
        <is>
          <t>1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30% off upto ₹75 (2025-06-25 - 2031-01-01)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355</v>
      </c>
      <c r="P31" t="n">
        <v>3.5</v>
      </c>
      <c r="Q31" t="n">
        <v>0</v>
      </c>
      <c r="R31" t="n">
        <v>75</v>
      </c>
      <c r="S31" t="n">
        <v>0</v>
      </c>
      <c r="T31" t="n">
        <v>0</v>
      </c>
      <c r="U31" t="n">
        <v>0</v>
      </c>
      <c r="V31" t="n">
        <v>14.18</v>
      </c>
      <c r="W31" t="n">
        <v>297.68</v>
      </c>
      <c r="X31" t="n">
        <v>283.5</v>
      </c>
      <c r="Y31" t="n">
        <v>19</v>
      </c>
      <c r="Z31" t="n">
        <v>53.86</v>
      </c>
      <c r="AA31" t="n">
        <v>5.48</v>
      </c>
      <c r="AB31" t="n">
        <v>59.34</v>
      </c>
      <c r="AC31" t="n">
        <v>10.68</v>
      </c>
      <c r="AD31" t="n">
        <v>0</v>
      </c>
      <c r="AE31" t="n">
        <v>283.5</v>
      </c>
      <c r="AF31" t="n">
        <v>0</v>
      </c>
      <c r="AG31" t="n">
        <v>0</v>
      </c>
      <c r="AH31" t="n">
        <v>0.28</v>
      </c>
      <c r="AI31" t="n">
        <v>14.18</v>
      </c>
      <c r="AJ31" t="n">
        <v>0</v>
      </c>
      <c r="AK31" t="n">
        <v>25.14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84.48</v>
      </c>
      <c r="AV31" t="n">
        <v>0</v>
      </c>
      <c r="AW31" t="n">
        <v>213.2</v>
      </c>
      <c r="AX31" t="inlineStr">
        <is>
          <t>settled</t>
        </is>
      </c>
      <c r="AY31" t="inlineStr">
        <is>
          <t>2026-01-07 05:30:00</t>
        </is>
      </c>
      <c r="AZ31" t="inlineStr">
        <is>
          <t>CITIN26602720826</t>
        </is>
      </c>
      <c r="BA31" t="n">
        <v>0</v>
      </c>
      <c r="BB31" t="inlineStr">
        <is>
          <t>5455627ee697b71fb95e5f0570c66f2798171a70f21b49e9d5786f1aa57a99f3</t>
        </is>
      </c>
    </row>
    <row r="32">
      <c r="A32" t="inlineStr">
        <is>
          <t>142</t>
        </is>
      </c>
      <c r="B32" t="inlineStr">
        <is>
          <t>7645654593</t>
        </is>
      </c>
      <c r="C32" t="inlineStr">
        <is>
          <t>2026-01-01 15:19:34</t>
        </is>
      </c>
      <c r="D32" t="inlineStr">
        <is>
          <t>1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NA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229</v>
      </c>
      <c r="P32" t="n">
        <v>3.5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11.63</v>
      </c>
      <c r="W32" t="n">
        <v>244.13</v>
      </c>
      <c r="X32" t="n">
        <v>232.5</v>
      </c>
      <c r="Y32" t="n">
        <v>19</v>
      </c>
      <c r="Z32" t="n">
        <v>44.18</v>
      </c>
      <c r="AA32" t="n">
        <v>4.49</v>
      </c>
      <c r="AB32" t="n">
        <v>48.67</v>
      </c>
      <c r="AC32" t="n">
        <v>8.76</v>
      </c>
      <c r="AD32" t="n">
        <v>0</v>
      </c>
      <c r="AE32" t="n">
        <v>232.5</v>
      </c>
      <c r="AF32" t="n">
        <v>0</v>
      </c>
      <c r="AG32" t="n">
        <v>0</v>
      </c>
      <c r="AH32" t="n">
        <v>0.23</v>
      </c>
      <c r="AI32" t="n">
        <v>11.63</v>
      </c>
      <c r="AJ32" t="n">
        <v>0</v>
      </c>
      <c r="AK32" t="n">
        <v>20.62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69.29000000000001</v>
      </c>
      <c r="AV32" t="n">
        <v>0</v>
      </c>
      <c r="AW32" t="n">
        <v>174.84</v>
      </c>
      <c r="AX32" t="inlineStr">
        <is>
          <t>settled</t>
        </is>
      </c>
      <c r="AY32" t="inlineStr">
        <is>
          <t>2026-01-07 05:30:00</t>
        </is>
      </c>
      <c r="AZ32" t="inlineStr">
        <is>
          <t>CITIN26602720826</t>
        </is>
      </c>
      <c r="BA32" t="n">
        <v>0</v>
      </c>
      <c r="BB32" t="inlineStr">
        <is>
          <t>57860c1eaa64926882fbe18df55d3b254078ba3a87a570fbd4e075f8b04e4574</t>
        </is>
      </c>
    </row>
    <row r="33">
      <c r="A33" t="inlineStr">
        <is>
          <t>143</t>
        </is>
      </c>
      <c r="B33" t="inlineStr">
        <is>
          <t>7639892797</t>
        </is>
      </c>
      <c r="C33" t="inlineStr">
        <is>
          <t>2026-01-01 16:26:51</t>
        </is>
      </c>
      <c r="D33" t="inlineStr">
        <is>
          <t>1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NA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229</v>
      </c>
      <c r="P33" t="n">
        <v>3.5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11.63</v>
      </c>
      <c r="W33" t="n">
        <v>244.13</v>
      </c>
      <c r="X33" t="n">
        <v>232.5</v>
      </c>
      <c r="Y33" t="n">
        <v>19</v>
      </c>
      <c r="Z33" t="n">
        <v>44.18</v>
      </c>
      <c r="AA33" t="n">
        <v>4.49</v>
      </c>
      <c r="AB33" t="n">
        <v>48.67</v>
      </c>
      <c r="AC33" t="n">
        <v>8.76</v>
      </c>
      <c r="AD33" t="n">
        <v>0</v>
      </c>
      <c r="AE33" t="n">
        <v>232.5</v>
      </c>
      <c r="AF33" t="n">
        <v>0</v>
      </c>
      <c r="AG33" t="n">
        <v>0</v>
      </c>
      <c r="AH33" t="n">
        <v>0.23</v>
      </c>
      <c r="AI33" t="n">
        <v>11.63</v>
      </c>
      <c r="AJ33" t="n">
        <v>0</v>
      </c>
      <c r="AK33" t="n">
        <v>20.62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69.29000000000001</v>
      </c>
      <c r="AV33" t="n">
        <v>0</v>
      </c>
      <c r="AW33" t="n">
        <v>174.84</v>
      </c>
      <c r="AX33" t="inlineStr">
        <is>
          <t>settled</t>
        </is>
      </c>
      <c r="AY33" t="inlineStr">
        <is>
          <t>2026-01-07 05:30:00</t>
        </is>
      </c>
      <c r="AZ33" t="inlineStr">
        <is>
          <t>CITIN26602720826</t>
        </is>
      </c>
      <c r="BA33" t="n">
        <v>0</v>
      </c>
      <c r="BB33" t="inlineStr">
        <is>
          <t>9f9488beec18096a582a1dac3f1ea5e20a12e420ec46fabcdd468923642d7206</t>
        </is>
      </c>
    </row>
    <row r="34">
      <c r="A34" t="inlineStr">
        <is>
          <t>144</t>
        </is>
      </c>
      <c r="B34" t="inlineStr">
        <is>
          <t>7636598749</t>
        </is>
      </c>
      <c r="C34" t="inlineStr">
        <is>
          <t>2026-01-01 16:38:04</t>
        </is>
      </c>
      <c r="D34" t="inlineStr">
        <is>
          <t>1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378</v>
      </c>
      <c r="P34" t="n">
        <v>3.5</v>
      </c>
      <c r="Q34" t="n">
        <v>0</v>
      </c>
      <c r="R34" t="n">
        <v>75</v>
      </c>
      <c r="S34" t="n">
        <v>0</v>
      </c>
      <c r="T34" t="n">
        <v>0</v>
      </c>
      <c r="U34" t="n">
        <v>0</v>
      </c>
      <c r="V34" t="n">
        <v>15.33</v>
      </c>
      <c r="W34" t="n">
        <v>321.83</v>
      </c>
      <c r="X34" t="n">
        <v>306.5</v>
      </c>
      <c r="Y34" t="n">
        <v>19</v>
      </c>
      <c r="Z34" t="n">
        <v>58.24</v>
      </c>
      <c r="AA34" t="n">
        <v>5.92</v>
      </c>
      <c r="AB34" t="n">
        <v>64.16</v>
      </c>
      <c r="AC34" t="n">
        <v>11.55</v>
      </c>
      <c r="AD34" t="n">
        <v>0</v>
      </c>
      <c r="AE34" t="n">
        <v>306.5</v>
      </c>
      <c r="AF34" t="n">
        <v>0</v>
      </c>
      <c r="AG34" t="n">
        <v>0</v>
      </c>
      <c r="AH34" t="n">
        <v>0.31</v>
      </c>
      <c r="AI34" t="n">
        <v>15.33</v>
      </c>
      <c r="AJ34" t="n">
        <v>0</v>
      </c>
      <c r="AK34" t="n">
        <v>27.19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91.34999999999999</v>
      </c>
      <c r="AV34" t="n">
        <v>0</v>
      </c>
      <c r="AW34" t="n">
        <v>230.48</v>
      </c>
      <c r="AX34" t="inlineStr">
        <is>
          <t>settled</t>
        </is>
      </c>
      <c r="AY34" t="inlineStr">
        <is>
          <t>2026-01-07 05:30:00</t>
        </is>
      </c>
      <c r="AZ34" t="inlineStr">
        <is>
          <t>CITIN26602720826</t>
        </is>
      </c>
      <c r="BA34" t="n">
        <v>0</v>
      </c>
      <c r="BB34" t="inlineStr">
        <is>
          <t>93fbfc45aafc161029538d4bb394f9892e5fc0d4ffe3dcec62396df33f69077d</t>
        </is>
      </c>
    </row>
    <row r="35">
      <c r="A35" t="inlineStr">
        <is>
          <t>145</t>
        </is>
      </c>
      <c r="B35" t="inlineStr">
        <is>
          <t>7643657000</t>
        </is>
      </c>
      <c r="C35" t="inlineStr">
        <is>
          <t>2026-01-01 16:44:07</t>
        </is>
      </c>
      <c r="D35" t="inlineStr">
        <is>
          <t>1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30% off upto ₹75 (2025-06-25 - 2031-01-01)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368</v>
      </c>
      <c r="P35" t="n">
        <v>3.5</v>
      </c>
      <c r="Q35" t="n">
        <v>0</v>
      </c>
      <c r="R35" t="n">
        <v>75</v>
      </c>
      <c r="S35" t="n">
        <v>0</v>
      </c>
      <c r="T35" t="n">
        <v>0</v>
      </c>
      <c r="U35" t="n">
        <v>0</v>
      </c>
      <c r="V35" t="n">
        <v>14.83</v>
      </c>
      <c r="W35" t="n">
        <v>311.33</v>
      </c>
      <c r="X35" t="n">
        <v>296.5</v>
      </c>
      <c r="Y35" t="n">
        <v>19</v>
      </c>
      <c r="Z35" t="n">
        <v>56.34</v>
      </c>
      <c r="AA35" t="n">
        <v>5.73</v>
      </c>
      <c r="AB35" t="n">
        <v>62.07</v>
      </c>
      <c r="AC35" t="n">
        <v>11.17</v>
      </c>
      <c r="AD35" t="n">
        <v>0</v>
      </c>
      <c r="AE35" t="n">
        <v>296.5</v>
      </c>
      <c r="AF35" t="n">
        <v>0</v>
      </c>
      <c r="AG35" t="n">
        <v>0</v>
      </c>
      <c r="AH35" t="n">
        <v>0.3</v>
      </c>
      <c r="AI35" t="n">
        <v>14.83</v>
      </c>
      <c r="AJ35" t="n">
        <v>0</v>
      </c>
      <c r="AK35" t="n">
        <v>26.3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88.37</v>
      </c>
      <c r="AV35" t="n">
        <v>0</v>
      </c>
      <c r="AW35" t="n">
        <v>222.96</v>
      </c>
      <c r="AX35" t="inlineStr">
        <is>
          <t>settled</t>
        </is>
      </c>
      <c r="AY35" t="inlineStr">
        <is>
          <t>2026-01-07 05:30:00</t>
        </is>
      </c>
      <c r="AZ35" t="inlineStr">
        <is>
          <t>CITIN26602720826</t>
        </is>
      </c>
      <c r="BA35" t="n">
        <v>0</v>
      </c>
      <c r="BB35" t="inlineStr">
        <is>
          <t>6aca5107fcb22fd34daa708ee676324c5a7fe60690feede93eebeb577fb7c250</t>
        </is>
      </c>
    </row>
    <row r="36">
      <c r="A36" t="inlineStr">
        <is>
          <t>146</t>
        </is>
      </c>
      <c r="B36" t="inlineStr">
        <is>
          <t>7642936348</t>
        </is>
      </c>
      <c r="C36" t="inlineStr">
        <is>
          <t>2026-01-01 18:03:02</t>
        </is>
      </c>
      <c r="D36" t="inlineStr">
        <is>
          <t>1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607</v>
      </c>
      <c r="P36" t="n">
        <v>3.5</v>
      </c>
      <c r="Q36" t="n">
        <v>0</v>
      </c>
      <c r="R36" t="n">
        <v>75</v>
      </c>
      <c r="S36" t="n">
        <v>0</v>
      </c>
      <c r="T36" t="n">
        <v>0</v>
      </c>
      <c r="U36" t="n">
        <v>0</v>
      </c>
      <c r="V36" t="n">
        <v>26.78</v>
      </c>
      <c r="W36" t="n">
        <v>562.28</v>
      </c>
      <c r="X36" t="n">
        <v>535.5</v>
      </c>
      <c r="Y36" t="n">
        <v>19</v>
      </c>
      <c r="Z36" t="n">
        <v>101.74</v>
      </c>
      <c r="AA36" t="n">
        <v>10.35</v>
      </c>
      <c r="AB36" t="n">
        <v>112.09</v>
      </c>
      <c r="AC36" t="n">
        <v>20.17</v>
      </c>
      <c r="AD36" t="n">
        <v>0</v>
      </c>
      <c r="AE36" t="n">
        <v>535.5</v>
      </c>
      <c r="AF36" t="n">
        <v>0</v>
      </c>
      <c r="AG36" t="n">
        <v>0</v>
      </c>
      <c r="AH36" t="n">
        <v>0.54</v>
      </c>
      <c r="AI36" t="n">
        <v>26.78</v>
      </c>
      <c r="AJ36" t="n">
        <v>0</v>
      </c>
      <c r="AK36" t="n">
        <v>47.49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159.58</v>
      </c>
      <c r="AV36" t="n">
        <v>0</v>
      </c>
      <c r="AW36" t="n">
        <v>402.7</v>
      </c>
      <c r="AX36" t="inlineStr">
        <is>
          <t>settled</t>
        </is>
      </c>
      <c r="AY36" t="inlineStr">
        <is>
          <t>2026-01-07 05:30:00</t>
        </is>
      </c>
      <c r="AZ36" t="inlineStr">
        <is>
          <t>CITIN26602720826</t>
        </is>
      </c>
      <c r="BA36" t="n">
        <v>0</v>
      </c>
      <c r="BB36" t="inlineStr">
        <is>
          <t>a9d0a07b2bca654d25dd7deb715ca463c2f5b8a2f09b3b85cee0f9a2d16db69d</t>
        </is>
      </c>
    </row>
    <row r="37">
      <c r="A37" t="inlineStr">
        <is>
          <t>147</t>
        </is>
      </c>
      <c r="B37" t="inlineStr">
        <is>
          <t>7644122364</t>
        </is>
      </c>
      <c r="C37" t="inlineStr">
        <is>
          <t>2026-01-01 18:28:36</t>
        </is>
      </c>
      <c r="D37" t="inlineStr">
        <is>
          <t>1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358</v>
      </c>
      <c r="P37" t="n">
        <v>3.5</v>
      </c>
      <c r="Q37" t="n">
        <v>0</v>
      </c>
      <c r="R37" t="n">
        <v>75</v>
      </c>
      <c r="S37" t="n">
        <v>0</v>
      </c>
      <c r="T37" t="n">
        <v>0</v>
      </c>
      <c r="U37" t="n">
        <v>0</v>
      </c>
      <c r="V37" t="n">
        <v>14.33</v>
      </c>
      <c r="W37" t="n">
        <v>300.83</v>
      </c>
      <c r="X37" t="n">
        <v>286.5</v>
      </c>
      <c r="Y37" t="n">
        <v>19</v>
      </c>
      <c r="Z37" t="n">
        <v>54.44</v>
      </c>
      <c r="AA37" t="n">
        <v>5.54</v>
      </c>
      <c r="AB37" t="n">
        <v>59.98</v>
      </c>
      <c r="AC37" t="n">
        <v>10.8</v>
      </c>
      <c r="AD37" t="n">
        <v>0</v>
      </c>
      <c r="AE37" t="n">
        <v>286.5</v>
      </c>
      <c r="AF37" t="n">
        <v>0</v>
      </c>
      <c r="AG37" t="n">
        <v>0</v>
      </c>
      <c r="AH37" t="n">
        <v>0.29</v>
      </c>
      <c r="AI37" t="n">
        <v>14.33</v>
      </c>
      <c r="AJ37" t="n">
        <v>0</v>
      </c>
      <c r="AK37" t="n">
        <v>25.42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85.40000000000001</v>
      </c>
      <c r="AV37" t="n">
        <v>0</v>
      </c>
      <c r="AW37" t="n">
        <v>215.43</v>
      </c>
      <c r="AX37" t="inlineStr">
        <is>
          <t>settled</t>
        </is>
      </c>
      <c r="AY37" t="inlineStr">
        <is>
          <t>2026-01-07 05:30:00</t>
        </is>
      </c>
      <c r="AZ37" t="inlineStr">
        <is>
          <t>CITIN26602720826</t>
        </is>
      </c>
      <c r="BA37" t="n">
        <v>0</v>
      </c>
      <c r="BB37" t="inlineStr">
        <is>
          <t>3087b0da357a39098937e733035c4e481d82918645652cff25f47c3803e79f1a</t>
        </is>
      </c>
    </row>
    <row r="38">
      <c r="A38" t="inlineStr">
        <is>
          <t>148</t>
        </is>
      </c>
      <c r="B38" t="inlineStr">
        <is>
          <t>7643498365</t>
        </is>
      </c>
      <c r="C38" t="inlineStr">
        <is>
          <t>2026-01-01 18:29:08</t>
        </is>
      </c>
      <c r="D38" t="inlineStr">
        <is>
          <t>1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268</v>
      </c>
      <c r="P38" t="n">
        <v>3.5</v>
      </c>
      <c r="Q38" t="n">
        <v>0</v>
      </c>
      <c r="R38" t="n">
        <v>75</v>
      </c>
      <c r="S38" t="n">
        <v>0</v>
      </c>
      <c r="T38" t="n">
        <v>0</v>
      </c>
      <c r="U38" t="n">
        <v>0</v>
      </c>
      <c r="V38" t="n">
        <v>9.83</v>
      </c>
      <c r="W38" t="n">
        <v>206.33</v>
      </c>
      <c r="X38" t="n">
        <v>196.5</v>
      </c>
      <c r="Y38" t="n">
        <v>19</v>
      </c>
      <c r="Z38" t="n">
        <v>37.34</v>
      </c>
      <c r="AA38" t="n">
        <v>3.8</v>
      </c>
      <c r="AB38" t="n">
        <v>41.14</v>
      </c>
      <c r="AC38" t="n">
        <v>7.4</v>
      </c>
      <c r="AD38" t="n">
        <v>0</v>
      </c>
      <c r="AE38" t="n">
        <v>196.5</v>
      </c>
      <c r="AF38" t="n">
        <v>0</v>
      </c>
      <c r="AG38" t="n">
        <v>0</v>
      </c>
      <c r="AH38" t="n">
        <v>0.2</v>
      </c>
      <c r="AI38" t="n">
        <v>9.83</v>
      </c>
      <c r="AJ38" t="n">
        <v>0</v>
      </c>
      <c r="AK38" t="n">
        <v>17.43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58.57</v>
      </c>
      <c r="AV38" t="n">
        <v>0</v>
      </c>
      <c r="AW38" t="n">
        <v>147.76</v>
      </c>
      <c r="AX38" t="inlineStr">
        <is>
          <t>settled</t>
        </is>
      </c>
      <c r="AY38" t="inlineStr">
        <is>
          <t>2026-01-07 05:30:00</t>
        </is>
      </c>
      <c r="AZ38" t="inlineStr">
        <is>
          <t>CITIN26602720826</t>
        </is>
      </c>
      <c r="BA38" t="n">
        <v>0</v>
      </c>
      <c r="BB38" t="inlineStr">
        <is>
          <t>5c510cecc8f9676acdfac0cd50524569a55528be099051589e7bd059f99d54b4</t>
        </is>
      </c>
    </row>
    <row r="39">
      <c r="A39" t="inlineStr">
        <is>
          <t>149</t>
        </is>
      </c>
      <c r="B39" t="inlineStr">
        <is>
          <t>7642386633</t>
        </is>
      </c>
      <c r="C39" t="inlineStr">
        <is>
          <t>2026-01-01 18:44:21</t>
        </is>
      </c>
      <c r="D39" t="inlineStr">
        <is>
          <t>1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settled</t>
        </is>
      </c>
      <c r="AY39" t="inlineStr">
        <is>
          <t>2026-01-07 05:30:00</t>
        </is>
      </c>
      <c r="AZ39" t="inlineStr">
        <is>
          <t>CITIN26602720826</t>
        </is>
      </c>
      <c r="BA39" t="n">
        <v>0</v>
      </c>
      <c r="BB39" t="inlineStr">
        <is>
          <t>f22ec439432c0a348ae5babafa89208ab030d24f9653d3fedc6c0b68b893bb2e</t>
        </is>
      </c>
    </row>
    <row r="40">
      <c r="A40" t="inlineStr">
        <is>
          <t>150</t>
        </is>
      </c>
      <c r="B40" t="inlineStr">
        <is>
          <t>7646378115</t>
        </is>
      </c>
      <c r="C40" t="inlineStr">
        <is>
          <t>2026-01-01 18:46:51</t>
        </is>
      </c>
      <c r="D40" t="inlineStr">
        <is>
          <t>1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229</v>
      </c>
      <c r="P40" t="n">
        <v>3.5</v>
      </c>
      <c r="Q40" t="n">
        <v>0</v>
      </c>
      <c r="R40" t="n">
        <v>68.7</v>
      </c>
      <c r="S40" t="n">
        <v>0</v>
      </c>
      <c r="T40" t="n">
        <v>0</v>
      </c>
      <c r="U40" t="n">
        <v>0</v>
      </c>
      <c r="V40" t="n">
        <v>8.19</v>
      </c>
      <c r="W40" t="n">
        <v>171.99</v>
      </c>
      <c r="X40" t="n">
        <v>163.8</v>
      </c>
      <c r="Y40" t="n">
        <v>19</v>
      </c>
      <c r="Z40" t="n">
        <v>31.12</v>
      </c>
      <c r="AA40" t="n">
        <v>3.16</v>
      </c>
      <c r="AB40" t="n">
        <v>34.28</v>
      </c>
      <c r="AC40" t="n">
        <v>6.17</v>
      </c>
      <c r="AD40" t="n">
        <v>0</v>
      </c>
      <c r="AE40" t="n">
        <v>163.8</v>
      </c>
      <c r="AF40" t="n">
        <v>0</v>
      </c>
      <c r="AG40" t="n">
        <v>0</v>
      </c>
      <c r="AH40" t="n">
        <v>0.16</v>
      </c>
      <c r="AI40" t="n">
        <v>8.199999999999999</v>
      </c>
      <c r="AJ40" t="n">
        <v>-0.01</v>
      </c>
      <c r="AK40" t="n">
        <v>14.53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48.81</v>
      </c>
      <c r="AV40" t="n">
        <v>0</v>
      </c>
      <c r="AW40" t="n">
        <v>123.18</v>
      </c>
      <c r="AX40" t="inlineStr">
        <is>
          <t>settled</t>
        </is>
      </c>
      <c r="AY40" t="inlineStr">
        <is>
          <t>2026-01-07 05:30:00</t>
        </is>
      </c>
      <c r="AZ40" t="inlineStr">
        <is>
          <t>CITIN26602720826</t>
        </is>
      </c>
      <c r="BA40" t="n">
        <v>0</v>
      </c>
      <c r="BB40" t="inlineStr">
        <is>
          <t>09cb29c1066764af3c69cf4582936b2cc3991dad0ca1eff4e98f76fe19523003</t>
        </is>
      </c>
    </row>
    <row r="41">
      <c r="A41" t="inlineStr">
        <is>
          <t>151</t>
        </is>
      </c>
      <c r="B41" t="inlineStr">
        <is>
          <t>7646450347</t>
        </is>
      </c>
      <c r="C41" t="inlineStr">
        <is>
          <t>2026-01-01 20:26:45</t>
        </is>
      </c>
      <c r="D41" t="inlineStr">
        <is>
          <t>1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229</v>
      </c>
      <c r="P41" t="n">
        <v>3.5</v>
      </c>
      <c r="Q41" t="n">
        <v>0</v>
      </c>
      <c r="R41" t="n">
        <v>68.7</v>
      </c>
      <c r="S41" t="n">
        <v>0</v>
      </c>
      <c r="T41" t="n">
        <v>0</v>
      </c>
      <c r="U41" t="n">
        <v>0</v>
      </c>
      <c r="V41" t="n">
        <v>8.19</v>
      </c>
      <c r="W41" t="n">
        <v>171.99</v>
      </c>
      <c r="X41" t="n">
        <v>163.8</v>
      </c>
      <c r="Y41" t="n">
        <v>19</v>
      </c>
      <c r="Z41" t="n">
        <v>31.12</v>
      </c>
      <c r="AA41" t="n">
        <v>3.16</v>
      </c>
      <c r="AB41" t="n">
        <v>34.28</v>
      </c>
      <c r="AC41" t="n">
        <v>6.17</v>
      </c>
      <c r="AD41" t="n">
        <v>0</v>
      </c>
      <c r="AE41" t="n">
        <v>163.8</v>
      </c>
      <c r="AF41" t="n">
        <v>0</v>
      </c>
      <c r="AG41" t="n">
        <v>0</v>
      </c>
      <c r="AH41" t="n">
        <v>0.16</v>
      </c>
      <c r="AI41" t="n">
        <v>8.199999999999999</v>
      </c>
      <c r="AJ41" t="n">
        <v>-0.01</v>
      </c>
      <c r="AK41" t="n">
        <v>14.53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48.81</v>
      </c>
      <c r="AV41" t="n">
        <v>0</v>
      </c>
      <c r="AW41" t="n">
        <v>123.18</v>
      </c>
      <c r="AX41" t="inlineStr">
        <is>
          <t>settled</t>
        </is>
      </c>
      <c r="AY41" t="inlineStr">
        <is>
          <t>2026-01-07 05:30:00</t>
        </is>
      </c>
      <c r="AZ41" t="inlineStr">
        <is>
          <t>CITIN26602720826</t>
        </is>
      </c>
      <c r="BA41" t="n">
        <v>0</v>
      </c>
      <c r="BB41" t="inlineStr">
        <is>
          <t>457a3c49aa7a3d488c2b381d9f8fa5116a828e96fc10d2dc4f6bde8737c4ca86</t>
        </is>
      </c>
    </row>
    <row r="42">
      <c r="A42" t="inlineStr">
        <is>
          <t>152</t>
        </is>
      </c>
      <c r="B42" t="inlineStr">
        <is>
          <t>7632674459</t>
        </is>
      </c>
      <c r="C42" t="inlineStr">
        <is>
          <t>2026-01-01 21:23:23</t>
        </is>
      </c>
      <c r="D42" t="inlineStr">
        <is>
          <t>1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219</v>
      </c>
      <c r="P42" t="n">
        <v>3.5</v>
      </c>
      <c r="Q42" t="n">
        <v>0</v>
      </c>
      <c r="R42" t="n">
        <v>65.7</v>
      </c>
      <c r="S42" t="n">
        <v>0</v>
      </c>
      <c r="T42" t="n">
        <v>0</v>
      </c>
      <c r="U42" t="n">
        <v>0</v>
      </c>
      <c r="V42" t="n">
        <v>7.84</v>
      </c>
      <c r="W42" t="n">
        <v>164.64</v>
      </c>
      <c r="X42" t="n">
        <v>156.8</v>
      </c>
      <c r="Y42" t="n">
        <v>19</v>
      </c>
      <c r="Z42" t="n">
        <v>29.79</v>
      </c>
      <c r="AA42" t="n">
        <v>3.03</v>
      </c>
      <c r="AB42" t="n">
        <v>32.82</v>
      </c>
      <c r="AC42" t="n">
        <v>5.91</v>
      </c>
      <c r="AD42" t="n">
        <v>0</v>
      </c>
      <c r="AE42" t="n">
        <v>156.8</v>
      </c>
      <c r="AF42" t="n">
        <v>0</v>
      </c>
      <c r="AG42" t="n">
        <v>0</v>
      </c>
      <c r="AH42" t="n">
        <v>0.16</v>
      </c>
      <c r="AI42" t="n">
        <v>7.85</v>
      </c>
      <c r="AJ42" t="n">
        <v>-0.01</v>
      </c>
      <c r="AK42" t="n">
        <v>13.92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46.74</v>
      </c>
      <c r="AV42" t="n">
        <v>0</v>
      </c>
      <c r="AW42" t="n">
        <v>117.9</v>
      </c>
      <c r="AX42" t="inlineStr">
        <is>
          <t>settled</t>
        </is>
      </c>
      <c r="AY42" t="inlineStr">
        <is>
          <t>2026-01-07 05:30:00</t>
        </is>
      </c>
      <c r="AZ42" t="inlineStr">
        <is>
          <t>CITIN26602720826</t>
        </is>
      </c>
      <c r="BA42" t="n">
        <v>0</v>
      </c>
      <c r="BB42" t="inlineStr">
        <is>
          <t>ba6c4ef17fb98f89f15be2672189541c77d1328fb181be54ed1f12a19f292dc3</t>
        </is>
      </c>
    </row>
    <row r="43">
      <c r="A43" t="inlineStr">
        <is>
          <t>153</t>
        </is>
      </c>
      <c r="B43" t="inlineStr">
        <is>
          <t>7632059469</t>
        </is>
      </c>
      <c r="C43" t="inlineStr">
        <is>
          <t>2026-01-01 21:25:19</t>
        </is>
      </c>
      <c r="D43" t="inlineStr">
        <is>
          <t>1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229</v>
      </c>
      <c r="P43" t="n">
        <v>3.5</v>
      </c>
      <c r="Q43" t="n">
        <v>0</v>
      </c>
      <c r="R43" t="n">
        <v>68.7</v>
      </c>
      <c r="S43" t="n">
        <v>0</v>
      </c>
      <c r="T43" t="n">
        <v>0</v>
      </c>
      <c r="U43" t="n">
        <v>0</v>
      </c>
      <c r="V43" t="n">
        <v>8.19</v>
      </c>
      <c r="W43" t="n">
        <v>171.99</v>
      </c>
      <c r="X43" t="n">
        <v>163.8</v>
      </c>
      <c r="Y43" t="n">
        <v>19</v>
      </c>
      <c r="Z43" t="n">
        <v>31.12</v>
      </c>
      <c r="AA43" t="n">
        <v>3.16</v>
      </c>
      <c r="AB43" t="n">
        <v>34.28</v>
      </c>
      <c r="AC43" t="n">
        <v>6.17</v>
      </c>
      <c r="AD43" t="n">
        <v>0</v>
      </c>
      <c r="AE43" t="n">
        <v>163.8</v>
      </c>
      <c r="AF43" t="n">
        <v>0</v>
      </c>
      <c r="AG43" t="n">
        <v>0</v>
      </c>
      <c r="AH43" t="n">
        <v>0.16</v>
      </c>
      <c r="AI43" t="n">
        <v>8.199999999999999</v>
      </c>
      <c r="AJ43" t="n">
        <v>-0.01</v>
      </c>
      <c r="AK43" t="n">
        <v>14.53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48.81</v>
      </c>
      <c r="AV43" t="n">
        <v>0</v>
      </c>
      <c r="AW43" t="n">
        <v>123.18</v>
      </c>
      <c r="AX43" t="inlineStr">
        <is>
          <t>settled</t>
        </is>
      </c>
      <c r="AY43" t="inlineStr">
        <is>
          <t>2026-01-07 05:30:00</t>
        </is>
      </c>
      <c r="AZ43" t="inlineStr">
        <is>
          <t>CITIN26602720826</t>
        </is>
      </c>
      <c r="BA43" t="n">
        <v>0</v>
      </c>
      <c r="BB43" t="inlineStr">
        <is>
          <t>29b61e7a70735f0fb77479d13a54995b789f905c7ce58f3a18cb03c78d5c0451</t>
        </is>
      </c>
    </row>
    <row r="44">
      <c r="A44" t="inlineStr">
        <is>
          <t>154</t>
        </is>
      </c>
      <c r="B44" t="inlineStr">
        <is>
          <t>7639520317</t>
        </is>
      </c>
      <c r="C44" t="inlineStr">
        <is>
          <t>2026-01-01 23:21:38</t>
        </is>
      </c>
      <c r="D44" t="inlineStr">
        <is>
          <t>1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229</v>
      </c>
      <c r="P44" t="n">
        <v>3.5</v>
      </c>
      <c r="Q44" t="n">
        <v>0</v>
      </c>
      <c r="R44" t="n">
        <v>68.7</v>
      </c>
      <c r="S44" t="n">
        <v>0</v>
      </c>
      <c r="T44" t="n">
        <v>0</v>
      </c>
      <c r="U44" t="n">
        <v>0</v>
      </c>
      <c r="V44" t="n">
        <v>8.19</v>
      </c>
      <c r="W44" t="n">
        <v>171.99</v>
      </c>
      <c r="X44" t="n">
        <v>163.8</v>
      </c>
      <c r="Y44" t="n">
        <v>19</v>
      </c>
      <c r="Z44" t="n">
        <v>31.12</v>
      </c>
      <c r="AA44" t="n">
        <v>3.16</v>
      </c>
      <c r="AB44" t="n">
        <v>34.28</v>
      </c>
      <c r="AC44" t="n">
        <v>6.17</v>
      </c>
      <c r="AD44" t="n">
        <v>0</v>
      </c>
      <c r="AE44" t="n">
        <v>163.8</v>
      </c>
      <c r="AF44" t="n">
        <v>0</v>
      </c>
      <c r="AG44" t="n">
        <v>0</v>
      </c>
      <c r="AH44" t="n">
        <v>0.16</v>
      </c>
      <c r="AI44" t="n">
        <v>8.199999999999999</v>
      </c>
      <c r="AJ44" t="n">
        <v>-0.01</v>
      </c>
      <c r="AK44" t="n">
        <v>14.53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48.81</v>
      </c>
      <c r="AV44" t="n">
        <v>0</v>
      </c>
      <c r="AW44" t="n">
        <v>123.18</v>
      </c>
      <c r="AX44" t="inlineStr">
        <is>
          <t>settled</t>
        </is>
      </c>
      <c r="AY44" t="inlineStr">
        <is>
          <t>2026-01-07 05:30:00</t>
        </is>
      </c>
      <c r="AZ44" t="inlineStr">
        <is>
          <t>CITIN26602720826</t>
        </is>
      </c>
      <c r="BA44" t="n">
        <v>0</v>
      </c>
      <c r="BB44" t="inlineStr">
        <is>
          <t>3ada5aac7c6a34b42cef1e9f0beed6f365eb1071d3aae28df72b45e8e8e48dd8</t>
        </is>
      </c>
    </row>
    <row r="45">
      <c r="A45" t="inlineStr">
        <is>
          <t>155</t>
        </is>
      </c>
      <c r="B45" t="inlineStr">
        <is>
          <t>7641961655</t>
        </is>
      </c>
      <c r="C45" t="inlineStr">
        <is>
          <t>2026-01-01 23:38:49</t>
        </is>
      </c>
      <c r="D45" t="inlineStr">
        <is>
          <t>1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219</v>
      </c>
      <c r="P45" t="n">
        <v>3.5</v>
      </c>
      <c r="Q45" t="n">
        <v>0</v>
      </c>
      <c r="R45" t="n">
        <v>65.7</v>
      </c>
      <c r="S45" t="n">
        <v>0</v>
      </c>
      <c r="T45" t="n">
        <v>0</v>
      </c>
      <c r="U45" t="n">
        <v>0</v>
      </c>
      <c r="V45" t="n">
        <v>7.84</v>
      </c>
      <c r="W45" t="n">
        <v>164.64</v>
      </c>
      <c r="X45" t="n">
        <v>156.8</v>
      </c>
      <c r="Y45" t="n">
        <v>19</v>
      </c>
      <c r="Z45" t="n">
        <v>29.79</v>
      </c>
      <c r="AA45" t="n">
        <v>3.03</v>
      </c>
      <c r="AB45" t="n">
        <v>32.82</v>
      </c>
      <c r="AC45" t="n">
        <v>5.91</v>
      </c>
      <c r="AD45" t="n">
        <v>0</v>
      </c>
      <c r="AE45" t="n">
        <v>156.8</v>
      </c>
      <c r="AF45" t="n">
        <v>0</v>
      </c>
      <c r="AG45" t="n">
        <v>0</v>
      </c>
      <c r="AH45" t="n">
        <v>0.16</v>
      </c>
      <c r="AI45" t="n">
        <v>7.85</v>
      </c>
      <c r="AJ45" t="n">
        <v>-0.01</v>
      </c>
      <c r="AK45" t="n">
        <v>13.92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46.74</v>
      </c>
      <c r="AV45" t="n">
        <v>0</v>
      </c>
      <c r="AW45" t="n">
        <v>117.9</v>
      </c>
      <c r="AX45" t="inlineStr">
        <is>
          <t>settled</t>
        </is>
      </c>
      <c r="AY45" t="inlineStr">
        <is>
          <t>2026-01-07 05:30:00</t>
        </is>
      </c>
      <c r="AZ45" t="inlineStr">
        <is>
          <t>CITIN26602720826</t>
        </is>
      </c>
      <c r="BA45" t="n">
        <v>0</v>
      </c>
      <c r="BB45" t="inlineStr">
        <is>
          <t>7dfbc7c08f7a3a9e48e0c8c3d3966a1c34923f30d0d78133061a5d924c83be12</t>
        </is>
      </c>
    </row>
    <row r="46">
      <c r="A46" t="inlineStr">
        <is>
          <t>156</t>
        </is>
      </c>
      <c r="B46" t="inlineStr">
        <is>
          <t>7648230418</t>
        </is>
      </c>
      <c r="C46" t="inlineStr">
        <is>
          <t>2026-01-02 00:06:04</t>
        </is>
      </c>
      <c r="D46" t="inlineStr">
        <is>
          <t>1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229</v>
      </c>
      <c r="P46" t="n">
        <v>3.5</v>
      </c>
      <c r="Q46" t="n">
        <v>0</v>
      </c>
      <c r="R46" t="n">
        <v>68.7</v>
      </c>
      <c r="S46" t="n">
        <v>0</v>
      </c>
      <c r="T46" t="n">
        <v>0</v>
      </c>
      <c r="U46" t="n">
        <v>0</v>
      </c>
      <c r="V46" t="n">
        <v>8.19</v>
      </c>
      <c r="W46" t="n">
        <v>171.99</v>
      </c>
      <c r="X46" t="n">
        <v>163.8</v>
      </c>
      <c r="Y46" t="n">
        <v>19</v>
      </c>
      <c r="Z46" t="n">
        <v>31.12</v>
      </c>
      <c r="AA46" t="n">
        <v>3.16</v>
      </c>
      <c r="AB46" t="n">
        <v>34.28</v>
      </c>
      <c r="AC46" t="n">
        <v>6.17</v>
      </c>
      <c r="AD46" t="n">
        <v>0</v>
      </c>
      <c r="AE46" t="n">
        <v>163.8</v>
      </c>
      <c r="AF46" t="n">
        <v>0</v>
      </c>
      <c r="AG46" t="n">
        <v>0</v>
      </c>
      <c r="AH46" t="n">
        <v>0.16</v>
      </c>
      <c r="AI46" t="n">
        <v>8.199999999999999</v>
      </c>
      <c r="AJ46" t="n">
        <v>-0.01</v>
      </c>
      <c r="AK46" t="n">
        <v>14.53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48.81</v>
      </c>
      <c r="AV46" t="n">
        <v>0</v>
      </c>
      <c r="AW46" t="n">
        <v>123.18</v>
      </c>
      <c r="AX46" t="inlineStr">
        <is>
          <t>settled</t>
        </is>
      </c>
      <c r="AY46" t="inlineStr">
        <is>
          <t>2026-01-07 05:30:00</t>
        </is>
      </c>
      <c r="AZ46" t="inlineStr">
        <is>
          <t>CITIN26602720826</t>
        </is>
      </c>
      <c r="BA46" t="n">
        <v>0</v>
      </c>
      <c r="BB46" t="inlineStr">
        <is>
          <t>df4dec4077a226b1dd7b92df9c67f5a60ca21c19002a2dfdeb6afb9d1ed3a601</t>
        </is>
      </c>
    </row>
    <row r="47">
      <c r="A47" t="inlineStr">
        <is>
          <t>157</t>
        </is>
      </c>
      <c r="B47" t="inlineStr">
        <is>
          <t>7642521514</t>
        </is>
      </c>
      <c r="C47" t="inlineStr">
        <is>
          <t>2026-01-02 00:15:34</t>
        </is>
      </c>
      <c r="D47" t="inlineStr">
        <is>
          <t>1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219</v>
      </c>
      <c r="P47" t="n">
        <v>3.5</v>
      </c>
      <c r="Q47" t="n">
        <v>0</v>
      </c>
      <c r="R47" t="n">
        <v>65.7</v>
      </c>
      <c r="S47" t="n">
        <v>0</v>
      </c>
      <c r="T47" t="n">
        <v>0</v>
      </c>
      <c r="U47" t="n">
        <v>0</v>
      </c>
      <c r="V47" t="n">
        <v>7.84</v>
      </c>
      <c r="W47" t="n">
        <v>164.64</v>
      </c>
      <c r="X47" t="n">
        <v>156.8</v>
      </c>
      <c r="Y47" t="n">
        <v>19</v>
      </c>
      <c r="Z47" t="n">
        <v>29.79</v>
      </c>
      <c r="AA47" t="n">
        <v>3.03</v>
      </c>
      <c r="AB47" t="n">
        <v>32.82</v>
      </c>
      <c r="AC47" t="n">
        <v>5.91</v>
      </c>
      <c r="AD47" t="n">
        <v>0</v>
      </c>
      <c r="AE47" t="n">
        <v>156.8</v>
      </c>
      <c r="AF47" t="n">
        <v>0</v>
      </c>
      <c r="AG47" t="n">
        <v>0</v>
      </c>
      <c r="AH47" t="n">
        <v>0.16</v>
      </c>
      <c r="AI47" t="n">
        <v>7.85</v>
      </c>
      <c r="AJ47" t="n">
        <v>-0.01</v>
      </c>
      <c r="AK47" t="n">
        <v>13.92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46.74</v>
      </c>
      <c r="AV47" t="n">
        <v>0</v>
      </c>
      <c r="AW47" t="n">
        <v>117.9</v>
      </c>
      <c r="AX47" t="inlineStr">
        <is>
          <t>settled</t>
        </is>
      </c>
      <c r="AY47" t="inlineStr">
        <is>
          <t>2026-01-07 05:30:00</t>
        </is>
      </c>
      <c r="AZ47" t="inlineStr">
        <is>
          <t>CITIN26602720826</t>
        </is>
      </c>
      <c r="BA47" t="n">
        <v>0</v>
      </c>
      <c r="BB47" t="inlineStr">
        <is>
          <t>c06cb8121103eef6bb1f3d099d90b9f5ad66b406c027587020d5e13bab91cc88</t>
        </is>
      </c>
    </row>
    <row r="48">
      <c r="A48" t="inlineStr">
        <is>
          <t>158</t>
        </is>
      </c>
      <c r="B48" t="inlineStr">
        <is>
          <t>7647693089</t>
        </is>
      </c>
      <c r="C48" t="inlineStr">
        <is>
          <t>2026-01-02 00:18:00</t>
        </is>
      </c>
      <c r="D48" t="inlineStr">
        <is>
          <t>1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NA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229</v>
      </c>
      <c r="P48" t="n">
        <v>3.5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11.63</v>
      </c>
      <c r="W48" t="n">
        <v>244.13</v>
      </c>
      <c r="X48" t="n">
        <v>232.5</v>
      </c>
      <c r="Y48" t="n">
        <v>19</v>
      </c>
      <c r="Z48" t="n">
        <v>44.18</v>
      </c>
      <c r="AA48" t="n">
        <v>4.49</v>
      </c>
      <c r="AB48" t="n">
        <v>48.67</v>
      </c>
      <c r="AC48" t="n">
        <v>8.76</v>
      </c>
      <c r="AD48" t="n">
        <v>0</v>
      </c>
      <c r="AE48" t="n">
        <v>232.5</v>
      </c>
      <c r="AF48" t="n">
        <v>0</v>
      </c>
      <c r="AG48" t="n">
        <v>0</v>
      </c>
      <c r="AH48" t="n">
        <v>0.23</v>
      </c>
      <c r="AI48" t="n">
        <v>11.63</v>
      </c>
      <c r="AJ48" t="n">
        <v>0</v>
      </c>
      <c r="AK48" t="n">
        <v>20.62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69.29000000000001</v>
      </c>
      <c r="AV48" t="n">
        <v>0</v>
      </c>
      <c r="AW48" t="n">
        <v>174.84</v>
      </c>
      <c r="AX48" t="inlineStr">
        <is>
          <t>settled</t>
        </is>
      </c>
      <c r="AY48" t="inlineStr">
        <is>
          <t>2026-01-07 05:30:00</t>
        </is>
      </c>
      <c r="AZ48" t="inlineStr">
        <is>
          <t>CITIN26602720826</t>
        </is>
      </c>
      <c r="BA48" t="n">
        <v>0</v>
      </c>
      <c r="BB48" t="inlineStr">
        <is>
          <t>c2a04db8b65ad6ee2c3c6b551057c5e8cc1625669f7bb424fea3cc11f582f20d</t>
        </is>
      </c>
    </row>
    <row r="49">
      <c r="A49" t="inlineStr">
        <is>
          <t>159</t>
        </is>
      </c>
      <c r="B49" t="inlineStr">
        <is>
          <t>7640073678</t>
        </is>
      </c>
      <c r="C49" t="inlineStr">
        <is>
          <t>2026-01-02 00:34:30</t>
        </is>
      </c>
      <c r="D49" t="inlineStr">
        <is>
          <t>1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229</v>
      </c>
      <c r="P49" t="n">
        <v>3.5</v>
      </c>
      <c r="Q49" t="n">
        <v>0</v>
      </c>
      <c r="R49" t="n">
        <v>68.7</v>
      </c>
      <c r="S49" t="n">
        <v>0</v>
      </c>
      <c r="T49" t="n">
        <v>0</v>
      </c>
      <c r="U49" t="n">
        <v>0</v>
      </c>
      <c r="V49" t="n">
        <v>8.19</v>
      </c>
      <c r="W49" t="n">
        <v>171.99</v>
      </c>
      <c r="X49" t="n">
        <v>163.8</v>
      </c>
      <c r="Y49" t="n">
        <v>19</v>
      </c>
      <c r="Z49" t="n">
        <v>31.12</v>
      </c>
      <c r="AA49" t="n">
        <v>3.16</v>
      </c>
      <c r="AB49" t="n">
        <v>34.28</v>
      </c>
      <c r="AC49" t="n">
        <v>6.17</v>
      </c>
      <c r="AD49" t="n">
        <v>0</v>
      </c>
      <c r="AE49" t="n">
        <v>163.8</v>
      </c>
      <c r="AF49" t="n">
        <v>0</v>
      </c>
      <c r="AG49" t="n">
        <v>0</v>
      </c>
      <c r="AH49" t="n">
        <v>0.16</v>
      </c>
      <c r="AI49" t="n">
        <v>8.199999999999999</v>
      </c>
      <c r="AJ49" t="n">
        <v>-0.01</v>
      </c>
      <c r="AK49" t="n">
        <v>14.53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48.81</v>
      </c>
      <c r="AV49" t="n">
        <v>0</v>
      </c>
      <c r="AW49" t="n">
        <v>123.18</v>
      </c>
      <c r="AX49" t="inlineStr">
        <is>
          <t>settled</t>
        </is>
      </c>
      <c r="AY49" t="inlineStr">
        <is>
          <t>2026-01-07 05:30:00</t>
        </is>
      </c>
      <c r="AZ49" t="inlineStr">
        <is>
          <t>CITIN26602720826</t>
        </is>
      </c>
      <c r="BA49" t="n">
        <v>0</v>
      </c>
      <c r="BB49" t="inlineStr">
        <is>
          <t>b4d3bac9ea5c4e65aede9bb5725f6f27fadbac2831f4eac45bec65716acbcaa5</t>
        </is>
      </c>
    </row>
    <row r="50">
      <c r="A50" t="inlineStr">
        <is>
          <t>160</t>
        </is>
      </c>
      <c r="B50" t="inlineStr">
        <is>
          <t>7646426834</t>
        </is>
      </c>
      <c r="C50" t="inlineStr">
        <is>
          <t>2026-01-02 00:58:40</t>
        </is>
      </c>
      <c r="D50" t="inlineStr">
        <is>
          <t>1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NA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229</v>
      </c>
      <c r="P50" t="n">
        <v>3.5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11.63</v>
      </c>
      <c r="W50" t="n">
        <v>244.13</v>
      </c>
      <c r="X50" t="n">
        <v>232.5</v>
      </c>
      <c r="Y50" t="n">
        <v>19</v>
      </c>
      <c r="Z50" t="n">
        <v>44.18</v>
      </c>
      <c r="AA50" t="n">
        <v>4.49</v>
      </c>
      <c r="AB50" t="n">
        <v>48.67</v>
      </c>
      <c r="AC50" t="n">
        <v>8.76</v>
      </c>
      <c r="AD50" t="n">
        <v>0</v>
      </c>
      <c r="AE50" t="n">
        <v>232.5</v>
      </c>
      <c r="AF50" t="n">
        <v>0</v>
      </c>
      <c r="AG50" t="n">
        <v>0</v>
      </c>
      <c r="AH50" t="n">
        <v>0.23</v>
      </c>
      <c r="AI50" t="n">
        <v>11.63</v>
      </c>
      <c r="AJ50" t="n">
        <v>0</v>
      </c>
      <c r="AK50" t="n">
        <v>20.62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69.29000000000001</v>
      </c>
      <c r="AV50" t="n">
        <v>0</v>
      </c>
      <c r="AW50" t="n">
        <v>174.84</v>
      </c>
      <c r="AX50" t="inlineStr">
        <is>
          <t>settled</t>
        </is>
      </c>
      <c r="AY50" t="inlineStr">
        <is>
          <t>2026-01-07 05:30:00</t>
        </is>
      </c>
      <c r="AZ50" t="inlineStr">
        <is>
          <t>CITIN26602720826</t>
        </is>
      </c>
      <c r="BA50" t="n">
        <v>0</v>
      </c>
      <c r="BB50" t="inlineStr">
        <is>
          <t>d5b34139329cfb18258b035904a31a9a7b0c5f81afcfbd21efa074a61b00b701</t>
        </is>
      </c>
    </row>
    <row r="51">
      <c r="A51" t="inlineStr">
        <is>
          <t>161</t>
        </is>
      </c>
      <c r="B51" t="inlineStr">
        <is>
          <t>7642651230</t>
        </is>
      </c>
      <c r="C51" t="inlineStr">
        <is>
          <t>2026-01-02 01:00:59</t>
        </is>
      </c>
      <c r="D51" t="inlineStr">
        <is>
          <t>1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345</v>
      </c>
      <c r="P51" t="n">
        <v>3.5</v>
      </c>
      <c r="Q51" t="n">
        <v>0</v>
      </c>
      <c r="R51" t="n">
        <v>75</v>
      </c>
      <c r="S51" t="n">
        <v>0</v>
      </c>
      <c r="T51" t="n">
        <v>0</v>
      </c>
      <c r="U51" t="n">
        <v>0</v>
      </c>
      <c r="V51" t="n">
        <v>13.68</v>
      </c>
      <c r="W51" t="n">
        <v>287.18</v>
      </c>
      <c r="X51" t="n">
        <v>273.5</v>
      </c>
      <c r="Y51" t="n">
        <v>19</v>
      </c>
      <c r="Z51" t="n">
        <v>51.96</v>
      </c>
      <c r="AA51" t="n">
        <v>5.28</v>
      </c>
      <c r="AB51" t="n">
        <v>57.24</v>
      </c>
      <c r="AC51" t="n">
        <v>10.3</v>
      </c>
      <c r="AD51" t="n">
        <v>0</v>
      </c>
      <c r="AE51" t="n">
        <v>273.5</v>
      </c>
      <c r="AF51" t="n">
        <v>0</v>
      </c>
      <c r="AG51" t="n">
        <v>0</v>
      </c>
      <c r="AH51" t="n">
        <v>0.27</v>
      </c>
      <c r="AI51" t="n">
        <v>13.68</v>
      </c>
      <c r="AJ51" t="n">
        <v>0</v>
      </c>
      <c r="AK51" t="n">
        <v>24.25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81.48999999999999</v>
      </c>
      <c r="AV51" t="n">
        <v>0</v>
      </c>
      <c r="AW51" t="n">
        <v>205.69</v>
      </c>
      <c r="AX51" t="inlineStr">
        <is>
          <t>settled</t>
        </is>
      </c>
      <c r="AY51" t="inlineStr">
        <is>
          <t>2026-01-07 05:30:00</t>
        </is>
      </c>
      <c r="AZ51" t="inlineStr">
        <is>
          <t>CITIN26602720826</t>
        </is>
      </c>
      <c r="BA51" t="n">
        <v>0</v>
      </c>
      <c r="BB51" t="inlineStr">
        <is>
          <t>1fc07e40a43b70b10253ca1178ea751efbfdc0ed8d8e12478b10387f30c50f86</t>
        </is>
      </c>
    </row>
    <row r="52">
      <c r="A52" t="inlineStr">
        <is>
          <t>162</t>
        </is>
      </c>
      <c r="B52" t="inlineStr">
        <is>
          <t>7644833784</t>
        </is>
      </c>
      <c r="C52" t="inlineStr">
        <is>
          <t>2026-01-02 01:19:06</t>
        </is>
      </c>
      <c r="D52" t="inlineStr">
        <is>
          <t>1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584</v>
      </c>
      <c r="P52" t="n">
        <v>3.5</v>
      </c>
      <c r="Q52" t="n">
        <v>0</v>
      </c>
      <c r="R52" t="n">
        <v>75</v>
      </c>
      <c r="S52" t="n">
        <v>0</v>
      </c>
      <c r="T52" t="n">
        <v>0</v>
      </c>
      <c r="U52" t="n">
        <v>0</v>
      </c>
      <c r="V52" t="n">
        <v>25.63</v>
      </c>
      <c r="W52" t="n">
        <v>538.13</v>
      </c>
      <c r="X52" t="n">
        <v>512.5</v>
      </c>
      <c r="Y52" t="n">
        <v>19</v>
      </c>
      <c r="Z52" t="n">
        <v>97.38</v>
      </c>
      <c r="AA52" t="n">
        <v>9.9</v>
      </c>
      <c r="AB52" t="n">
        <v>107.28</v>
      </c>
      <c r="AC52" t="n">
        <v>19.31</v>
      </c>
      <c r="AD52" t="n">
        <v>0</v>
      </c>
      <c r="AE52" t="n">
        <v>512.5</v>
      </c>
      <c r="AF52" t="n">
        <v>0</v>
      </c>
      <c r="AG52" t="n">
        <v>0</v>
      </c>
      <c r="AH52" t="n">
        <v>0.51</v>
      </c>
      <c r="AI52" t="n">
        <v>25.63</v>
      </c>
      <c r="AJ52" t="n">
        <v>0</v>
      </c>
      <c r="AK52" t="n">
        <v>45.45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152.73</v>
      </c>
      <c r="AV52" t="n">
        <v>0</v>
      </c>
      <c r="AW52" t="n">
        <v>385.4</v>
      </c>
      <c r="AX52" t="inlineStr">
        <is>
          <t>settled</t>
        </is>
      </c>
      <c r="AY52" t="inlineStr">
        <is>
          <t>2026-01-07 05:30:00</t>
        </is>
      </c>
      <c r="AZ52" t="inlineStr">
        <is>
          <t>CITIN26602720826</t>
        </is>
      </c>
      <c r="BA52" t="n">
        <v>0</v>
      </c>
      <c r="BB52" t="inlineStr">
        <is>
          <t>d6813a81200776d40d61edfb3af98da23a8d941c4df72991d555bdd0057036d7</t>
        </is>
      </c>
    </row>
    <row r="53">
      <c r="A53" t="inlineStr">
        <is>
          <t>163</t>
        </is>
      </c>
      <c r="B53" t="inlineStr">
        <is>
          <t>7640413290</t>
        </is>
      </c>
      <c r="C53" t="inlineStr">
        <is>
          <t>2026-01-02 01:22:03</t>
        </is>
      </c>
      <c r="D53" t="inlineStr">
        <is>
          <t>1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448</v>
      </c>
      <c r="P53" t="n">
        <v>3.5</v>
      </c>
      <c r="Q53" t="n">
        <v>0</v>
      </c>
      <c r="R53" t="n">
        <v>75</v>
      </c>
      <c r="S53" t="n">
        <v>0</v>
      </c>
      <c r="T53" t="n">
        <v>0</v>
      </c>
      <c r="U53" t="n">
        <v>0</v>
      </c>
      <c r="V53" t="n">
        <v>18.83</v>
      </c>
      <c r="W53" t="n">
        <v>395.33</v>
      </c>
      <c r="X53" t="n">
        <v>376.5</v>
      </c>
      <c r="Y53" t="n">
        <v>19</v>
      </c>
      <c r="Z53" t="n">
        <v>71.54000000000001</v>
      </c>
      <c r="AA53" t="n">
        <v>7.27</v>
      </c>
      <c r="AB53" t="n">
        <v>78.81</v>
      </c>
      <c r="AC53" t="n">
        <v>14.19</v>
      </c>
      <c r="AD53" t="n">
        <v>0</v>
      </c>
      <c r="AE53" t="n">
        <v>376.5</v>
      </c>
      <c r="AF53" t="n">
        <v>0</v>
      </c>
      <c r="AG53" t="n">
        <v>0</v>
      </c>
      <c r="AH53" t="n">
        <v>0.38</v>
      </c>
      <c r="AI53" t="n">
        <v>18.83</v>
      </c>
      <c r="AJ53" t="n">
        <v>0</v>
      </c>
      <c r="AK53" t="n">
        <v>33.4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112.21</v>
      </c>
      <c r="AV53" t="n">
        <v>0</v>
      </c>
      <c r="AW53" t="n">
        <v>283.12</v>
      </c>
      <c r="AX53" t="inlineStr">
        <is>
          <t>settled</t>
        </is>
      </c>
      <c r="AY53" t="inlineStr">
        <is>
          <t>2026-01-07 05:30:00</t>
        </is>
      </c>
      <c r="AZ53" t="inlineStr">
        <is>
          <t>CITIN26602720826</t>
        </is>
      </c>
      <c r="BA53" t="n">
        <v>0</v>
      </c>
      <c r="BB53" t="inlineStr">
        <is>
          <t>5e10b26f9aff75d17eeea921f00876af97df449bb7058c52d50a47b42959855b</t>
        </is>
      </c>
    </row>
    <row r="54">
      <c r="A54" t="inlineStr">
        <is>
          <t>164</t>
        </is>
      </c>
      <c r="B54" t="inlineStr">
        <is>
          <t>7644222526</t>
        </is>
      </c>
      <c r="C54" t="inlineStr">
        <is>
          <t>2026-01-02 01:30:14</t>
        </is>
      </c>
      <c r="D54" t="inlineStr">
        <is>
          <t>1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229</v>
      </c>
      <c r="P54" t="n">
        <v>3.5</v>
      </c>
      <c r="Q54" t="n">
        <v>0</v>
      </c>
      <c r="R54" t="n">
        <v>68.7</v>
      </c>
      <c r="S54" t="n">
        <v>0</v>
      </c>
      <c r="T54" t="n">
        <v>0</v>
      </c>
      <c r="U54" t="n">
        <v>0</v>
      </c>
      <c r="V54" t="n">
        <v>8.19</v>
      </c>
      <c r="W54" t="n">
        <v>171.99</v>
      </c>
      <c r="X54" t="n">
        <v>163.8</v>
      </c>
      <c r="Y54" t="n">
        <v>19</v>
      </c>
      <c r="Z54" t="n">
        <v>31.12</v>
      </c>
      <c r="AA54" t="n">
        <v>3.16</v>
      </c>
      <c r="AB54" t="n">
        <v>34.28</v>
      </c>
      <c r="AC54" t="n">
        <v>6.17</v>
      </c>
      <c r="AD54" t="n">
        <v>0</v>
      </c>
      <c r="AE54" t="n">
        <v>163.8</v>
      </c>
      <c r="AF54" t="n">
        <v>0</v>
      </c>
      <c r="AG54" t="n">
        <v>0</v>
      </c>
      <c r="AH54" t="n">
        <v>0.16</v>
      </c>
      <c r="AI54" t="n">
        <v>8.199999999999999</v>
      </c>
      <c r="AJ54" t="n">
        <v>-0.01</v>
      </c>
      <c r="AK54" t="n">
        <v>14.53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48.81</v>
      </c>
      <c r="AV54" t="n">
        <v>0</v>
      </c>
      <c r="AW54" t="n">
        <v>123.18</v>
      </c>
      <c r="AX54" t="inlineStr">
        <is>
          <t>settled</t>
        </is>
      </c>
      <c r="AY54" t="inlineStr">
        <is>
          <t>2026-01-07 05:30:00</t>
        </is>
      </c>
      <c r="AZ54" t="inlineStr">
        <is>
          <t>CITIN26602720826</t>
        </is>
      </c>
      <c r="BA54" t="n">
        <v>0</v>
      </c>
      <c r="BB54" t="inlineStr">
        <is>
          <t>1c646508b5fd1ce91f1ce270e1579a7ff213be35abbb2e40c310051d7a039fb9</t>
        </is>
      </c>
    </row>
    <row r="55">
      <c r="A55" t="inlineStr">
        <is>
          <t>165</t>
        </is>
      </c>
      <c r="B55" t="inlineStr">
        <is>
          <t>7645680269</t>
        </is>
      </c>
      <c r="C55" t="inlineStr">
        <is>
          <t>2026-01-02 01:31:00</t>
        </is>
      </c>
      <c r="D55" t="inlineStr">
        <is>
          <t>1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NA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674</v>
      </c>
      <c r="P55" t="n">
        <v>3.5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33.88</v>
      </c>
      <c r="W55" t="n">
        <v>711.38</v>
      </c>
      <c r="X55" t="n">
        <v>677.5</v>
      </c>
      <c r="Y55" t="n">
        <v>19</v>
      </c>
      <c r="Z55" t="n">
        <v>128.72</v>
      </c>
      <c r="AA55" t="n">
        <v>13.09</v>
      </c>
      <c r="AB55" t="n">
        <v>141.81</v>
      </c>
      <c r="AC55" t="n">
        <v>25.53</v>
      </c>
      <c r="AD55" t="n">
        <v>0</v>
      </c>
      <c r="AE55" t="n">
        <v>677.5</v>
      </c>
      <c r="AF55" t="n">
        <v>0</v>
      </c>
      <c r="AG55" t="n">
        <v>0</v>
      </c>
      <c r="AH55" t="n">
        <v>0.68</v>
      </c>
      <c r="AI55" t="n">
        <v>33.88</v>
      </c>
      <c r="AJ55" t="n">
        <v>0</v>
      </c>
      <c r="AK55" t="n">
        <v>60.09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201.9</v>
      </c>
      <c r="AV55" t="n">
        <v>0</v>
      </c>
      <c r="AW55" t="n">
        <v>509.48</v>
      </c>
      <c r="AX55" t="inlineStr">
        <is>
          <t>settled</t>
        </is>
      </c>
      <c r="AY55" t="inlineStr">
        <is>
          <t>2026-01-07 05:30:00</t>
        </is>
      </c>
      <c r="AZ55" t="inlineStr">
        <is>
          <t>CITIN26602720826</t>
        </is>
      </c>
      <c r="BA55" t="n">
        <v>0</v>
      </c>
      <c r="BB55" t="inlineStr">
        <is>
          <t>df71322a24919a8653166bba3f8c62fbc3954f9d043ea444b1c44f1a8308a362</t>
        </is>
      </c>
    </row>
    <row r="56">
      <c r="A56" t="inlineStr">
        <is>
          <t>166</t>
        </is>
      </c>
      <c r="B56" t="inlineStr">
        <is>
          <t>7646954420</t>
        </is>
      </c>
      <c r="C56" t="inlineStr">
        <is>
          <t>2026-01-02 01:51:01</t>
        </is>
      </c>
      <c r="D56" t="inlineStr">
        <is>
          <t>1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30% off upto ₹75 (2025-06-25 - 2031-01-01)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345</v>
      </c>
      <c r="P56" t="n">
        <v>3.5</v>
      </c>
      <c r="Q56" t="n">
        <v>0</v>
      </c>
      <c r="R56" t="n">
        <v>75</v>
      </c>
      <c r="S56" t="n">
        <v>0</v>
      </c>
      <c r="T56" t="n">
        <v>0</v>
      </c>
      <c r="U56" t="n">
        <v>0</v>
      </c>
      <c r="V56" t="n">
        <v>13.68</v>
      </c>
      <c r="W56" t="n">
        <v>287.18</v>
      </c>
      <c r="X56" t="n">
        <v>273.5</v>
      </c>
      <c r="Y56" t="n">
        <v>19</v>
      </c>
      <c r="Z56" t="n">
        <v>51.96</v>
      </c>
      <c r="AA56" t="n">
        <v>5.28</v>
      </c>
      <c r="AB56" t="n">
        <v>57.24</v>
      </c>
      <c r="AC56" t="n">
        <v>10.3</v>
      </c>
      <c r="AD56" t="n">
        <v>0</v>
      </c>
      <c r="AE56" t="n">
        <v>273.5</v>
      </c>
      <c r="AF56" t="n">
        <v>0</v>
      </c>
      <c r="AG56" t="n">
        <v>0</v>
      </c>
      <c r="AH56" t="n">
        <v>0.27</v>
      </c>
      <c r="AI56" t="n">
        <v>13.68</v>
      </c>
      <c r="AJ56" t="n">
        <v>0</v>
      </c>
      <c r="AK56" t="n">
        <v>24.25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81.48999999999999</v>
      </c>
      <c r="AV56" t="n">
        <v>0</v>
      </c>
      <c r="AW56" t="n">
        <v>205.69</v>
      </c>
      <c r="AX56" t="inlineStr">
        <is>
          <t>settled</t>
        </is>
      </c>
      <c r="AY56" t="inlineStr">
        <is>
          <t>2026-01-07 05:30:00</t>
        </is>
      </c>
      <c r="AZ56" t="inlineStr">
        <is>
          <t>CITIN26602720826</t>
        </is>
      </c>
      <c r="BA56" t="n">
        <v>0</v>
      </c>
      <c r="BB56" t="inlineStr">
        <is>
          <t>f1f8a6f1b8e95a433affde62d4b0814ad26d619203991444f0087d8a9d669cfc</t>
        </is>
      </c>
    </row>
    <row r="57">
      <c r="A57" t="inlineStr">
        <is>
          <t>167</t>
        </is>
      </c>
      <c r="B57" t="inlineStr">
        <is>
          <t>7645803852</t>
        </is>
      </c>
      <c r="C57" t="inlineStr">
        <is>
          <t>2026-01-02 01:57:52</t>
        </is>
      </c>
      <c r="D57" t="inlineStr">
        <is>
          <t>1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settled</t>
        </is>
      </c>
      <c r="AY57" t="inlineStr">
        <is>
          <t>2026-01-07 05:30:00</t>
        </is>
      </c>
      <c r="AZ57" t="inlineStr">
        <is>
          <t>CITIN26602720826</t>
        </is>
      </c>
      <c r="BA57" t="n">
        <v>0</v>
      </c>
      <c r="BB57" t="inlineStr">
        <is>
          <t>04aeb55a0c79b660e46753d324267ab7d9a5d28af57f20fc5092ff990defbe44</t>
        </is>
      </c>
    </row>
    <row r="58">
      <c r="A58" t="inlineStr">
        <is>
          <t>168</t>
        </is>
      </c>
      <c r="B58" t="inlineStr">
        <is>
          <t>7648378549</t>
        </is>
      </c>
      <c r="C58" t="inlineStr">
        <is>
          <t>2026-01-02 02:00:56</t>
        </is>
      </c>
      <c r="D58" t="inlineStr">
        <is>
          <t>1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2026-01-07 05:30:00</t>
        </is>
      </c>
      <c r="AZ58" t="inlineStr">
        <is>
          <t>CITIN26602720826</t>
        </is>
      </c>
      <c r="BA58" t="n">
        <v>0</v>
      </c>
      <c r="BB58" t="inlineStr">
        <is>
          <t>ac959b86336b04b06bbbb58e74886ff52a964329cfc7eafa2e6b99e2490579d1</t>
        </is>
      </c>
    </row>
    <row r="59">
      <c r="A59" t="inlineStr">
        <is>
          <t>169</t>
        </is>
      </c>
      <c r="B59" t="inlineStr">
        <is>
          <t>7647838623</t>
        </is>
      </c>
      <c r="C59" t="inlineStr">
        <is>
          <t>2026-01-02 02:23:59</t>
        </is>
      </c>
      <c r="D59" t="inlineStr">
        <is>
          <t>1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30% off upto ₹75 (2025-06-25 - 2031-01-01)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219</v>
      </c>
      <c r="P59" t="n">
        <v>3.5</v>
      </c>
      <c r="Q59" t="n">
        <v>0</v>
      </c>
      <c r="R59" t="n">
        <v>65.7</v>
      </c>
      <c r="S59" t="n">
        <v>0</v>
      </c>
      <c r="T59" t="n">
        <v>0</v>
      </c>
      <c r="U59" t="n">
        <v>0</v>
      </c>
      <c r="V59" t="n">
        <v>7.84</v>
      </c>
      <c r="W59" t="n">
        <v>164.64</v>
      </c>
      <c r="X59" t="n">
        <v>156.8</v>
      </c>
      <c r="Y59" t="n">
        <v>19</v>
      </c>
      <c r="Z59" t="n">
        <v>29.79</v>
      </c>
      <c r="AA59" t="n">
        <v>3.03</v>
      </c>
      <c r="AB59" t="n">
        <v>32.82</v>
      </c>
      <c r="AC59" t="n">
        <v>5.91</v>
      </c>
      <c r="AD59" t="n">
        <v>0</v>
      </c>
      <c r="AE59" t="n">
        <v>156.8</v>
      </c>
      <c r="AF59" t="n">
        <v>0</v>
      </c>
      <c r="AG59" t="n">
        <v>0</v>
      </c>
      <c r="AH59" t="n">
        <v>0.16</v>
      </c>
      <c r="AI59" t="n">
        <v>7.85</v>
      </c>
      <c r="AJ59" t="n">
        <v>-0.01</v>
      </c>
      <c r="AK59" t="n">
        <v>13.92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46.74</v>
      </c>
      <c r="AV59" t="n">
        <v>0</v>
      </c>
      <c r="AW59" t="n">
        <v>117.9</v>
      </c>
      <c r="AX59" t="inlineStr">
        <is>
          <t>settled</t>
        </is>
      </c>
      <c r="AY59" t="inlineStr">
        <is>
          <t>2026-01-07 05:30:00</t>
        </is>
      </c>
      <c r="AZ59" t="inlineStr">
        <is>
          <t>CITIN26602720826</t>
        </is>
      </c>
      <c r="BA59" t="n">
        <v>0</v>
      </c>
      <c r="BB59" t="inlineStr">
        <is>
          <t>a0a7bbaeea4fca9ec62cfe8988977d882f58e4909cb19e3edf816197fdc29156</t>
        </is>
      </c>
    </row>
    <row r="60">
      <c r="A60" t="inlineStr">
        <is>
          <t>170</t>
        </is>
      </c>
      <c r="B60" t="inlineStr">
        <is>
          <t>7641139998</t>
        </is>
      </c>
      <c r="C60" t="inlineStr">
        <is>
          <t>2026-01-02 02:26:53</t>
        </is>
      </c>
      <c r="D60" t="inlineStr">
        <is>
          <t>1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687</v>
      </c>
      <c r="P60" t="n">
        <v>3.5</v>
      </c>
      <c r="Q60" t="n">
        <v>0</v>
      </c>
      <c r="R60" t="n">
        <v>75</v>
      </c>
      <c r="S60" t="n">
        <v>0</v>
      </c>
      <c r="T60" t="n">
        <v>0</v>
      </c>
      <c r="U60" t="n">
        <v>0</v>
      </c>
      <c r="V60" t="n">
        <v>30.78</v>
      </c>
      <c r="W60" t="n">
        <v>646.28</v>
      </c>
      <c r="X60" t="n">
        <v>615.5</v>
      </c>
      <c r="Y60" t="n">
        <v>19</v>
      </c>
      <c r="Z60" t="n">
        <v>116.94</v>
      </c>
      <c r="AA60" t="n">
        <v>11.89</v>
      </c>
      <c r="AB60" t="n">
        <v>128.83</v>
      </c>
      <c r="AC60" t="n">
        <v>23.19</v>
      </c>
      <c r="AD60" t="n">
        <v>0</v>
      </c>
      <c r="AE60" t="n">
        <v>615.5</v>
      </c>
      <c r="AF60" t="n">
        <v>0</v>
      </c>
      <c r="AG60" t="n">
        <v>0</v>
      </c>
      <c r="AH60" t="n">
        <v>0.62</v>
      </c>
      <c r="AI60" t="n">
        <v>30.78</v>
      </c>
      <c r="AJ60" t="n">
        <v>0</v>
      </c>
      <c r="AK60" t="n">
        <v>54.59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183.42</v>
      </c>
      <c r="AV60" t="n">
        <v>0</v>
      </c>
      <c r="AW60" t="n">
        <v>462.86</v>
      </c>
      <c r="AX60" t="inlineStr">
        <is>
          <t>settled</t>
        </is>
      </c>
      <c r="AY60" t="inlineStr">
        <is>
          <t>2026-01-07 05:30:00</t>
        </is>
      </c>
      <c r="AZ60" t="inlineStr">
        <is>
          <t>CITIN26602720826</t>
        </is>
      </c>
      <c r="BA60" t="n">
        <v>0</v>
      </c>
      <c r="BB60" t="inlineStr">
        <is>
          <t>bd3d5377beebdb72fbd4864c2fcda3e26a095db56441e10732085604b1b3ef57</t>
        </is>
      </c>
    </row>
    <row r="61">
      <c r="A61" t="inlineStr">
        <is>
          <t>171</t>
        </is>
      </c>
      <c r="B61" t="inlineStr">
        <is>
          <t>7646002197</t>
        </is>
      </c>
      <c r="C61" t="inlineStr">
        <is>
          <t>2026-01-02 02:32:01</t>
        </is>
      </c>
      <c r="D61" t="inlineStr">
        <is>
          <t>1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30% off upto ₹75 (2025-06-25 - 2031-01-01)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68.7</v>
      </c>
      <c r="S61" t="n">
        <v>0</v>
      </c>
      <c r="T61" t="n">
        <v>0</v>
      </c>
      <c r="U61" t="n">
        <v>0</v>
      </c>
      <c r="V61" t="n">
        <v>8.19</v>
      </c>
      <c r="W61" t="n">
        <v>171.99</v>
      </c>
      <c r="X61" t="n">
        <v>163.8</v>
      </c>
      <c r="Y61" t="n">
        <v>19</v>
      </c>
      <c r="Z61" t="n">
        <v>31.12</v>
      </c>
      <c r="AA61" t="n">
        <v>3.16</v>
      </c>
      <c r="AB61" t="n">
        <v>34.28</v>
      </c>
      <c r="AC61" t="n">
        <v>6.17</v>
      </c>
      <c r="AD61" t="n">
        <v>0</v>
      </c>
      <c r="AE61" t="n">
        <v>163.8</v>
      </c>
      <c r="AF61" t="n">
        <v>0</v>
      </c>
      <c r="AG61" t="n">
        <v>0</v>
      </c>
      <c r="AH61" t="n">
        <v>0.16</v>
      </c>
      <c r="AI61" t="n">
        <v>8.199999999999999</v>
      </c>
      <c r="AJ61" t="n">
        <v>-0.01</v>
      </c>
      <c r="AK61" t="n">
        <v>14.53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48.81</v>
      </c>
      <c r="AV61" t="n">
        <v>0</v>
      </c>
      <c r="AW61" t="n">
        <v>123.18</v>
      </c>
      <c r="AX61" t="inlineStr">
        <is>
          <t>settled</t>
        </is>
      </c>
      <c r="AY61" t="inlineStr">
        <is>
          <t>2026-01-07 05:30:00</t>
        </is>
      </c>
      <c r="AZ61" t="inlineStr">
        <is>
          <t>CITIN26602720826</t>
        </is>
      </c>
      <c r="BA61" t="n">
        <v>0</v>
      </c>
      <c r="BB61" t="inlineStr">
        <is>
          <t>0e85dd732cbade7b80ca44bd839b2a04c86892f821ea2f82b7031dc45186dfd6</t>
        </is>
      </c>
    </row>
    <row r="62">
      <c r="A62" t="inlineStr">
        <is>
          <t>172</t>
        </is>
      </c>
      <c r="B62" t="inlineStr">
        <is>
          <t>7637246793</t>
        </is>
      </c>
      <c r="C62" t="inlineStr">
        <is>
          <t>2026-01-02 02:32:02</t>
        </is>
      </c>
      <c r="D62" t="inlineStr">
        <is>
          <t>1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30% off upto ₹75 (2025-06-25 - 2031-01-01)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229</v>
      </c>
      <c r="P62" t="n">
        <v>3.5</v>
      </c>
      <c r="Q62" t="n">
        <v>0</v>
      </c>
      <c r="R62" t="n">
        <v>68.7</v>
      </c>
      <c r="S62" t="n">
        <v>0</v>
      </c>
      <c r="T62" t="n">
        <v>0</v>
      </c>
      <c r="U62" t="n">
        <v>0</v>
      </c>
      <c r="V62" t="n">
        <v>8.19</v>
      </c>
      <c r="W62" t="n">
        <v>171.99</v>
      </c>
      <c r="X62" t="n">
        <v>163.8</v>
      </c>
      <c r="Y62" t="n">
        <v>19</v>
      </c>
      <c r="Z62" t="n">
        <v>31.12</v>
      </c>
      <c r="AA62" t="n">
        <v>3.16</v>
      </c>
      <c r="AB62" t="n">
        <v>34.28</v>
      </c>
      <c r="AC62" t="n">
        <v>6.17</v>
      </c>
      <c r="AD62" t="n">
        <v>0</v>
      </c>
      <c r="AE62" t="n">
        <v>163.8</v>
      </c>
      <c r="AF62" t="n">
        <v>0</v>
      </c>
      <c r="AG62" t="n">
        <v>0</v>
      </c>
      <c r="AH62" t="n">
        <v>0.16</v>
      </c>
      <c r="AI62" t="n">
        <v>8.199999999999999</v>
      </c>
      <c r="AJ62" t="n">
        <v>-0.01</v>
      </c>
      <c r="AK62" t="n">
        <v>14.53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48.81</v>
      </c>
      <c r="AV62" t="n">
        <v>0</v>
      </c>
      <c r="AW62" t="n">
        <v>123.18</v>
      </c>
      <c r="AX62" t="inlineStr">
        <is>
          <t>settled</t>
        </is>
      </c>
      <c r="AY62" t="inlineStr">
        <is>
          <t>2026-01-07 05:30:00</t>
        </is>
      </c>
      <c r="AZ62" t="inlineStr">
        <is>
          <t>CITIN26602720826</t>
        </is>
      </c>
      <c r="BA62" t="n">
        <v>0</v>
      </c>
      <c r="BB62" t="inlineStr">
        <is>
          <t>e6fd76cd53ea8dcca71dcb233f597d3385469fa96800a2e63dfe754eb724b56d</t>
        </is>
      </c>
    </row>
    <row r="63">
      <c r="A63" t="inlineStr">
        <is>
          <t>173</t>
        </is>
      </c>
      <c r="B63" t="inlineStr">
        <is>
          <t>7643318281</t>
        </is>
      </c>
      <c r="C63" t="inlineStr">
        <is>
          <t>2026-01-02 03:01:57</t>
        </is>
      </c>
      <c r="D63" t="inlineStr">
        <is>
          <t>1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settled</t>
        </is>
      </c>
      <c r="AY63" t="inlineStr">
        <is>
          <t>2026-01-07 05:30:00</t>
        </is>
      </c>
      <c r="AZ63" t="inlineStr">
        <is>
          <t>CITIN26602720826</t>
        </is>
      </c>
      <c r="BA63" t="n">
        <v>0</v>
      </c>
      <c r="BB63" t="inlineStr">
        <is>
          <t>de0283681212810ca0cd8cebc5b6099ac01ae3102d60a6d74360f2b89c78d678</t>
        </is>
      </c>
    </row>
    <row r="64">
      <c r="A64" t="inlineStr">
        <is>
          <t>174</t>
        </is>
      </c>
      <c r="B64" t="inlineStr">
        <is>
          <t>7642371824</t>
        </is>
      </c>
      <c r="C64" t="inlineStr">
        <is>
          <t>2026-01-02 03:16:39</t>
        </is>
      </c>
      <c r="D64" t="inlineStr">
        <is>
          <t>1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199</v>
      </c>
      <c r="P64" t="n">
        <v>3.5</v>
      </c>
      <c r="Q64" t="n">
        <v>0</v>
      </c>
      <c r="R64" t="n">
        <v>59.7</v>
      </c>
      <c r="S64" t="n">
        <v>0</v>
      </c>
      <c r="T64" t="n">
        <v>0</v>
      </c>
      <c r="U64" t="n">
        <v>0</v>
      </c>
      <c r="V64" t="n">
        <v>7.14</v>
      </c>
      <c r="W64" t="n">
        <v>149.94</v>
      </c>
      <c r="X64" t="n">
        <v>142.8</v>
      </c>
      <c r="Y64" t="n">
        <v>19</v>
      </c>
      <c r="Z64" t="n">
        <v>27.13</v>
      </c>
      <c r="AA64" t="n">
        <v>2.76</v>
      </c>
      <c r="AB64" t="n">
        <v>29.89</v>
      </c>
      <c r="AC64" t="n">
        <v>5.38</v>
      </c>
      <c r="AD64" t="n">
        <v>0</v>
      </c>
      <c r="AE64" t="n">
        <v>142.8</v>
      </c>
      <c r="AF64" t="n">
        <v>0</v>
      </c>
      <c r="AG64" t="n">
        <v>0</v>
      </c>
      <c r="AH64" t="n">
        <v>0.14</v>
      </c>
      <c r="AI64" t="n">
        <v>7.15</v>
      </c>
      <c r="AJ64" t="n">
        <v>-0.01</v>
      </c>
      <c r="AK64" t="n">
        <v>12.67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42.56</v>
      </c>
      <c r="AV64" t="n">
        <v>0</v>
      </c>
      <c r="AW64" t="n">
        <v>107.38</v>
      </c>
      <c r="AX64" t="inlineStr">
        <is>
          <t>settled</t>
        </is>
      </c>
      <c r="AY64" t="inlineStr">
        <is>
          <t>2026-01-07 05:30:00</t>
        </is>
      </c>
      <c r="AZ64" t="inlineStr">
        <is>
          <t>CITIN26602720826</t>
        </is>
      </c>
      <c r="BA64" t="n">
        <v>0</v>
      </c>
      <c r="BB64" t="inlineStr">
        <is>
          <t>e48ebca69847611d199a06cd299d8bed1deecfdd74a3c249e9019c5a5a9ae649</t>
        </is>
      </c>
    </row>
    <row r="65">
      <c r="A65" t="inlineStr">
        <is>
          <t>175</t>
        </is>
      </c>
      <c r="B65" t="inlineStr">
        <is>
          <t>7646753454</t>
        </is>
      </c>
      <c r="C65" t="inlineStr">
        <is>
          <t>2026-01-02 03:31:50</t>
        </is>
      </c>
      <c r="D65" t="inlineStr">
        <is>
          <t>1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219</v>
      </c>
      <c r="P65" t="n">
        <v>3.5</v>
      </c>
      <c r="Q65" t="n">
        <v>0</v>
      </c>
      <c r="R65" t="n">
        <v>65.7</v>
      </c>
      <c r="S65" t="n">
        <v>0</v>
      </c>
      <c r="T65" t="n">
        <v>0</v>
      </c>
      <c r="U65" t="n">
        <v>0</v>
      </c>
      <c r="V65" t="n">
        <v>7.84</v>
      </c>
      <c r="W65" t="n">
        <v>164.64</v>
      </c>
      <c r="X65" t="n">
        <v>156.8</v>
      </c>
      <c r="Y65" t="n">
        <v>19</v>
      </c>
      <c r="Z65" t="n">
        <v>29.79</v>
      </c>
      <c r="AA65" t="n">
        <v>3.03</v>
      </c>
      <c r="AB65" t="n">
        <v>32.82</v>
      </c>
      <c r="AC65" t="n">
        <v>5.91</v>
      </c>
      <c r="AD65" t="n">
        <v>0</v>
      </c>
      <c r="AE65" t="n">
        <v>156.8</v>
      </c>
      <c r="AF65" t="n">
        <v>0</v>
      </c>
      <c r="AG65" t="n">
        <v>0</v>
      </c>
      <c r="AH65" t="n">
        <v>0.16</v>
      </c>
      <c r="AI65" t="n">
        <v>7.85</v>
      </c>
      <c r="AJ65" t="n">
        <v>-0.01</v>
      </c>
      <c r="AK65" t="n">
        <v>13.92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46.74</v>
      </c>
      <c r="AV65" t="n">
        <v>0</v>
      </c>
      <c r="AW65" t="n">
        <v>117.9</v>
      </c>
      <c r="AX65" t="inlineStr">
        <is>
          <t>settled</t>
        </is>
      </c>
      <c r="AY65" t="inlineStr">
        <is>
          <t>2026-01-07 05:30:00</t>
        </is>
      </c>
      <c r="AZ65" t="inlineStr">
        <is>
          <t>CITIN26602720826</t>
        </is>
      </c>
      <c r="BA65" t="n">
        <v>0</v>
      </c>
      <c r="BB65" t="inlineStr">
        <is>
          <t>b0a8c170dde94b13f4e01f754a23672a867b0c427e29aef151d8f7ba0614b836</t>
        </is>
      </c>
    </row>
    <row r="66">
      <c r="A66" t="inlineStr">
        <is>
          <t>176</t>
        </is>
      </c>
      <c r="B66" t="inlineStr">
        <is>
          <t>7644743686</t>
        </is>
      </c>
      <c r="C66" t="inlineStr">
        <is>
          <t>2026-01-02 04:08:41</t>
        </is>
      </c>
      <c r="D66" t="inlineStr">
        <is>
          <t>1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229</v>
      </c>
      <c r="P66" t="n">
        <v>3.5</v>
      </c>
      <c r="Q66" t="n">
        <v>0</v>
      </c>
      <c r="R66" t="n">
        <v>68.7</v>
      </c>
      <c r="S66" t="n">
        <v>0</v>
      </c>
      <c r="T66" t="n">
        <v>0</v>
      </c>
      <c r="U66" t="n">
        <v>0</v>
      </c>
      <c r="V66" t="n">
        <v>8.19</v>
      </c>
      <c r="W66" t="n">
        <v>171.99</v>
      </c>
      <c r="X66" t="n">
        <v>163.8</v>
      </c>
      <c r="Y66" t="n">
        <v>19</v>
      </c>
      <c r="Z66" t="n">
        <v>31.12</v>
      </c>
      <c r="AA66" t="n">
        <v>3.16</v>
      </c>
      <c r="AB66" t="n">
        <v>34.28</v>
      </c>
      <c r="AC66" t="n">
        <v>6.17</v>
      </c>
      <c r="AD66" t="n">
        <v>0</v>
      </c>
      <c r="AE66" t="n">
        <v>163.8</v>
      </c>
      <c r="AF66" t="n">
        <v>0</v>
      </c>
      <c r="AG66" t="n">
        <v>0</v>
      </c>
      <c r="AH66" t="n">
        <v>0.16</v>
      </c>
      <c r="AI66" t="n">
        <v>8.199999999999999</v>
      </c>
      <c r="AJ66" t="n">
        <v>-0.01</v>
      </c>
      <c r="AK66" t="n">
        <v>14.53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48.81</v>
      </c>
      <c r="AV66" t="n">
        <v>0</v>
      </c>
      <c r="AW66" t="n">
        <v>123.18</v>
      </c>
      <c r="AX66" t="inlineStr">
        <is>
          <t>settled</t>
        </is>
      </c>
      <c r="AY66" t="inlineStr">
        <is>
          <t>2026-01-07 05:30:00</t>
        </is>
      </c>
      <c r="AZ66" t="inlineStr">
        <is>
          <t>CITIN26602720826</t>
        </is>
      </c>
      <c r="BA66" t="n">
        <v>0</v>
      </c>
      <c r="BB66" t="inlineStr">
        <is>
          <t>aa246a307e52851895a57f666eac529263ce5490b2d91e12ccbff1c0212ccc74</t>
        </is>
      </c>
    </row>
    <row r="67">
      <c r="A67" t="inlineStr">
        <is>
          <t>177</t>
        </is>
      </c>
      <c r="B67" t="inlineStr">
        <is>
          <t>7642649201</t>
        </is>
      </c>
      <c r="C67" t="inlineStr">
        <is>
          <t>2026-01-02 11:00:16</t>
        </is>
      </c>
      <c r="D67" t="inlineStr">
        <is>
          <t>1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268</v>
      </c>
      <c r="P67" t="n">
        <v>3.5</v>
      </c>
      <c r="Q67" t="n">
        <v>0</v>
      </c>
      <c r="R67" t="n">
        <v>75</v>
      </c>
      <c r="S67" t="n">
        <v>0</v>
      </c>
      <c r="T67" t="n">
        <v>0</v>
      </c>
      <c r="U67" t="n">
        <v>0</v>
      </c>
      <c r="V67" t="n">
        <v>9.83</v>
      </c>
      <c r="W67" t="n">
        <v>206.33</v>
      </c>
      <c r="X67" t="n">
        <v>196.5</v>
      </c>
      <c r="Y67" t="n">
        <v>19</v>
      </c>
      <c r="Z67" t="n">
        <v>37.34</v>
      </c>
      <c r="AA67" t="n">
        <v>3.8</v>
      </c>
      <c r="AB67" t="n">
        <v>41.14</v>
      </c>
      <c r="AC67" t="n">
        <v>7.4</v>
      </c>
      <c r="AD67" t="n">
        <v>0</v>
      </c>
      <c r="AE67" t="n">
        <v>196.5</v>
      </c>
      <c r="AF67" t="n">
        <v>0</v>
      </c>
      <c r="AG67" t="n">
        <v>0</v>
      </c>
      <c r="AH67" t="n">
        <v>0.2</v>
      </c>
      <c r="AI67" t="n">
        <v>9.83</v>
      </c>
      <c r="AJ67" t="n">
        <v>0</v>
      </c>
      <c r="AK67" t="n">
        <v>17.43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58.57</v>
      </c>
      <c r="AV67" t="n">
        <v>0</v>
      </c>
      <c r="AW67" t="n">
        <v>147.76</v>
      </c>
      <c r="AX67" t="inlineStr">
        <is>
          <t>settled</t>
        </is>
      </c>
      <c r="AY67" t="inlineStr">
        <is>
          <t>2026-01-07 05:30:00</t>
        </is>
      </c>
      <c r="AZ67" t="inlineStr">
        <is>
          <t>CITIN26602720826</t>
        </is>
      </c>
      <c r="BA67" t="n">
        <v>0</v>
      </c>
      <c r="BB67" t="inlineStr">
        <is>
          <t>a302f061fe2b17b355815f9747eda92e721476d467fe8a399fa1da4e75361e89</t>
        </is>
      </c>
    </row>
    <row r="68">
      <c r="A68" t="inlineStr">
        <is>
          <t>178</t>
        </is>
      </c>
      <c r="B68" t="inlineStr">
        <is>
          <t>7645757293</t>
        </is>
      </c>
      <c r="C68" t="inlineStr">
        <is>
          <t>2026-01-02 12:21:59</t>
        </is>
      </c>
      <c r="D68" t="inlineStr">
        <is>
          <t>1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229</v>
      </c>
      <c r="P68" t="n">
        <v>3.5</v>
      </c>
      <c r="Q68" t="n">
        <v>0</v>
      </c>
      <c r="R68" t="n">
        <v>68.7</v>
      </c>
      <c r="S68" t="n">
        <v>0</v>
      </c>
      <c r="T68" t="n">
        <v>0</v>
      </c>
      <c r="U68" t="n">
        <v>0</v>
      </c>
      <c r="V68" t="n">
        <v>8.19</v>
      </c>
      <c r="W68" t="n">
        <v>171.99</v>
      </c>
      <c r="X68" t="n">
        <v>163.8</v>
      </c>
      <c r="Y68" t="n">
        <v>19</v>
      </c>
      <c r="Z68" t="n">
        <v>31.12</v>
      </c>
      <c r="AA68" t="n">
        <v>3.16</v>
      </c>
      <c r="AB68" t="n">
        <v>34.28</v>
      </c>
      <c r="AC68" t="n">
        <v>6.17</v>
      </c>
      <c r="AD68" t="n">
        <v>0</v>
      </c>
      <c r="AE68" t="n">
        <v>163.8</v>
      </c>
      <c r="AF68" t="n">
        <v>0</v>
      </c>
      <c r="AG68" t="n">
        <v>0</v>
      </c>
      <c r="AH68" t="n">
        <v>0.16</v>
      </c>
      <c r="AI68" t="n">
        <v>8.199999999999999</v>
      </c>
      <c r="AJ68" t="n">
        <v>-0.01</v>
      </c>
      <c r="AK68" t="n">
        <v>14.53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48.81</v>
      </c>
      <c r="AV68" t="n">
        <v>0</v>
      </c>
      <c r="AW68" t="n">
        <v>123.18</v>
      </c>
      <c r="AX68" t="inlineStr">
        <is>
          <t>settled</t>
        </is>
      </c>
      <c r="AY68" t="inlineStr">
        <is>
          <t>2026-01-07 05:30:00</t>
        </is>
      </c>
      <c r="AZ68" t="inlineStr">
        <is>
          <t>CITIN26602720826</t>
        </is>
      </c>
      <c r="BA68" t="n">
        <v>0</v>
      </c>
      <c r="BB68" t="inlineStr">
        <is>
          <t>7ed5fb85349181e93df91cc9db0534791e960516f31e214309449d1997258270</t>
        </is>
      </c>
    </row>
    <row r="69">
      <c r="A69" t="inlineStr">
        <is>
          <t>179</t>
        </is>
      </c>
      <c r="B69" t="inlineStr">
        <is>
          <t>7643490089</t>
        </is>
      </c>
      <c r="C69" t="inlineStr">
        <is>
          <t>2026-01-02 13:38:40</t>
        </is>
      </c>
      <c r="D69" t="inlineStr">
        <is>
          <t>1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30% off upto ₹75 (2025-06-25 - 2031-01-01)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219</v>
      </c>
      <c r="P69" t="n">
        <v>3.5</v>
      </c>
      <c r="Q69" t="n">
        <v>0</v>
      </c>
      <c r="R69" t="n">
        <v>65.7</v>
      </c>
      <c r="S69" t="n">
        <v>0</v>
      </c>
      <c r="T69" t="n">
        <v>0</v>
      </c>
      <c r="U69" t="n">
        <v>0</v>
      </c>
      <c r="V69" t="n">
        <v>7.84</v>
      </c>
      <c r="W69" t="n">
        <v>164.64</v>
      </c>
      <c r="X69" t="n">
        <v>156.8</v>
      </c>
      <c r="Y69" t="n">
        <v>19</v>
      </c>
      <c r="Z69" t="n">
        <v>29.79</v>
      </c>
      <c r="AA69" t="n">
        <v>3.03</v>
      </c>
      <c r="AB69" t="n">
        <v>32.82</v>
      </c>
      <c r="AC69" t="n">
        <v>5.91</v>
      </c>
      <c r="AD69" t="n">
        <v>0</v>
      </c>
      <c r="AE69" t="n">
        <v>156.8</v>
      </c>
      <c r="AF69" t="n">
        <v>0</v>
      </c>
      <c r="AG69" t="n">
        <v>0</v>
      </c>
      <c r="AH69" t="n">
        <v>0.16</v>
      </c>
      <c r="AI69" t="n">
        <v>7.85</v>
      </c>
      <c r="AJ69" t="n">
        <v>-0.01</v>
      </c>
      <c r="AK69" t="n">
        <v>13.92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46.74</v>
      </c>
      <c r="AV69" t="n">
        <v>0</v>
      </c>
      <c r="AW69" t="n">
        <v>117.9</v>
      </c>
      <c r="AX69" t="inlineStr">
        <is>
          <t>settled</t>
        </is>
      </c>
      <c r="AY69" t="inlineStr">
        <is>
          <t>2026-01-07 05:30:00</t>
        </is>
      </c>
      <c r="AZ69" t="inlineStr">
        <is>
          <t>CITIN26602720826</t>
        </is>
      </c>
      <c r="BA69" t="n">
        <v>0</v>
      </c>
      <c r="BB69" t="inlineStr">
        <is>
          <t>3a57db73bde4fbba563f101b5854b3687cc05e9107ebf4841137b2e7e884d14e</t>
        </is>
      </c>
    </row>
    <row r="70">
      <c r="A70" t="inlineStr">
        <is>
          <t>180</t>
        </is>
      </c>
      <c r="B70" t="inlineStr">
        <is>
          <t>7649383720</t>
        </is>
      </c>
      <c r="C70" t="inlineStr">
        <is>
          <t>2026-01-02 15:49:35</t>
        </is>
      </c>
      <c r="D70" t="inlineStr">
        <is>
          <t>1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219</v>
      </c>
      <c r="P70" t="n">
        <v>3.5</v>
      </c>
      <c r="Q70" t="n">
        <v>0</v>
      </c>
      <c r="R70" t="n">
        <v>65.7</v>
      </c>
      <c r="S70" t="n">
        <v>0</v>
      </c>
      <c r="T70" t="n">
        <v>0</v>
      </c>
      <c r="U70" t="n">
        <v>0</v>
      </c>
      <c r="V70" t="n">
        <v>7.84</v>
      </c>
      <c r="W70" t="n">
        <v>164.64</v>
      </c>
      <c r="X70" t="n">
        <v>156.8</v>
      </c>
      <c r="Y70" t="n">
        <v>19</v>
      </c>
      <c r="Z70" t="n">
        <v>29.79</v>
      </c>
      <c r="AA70" t="n">
        <v>3.03</v>
      </c>
      <c r="AB70" t="n">
        <v>32.82</v>
      </c>
      <c r="AC70" t="n">
        <v>5.91</v>
      </c>
      <c r="AD70" t="n">
        <v>0</v>
      </c>
      <c r="AE70" t="n">
        <v>156.8</v>
      </c>
      <c r="AF70" t="n">
        <v>0</v>
      </c>
      <c r="AG70" t="n">
        <v>0</v>
      </c>
      <c r="AH70" t="n">
        <v>0.16</v>
      </c>
      <c r="AI70" t="n">
        <v>7.85</v>
      </c>
      <c r="AJ70" t="n">
        <v>-0.01</v>
      </c>
      <c r="AK70" t="n">
        <v>13.92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46.74</v>
      </c>
      <c r="AV70" t="n">
        <v>0</v>
      </c>
      <c r="AW70" t="n">
        <v>117.9</v>
      </c>
      <c r="AX70" t="inlineStr">
        <is>
          <t>settled</t>
        </is>
      </c>
      <c r="AY70" t="inlineStr">
        <is>
          <t>2026-01-07 05:30:00</t>
        </is>
      </c>
      <c r="AZ70" t="inlineStr">
        <is>
          <t>CITIN26602720826</t>
        </is>
      </c>
      <c r="BA70" t="n">
        <v>0</v>
      </c>
      <c r="BB70" t="inlineStr">
        <is>
          <t>5cef89cd8427a9c1d59a310fb018f8d004816f36003ded1704ed7fcfda5999eb</t>
        </is>
      </c>
    </row>
    <row r="71">
      <c r="A71" t="inlineStr">
        <is>
          <t>181</t>
        </is>
      </c>
      <c r="B71" t="inlineStr">
        <is>
          <t>7628821245</t>
        </is>
      </c>
      <c r="C71" t="inlineStr">
        <is>
          <t>2026-01-02 17:28:30</t>
        </is>
      </c>
      <c r="D71" t="inlineStr">
        <is>
          <t>1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30% off upto ₹75 (2025-06-25 - 2031-01-01)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584</v>
      </c>
      <c r="P71" t="n">
        <v>3.5</v>
      </c>
      <c r="Q71" t="n">
        <v>0</v>
      </c>
      <c r="R71" t="n">
        <v>75</v>
      </c>
      <c r="S71" t="n">
        <v>0</v>
      </c>
      <c r="T71" t="n">
        <v>0</v>
      </c>
      <c r="U71" t="n">
        <v>0</v>
      </c>
      <c r="V71" t="n">
        <v>25.63</v>
      </c>
      <c r="W71" t="n">
        <v>538.13</v>
      </c>
      <c r="X71" t="n">
        <v>512.5</v>
      </c>
      <c r="Y71" t="n">
        <v>19</v>
      </c>
      <c r="Z71" t="n">
        <v>97.38</v>
      </c>
      <c r="AA71" t="n">
        <v>9.9</v>
      </c>
      <c r="AB71" t="n">
        <v>107.28</v>
      </c>
      <c r="AC71" t="n">
        <v>19.31</v>
      </c>
      <c r="AD71" t="n">
        <v>0</v>
      </c>
      <c r="AE71" t="n">
        <v>512.5</v>
      </c>
      <c r="AF71" t="n">
        <v>0</v>
      </c>
      <c r="AG71" t="n">
        <v>0</v>
      </c>
      <c r="AH71" t="n">
        <v>0.51</v>
      </c>
      <c r="AI71" t="n">
        <v>25.63</v>
      </c>
      <c r="AJ71" t="n">
        <v>0</v>
      </c>
      <c r="AK71" t="n">
        <v>45.45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152.73</v>
      </c>
      <c r="AV71" t="n">
        <v>0</v>
      </c>
      <c r="AW71" t="n">
        <v>385.4</v>
      </c>
      <c r="AX71" t="inlineStr">
        <is>
          <t>settled</t>
        </is>
      </c>
      <c r="AY71" t="inlineStr">
        <is>
          <t>2026-01-07 05:30:00</t>
        </is>
      </c>
      <c r="AZ71" t="inlineStr">
        <is>
          <t>CITIN26602720826</t>
        </is>
      </c>
      <c r="BA71" t="n">
        <v>0</v>
      </c>
      <c r="BB71" t="inlineStr">
        <is>
          <t>f0d0d9ca62e1ea8d0b33bb6f70bbc5b1a11849709fcc7b4ac651bbb6fef10df2</t>
        </is>
      </c>
    </row>
    <row r="72">
      <c r="A72" t="inlineStr">
        <is>
          <t>182</t>
        </is>
      </c>
      <c r="B72" t="inlineStr">
        <is>
          <t>7642995135</t>
        </is>
      </c>
      <c r="C72" t="inlineStr">
        <is>
          <t>2026-01-02 17:31:32</t>
        </is>
      </c>
      <c r="D72" t="inlineStr">
        <is>
          <t>1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30% off upto ₹75 (2025-06-25 - 2031-01-01)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229</v>
      </c>
      <c r="P72" t="n">
        <v>3.5</v>
      </c>
      <c r="Q72" t="n">
        <v>0</v>
      </c>
      <c r="R72" t="n">
        <v>68.7</v>
      </c>
      <c r="S72" t="n">
        <v>0</v>
      </c>
      <c r="T72" t="n">
        <v>0</v>
      </c>
      <c r="U72" t="n">
        <v>0</v>
      </c>
      <c r="V72" t="n">
        <v>8.19</v>
      </c>
      <c r="W72" t="n">
        <v>171.99</v>
      </c>
      <c r="X72" t="n">
        <v>163.8</v>
      </c>
      <c r="Y72" t="n">
        <v>19</v>
      </c>
      <c r="Z72" t="n">
        <v>31.12</v>
      </c>
      <c r="AA72" t="n">
        <v>3.16</v>
      </c>
      <c r="AB72" t="n">
        <v>34.28</v>
      </c>
      <c r="AC72" t="n">
        <v>6.17</v>
      </c>
      <c r="AD72" t="n">
        <v>0</v>
      </c>
      <c r="AE72" t="n">
        <v>163.8</v>
      </c>
      <c r="AF72" t="n">
        <v>0</v>
      </c>
      <c r="AG72" t="n">
        <v>0</v>
      </c>
      <c r="AH72" t="n">
        <v>0.16</v>
      </c>
      <c r="AI72" t="n">
        <v>8.199999999999999</v>
      </c>
      <c r="AJ72" t="n">
        <v>-0.01</v>
      </c>
      <c r="AK72" t="n">
        <v>14.53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48.81</v>
      </c>
      <c r="AV72" t="n">
        <v>0</v>
      </c>
      <c r="AW72" t="n">
        <v>123.18</v>
      </c>
      <c r="AX72" t="inlineStr">
        <is>
          <t>settled</t>
        </is>
      </c>
      <c r="AY72" t="inlineStr">
        <is>
          <t>2026-01-07 05:30:00</t>
        </is>
      </c>
      <c r="AZ72" t="inlineStr">
        <is>
          <t>CITIN26602720826</t>
        </is>
      </c>
      <c r="BA72" t="n">
        <v>0</v>
      </c>
      <c r="BB72" t="inlineStr">
        <is>
          <t>35e7018e3c4500b14f89a6d68e856f51d38abf1a109cf2c6eff653438966636b</t>
        </is>
      </c>
    </row>
    <row r="73">
      <c r="A73" t="inlineStr">
        <is>
          <t>183</t>
        </is>
      </c>
      <c r="B73" t="inlineStr">
        <is>
          <t>7649229692</t>
        </is>
      </c>
      <c r="C73" t="inlineStr">
        <is>
          <t>2026-01-02 17:50:26</t>
        </is>
      </c>
      <c r="D73" t="inlineStr">
        <is>
          <t>1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229</v>
      </c>
      <c r="P73" t="n">
        <v>3.5</v>
      </c>
      <c r="Q73" t="n">
        <v>0</v>
      </c>
      <c r="R73" t="n">
        <v>68.7</v>
      </c>
      <c r="S73" t="n">
        <v>0</v>
      </c>
      <c r="T73" t="n">
        <v>0</v>
      </c>
      <c r="U73" t="n">
        <v>0</v>
      </c>
      <c r="V73" t="n">
        <v>8.19</v>
      </c>
      <c r="W73" t="n">
        <v>171.99</v>
      </c>
      <c r="X73" t="n">
        <v>163.8</v>
      </c>
      <c r="Y73" t="n">
        <v>19</v>
      </c>
      <c r="Z73" t="n">
        <v>31.12</v>
      </c>
      <c r="AA73" t="n">
        <v>3.16</v>
      </c>
      <c r="AB73" t="n">
        <v>34.28</v>
      </c>
      <c r="AC73" t="n">
        <v>6.17</v>
      </c>
      <c r="AD73" t="n">
        <v>0</v>
      </c>
      <c r="AE73" t="n">
        <v>163.8</v>
      </c>
      <c r="AF73" t="n">
        <v>0</v>
      </c>
      <c r="AG73" t="n">
        <v>0</v>
      </c>
      <c r="AH73" t="n">
        <v>0.16</v>
      </c>
      <c r="AI73" t="n">
        <v>8.199999999999999</v>
      </c>
      <c r="AJ73" t="n">
        <v>-0.01</v>
      </c>
      <c r="AK73" t="n">
        <v>14.53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48.81</v>
      </c>
      <c r="AV73" t="n">
        <v>0</v>
      </c>
      <c r="AW73" t="n">
        <v>123.18</v>
      </c>
      <c r="AX73" t="inlineStr">
        <is>
          <t>settled</t>
        </is>
      </c>
      <c r="AY73" t="inlineStr">
        <is>
          <t>2026-01-07 05:30:00</t>
        </is>
      </c>
      <c r="AZ73" t="inlineStr">
        <is>
          <t>CITIN26602720826</t>
        </is>
      </c>
      <c r="BA73" t="n">
        <v>0</v>
      </c>
      <c r="BB73" t="inlineStr">
        <is>
          <t>dec61750ec6d9475588641911b607746e2bed3447d04f2b0eec81bf255f0a98f</t>
        </is>
      </c>
    </row>
    <row r="74">
      <c r="A74" t="inlineStr">
        <is>
          <t>184</t>
        </is>
      </c>
      <c r="B74" t="inlineStr">
        <is>
          <t>7648207190</t>
        </is>
      </c>
      <c r="C74" t="inlineStr">
        <is>
          <t>2026-01-02 17:53:38</t>
        </is>
      </c>
      <c r="D74" t="inlineStr">
        <is>
          <t>1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229</v>
      </c>
      <c r="P74" t="n">
        <v>3.5</v>
      </c>
      <c r="Q74" t="n">
        <v>0</v>
      </c>
      <c r="R74" t="n">
        <v>68.7</v>
      </c>
      <c r="S74" t="n">
        <v>0</v>
      </c>
      <c r="T74" t="n">
        <v>0</v>
      </c>
      <c r="U74" t="n">
        <v>0</v>
      </c>
      <c r="V74" t="n">
        <v>8.19</v>
      </c>
      <c r="W74" t="n">
        <v>171.99</v>
      </c>
      <c r="X74" t="n">
        <v>163.8</v>
      </c>
      <c r="Y74" t="n">
        <v>19</v>
      </c>
      <c r="Z74" t="n">
        <v>31.12</v>
      </c>
      <c r="AA74" t="n">
        <v>3.16</v>
      </c>
      <c r="AB74" t="n">
        <v>34.28</v>
      </c>
      <c r="AC74" t="n">
        <v>6.17</v>
      </c>
      <c r="AD74" t="n">
        <v>0</v>
      </c>
      <c r="AE74" t="n">
        <v>163.8</v>
      </c>
      <c r="AF74" t="n">
        <v>0</v>
      </c>
      <c r="AG74" t="n">
        <v>0</v>
      </c>
      <c r="AH74" t="n">
        <v>0.16</v>
      </c>
      <c r="AI74" t="n">
        <v>8.199999999999999</v>
      </c>
      <c r="AJ74" t="n">
        <v>-0.01</v>
      </c>
      <c r="AK74" t="n">
        <v>14.53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48.81</v>
      </c>
      <c r="AV74" t="n">
        <v>0</v>
      </c>
      <c r="AW74" t="n">
        <v>123.18</v>
      </c>
      <c r="AX74" t="inlineStr">
        <is>
          <t>settled</t>
        </is>
      </c>
      <c r="AY74" t="inlineStr">
        <is>
          <t>2026-01-07 05:30:00</t>
        </is>
      </c>
      <c r="AZ74" t="inlineStr">
        <is>
          <t>CITIN26602720826</t>
        </is>
      </c>
      <c r="BA74" t="n">
        <v>0</v>
      </c>
      <c r="BB74" t="inlineStr">
        <is>
          <t>e0de046eec611107b81147c8aa6567d017a853550106e659370e352e01c78bcc</t>
        </is>
      </c>
    </row>
    <row r="75">
      <c r="A75" t="inlineStr">
        <is>
          <t>185</t>
        </is>
      </c>
      <c r="B75" t="inlineStr">
        <is>
          <t>7648192123</t>
        </is>
      </c>
      <c r="C75" t="inlineStr">
        <is>
          <t>2026-01-02 19:02:57</t>
        </is>
      </c>
      <c r="D75" t="inlineStr">
        <is>
          <t>1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30% off upto ₹75 (2025-06-25 - 2031-01-01)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219</v>
      </c>
      <c r="P75" t="n">
        <v>3.5</v>
      </c>
      <c r="Q75" t="n">
        <v>0</v>
      </c>
      <c r="R75" t="n">
        <v>65.7</v>
      </c>
      <c r="S75" t="n">
        <v>0</v>
      </c>
      <c r="T75" t="n">
        <v>0</v>
      </c>
      <c r="U75" t="n">
        <v>0</v>
      </c>
      <c r="V75" t="n">
        <v>7.84</v>
      </c>
      <c r="W75" t="n">
        <v>164.64</v>
      </c>
      <c r="X75" t="n">
        <v>156.8</v>
      </c>
      <c r="Y75" t="n">
        <v>19</v>
      </c>
      <c r="Z75" t="n">
        <v>29.79</v>
      </c>
      <c r="AA75" t="n">
        <v>3.03</v>
      </c>
      <c r="AB75" t="n">
        <v>32.82</v>
      </c>
      <c r="AC75" t="n">
        <v>5.91</v>
      </c>
      <c r="AD75" t="n">
        <v>0</v>
      </c>
      <c r="AE75" t="n">
        <v>156.8</v>
      </c>
      <c r="AF75" t="n">
        <v>0</v>
      </c>
      <c r="AG75" t="n">
        <v>0</v>
      </c>
      <c r="AH75" t="n">
        <v>0.16</v>
      </c>
      <c r="AI75" t="n">
        <v>7.85</v>
      </c>
      <c r="AJ75" t="n">
        <v>-0.01</v>
      </c>
      <c r="AK75" t="n">
        <v>13.92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46.74</v>
      </c>
      <c r="AV75" t="n">
        <v>0</v>
      </c>
      <c r="AW75" t="n">
        <v>117.9</v>
      </c>
      <c r="AX75" t="inlineStr">
        <is>
          <t>settled</t>
        </is>
      </c>
      <c r="AY75" t="inlineStr">
        <is>
          <t>2026-01-07 05:30:00</t>
        </is>
      </c>
      <c r="AZ75" t="inlineStr">
        <is>
          <t>CITIN26602720826</t>
        </is>
      </c>
      <c r="BA75" t="n">
        <v>0</v>
      </c>
      <c r="BB75" t="inlineStr">
        <is>
          <t>84915504c8a1483745cfaaa7c05cfee8adbbb731e2a0496e957f5f65f5839b49</t>
        </is>
      </c>
    </row>
    <row r="76">
      <c r="A76" t="inlineStr">
        <is>
          <t>186</t>
        </is>
      </c>
      <c r="B76" t="inlineStr">
        <is>
          <t>7648703276</t>
        </is>
      </c>
      <c r="C76" t="inlineStr">
        <is>
          <t>2026-01-02 19:28:00</t>
        </is>
      </c>
      <c r="D76" t="inlineStr">
        <is>
          <t>1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NA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229</v>
      </c>
      <c r="P76" t="n">
        <v>3.5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11.63</v>
      </c>
      <c r="W76" t="n">
        <v>244.13</v>
      </c>
      <c r="X76" t="n">
        <v>232.5</v>
      </c>
      <c r="Y76" t="n">
        <v>19</v>
      </c>
      <c r="Z76" t="n">
        <v>44.18</v>
      </c>
      <c r="AA76" t="n">
        <v>4.49</v>
      </c>
      <c r="AB76" t="n">
        <v>48.67</v>
      </c>
      <c r="AC76" t="n">
        <v>8.76</v>
      </c>
      <c r="AD76" t="n">
        <v>0</v>
      </c>
      <c r="AE76" t="n">
        <v>232.5</v>
      </c>
      <c r="AF76" t="n">
        <v>0</v>
      </c>
      <c r="AG76" t="n">
        <v>0</v>
      </c>
      <c r="AH76" t="n">
        <v>0.23</v>
      </c>
      <c r="AI76" t="n">
        <v>11.63</v>
      </c>
      <c r="AJ76" t="n">
        <v>0</v>
      </c>
      <c r="AK76" t="n">
        <v>20.62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69.29000000000001</v>
      </c>
      <c r="AV76" t="n">
        <v>0</v>
      </c>
      <c r="AW76" t="n">
        <v>174.84</v>
      </c>
      <c r="AX76" t="inlineStr">
        <is>
          <t>settled</t>
        </is>
      </c>
      <c r="AY76" t="inlineStr">
        <is>
          <t>2026-01-07 05:30:00</t>
        </is>
      </c>
      <c r="AZ76" t="inlineStr">
        <is>
          <t>CITIN26602720826</t>
        </is>
      </c>
      <c r="BA76" t="n">
        <v>0</v>
      </c>
      <c r="BB76" t="inlineStr">
        <is>
          <t>fc76945fcf91b98adb1f59912b6c06829d83fd2d1d57a667ad3e2a326b97f050</t>
        </is>
      </c>
    </row>
    <row r="77">
      <c r="A77" t="inlineStr">
        <is>
          <t>187</t>
        </is>
      </c>
      <c r="B77" t="inlineStr">
        <is>
          <t>7636240723</t>
        </is>
      </c>
      <c r="C77" t="inlineStr">
        <is>
          <t>2026-01-02 19:41:25</t>
        </is>
      </c>
      <c r="D77" t="inlineStr">
        <is>
          <t>1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30% off upto ₹75 (2025-06-25 - 2031-01-01)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438</v>
      </c>
      <c r="P77" t="n">
        <v>3.5</v>
      </c>
      <c r="Q77" t="n">
        <v>0</v>
      </c>
      <c r="R77" t="n">
        <v>75</v>
      </c>
      <c r="S77" t="n">
        <v>0</v>
      </c>
      <c r="T77" t="n">
        <v>0</v>
      </c>
      <c r="U77" t="n">
        <v>0</v>
      </c>
      <c r="V77" t="n">
        <v>18.33</v>
      </c>
      <c r="W77" t="n">
        <v>384.83</v>
      </c>
      <c r="X77" t="n">
        <v>366.5</v>
      </c>
      <c r="Y77" t="n">
        <v>19</v>
      </c>
      <c r="Z77" t="n">
        <v>69.64</v>
      </c>
      <c r="AA77" t="n">
        <v>7.08</v>
      </c>
      <c r="AB77" t="n">
        <v>76.72</v>
      </c>
      <c r="AC77" t="n">
        <v>13.81</v>
      </c>
      <c r="AD77" t="n">
        <v>0</v>
      </c>
      <c r="AE77" t="n">
        <v>366.5</v>
      </c>
      <c r="AF77" t="n">
        <v>0</v>
      </c>
      <c r="AG77" t="n">
        <v>0</v>
      </c>
      <c r="AH77" t="n">
        <v>0.37</v>
      </c>
      <c r="AI77" t="n">
        <v>18.33</v>
      </c>
      <c r="AJ77" t="n">
        <v>0</v>
      </c>
      <c r="AK77" t="n">
        <v>32.51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109.23</v>
      </c>
      <c r="AV77" t="n">
        <v>0</v>
      </c>
      <c r="AW77" t="n">
        <v>275.6</v>
      </c>
      <c r="AX77" t="inlineStr">
        <is>
          <t>settled</t>
        </is>
      </c>
      <c r="AY77" t="inlineStr">
        <is>
          <t>2026-01-07 05:30:00</t>
        </is>
      </c>
      <c r="AZ77" t="inlineStr">
        <is>
          <t>CITIN26602720826</t>
        </is>
      </c>
      <c r="BA77" t="n">
        <v>0</v>
      </c>
      <c r="BB77" t="inlineStr">
        <is>
          <t>5e10b26f9aff75d17eeea921f00876af97df449bb7058c52d50a47b42959855b</t>
        </is>
      </c>
    </row>
    <row r="78">
      <c r="A78" t="inlineStr">
        <is>
          <t>188</t>
        </is>
      </c>
      <c r="B78" t="inlineStr">
        <is>
          <t>7649268167</t>
        </is>
      </c>
      <c r="C78" t="inlineStr">
        <is>
          <t>2026-01-02 19:52:02</t>
        </is>
      </c>
      <c r="D78" t="inlineStr">
        <is>
          <t>1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30% off upto ₹75 (2025-06-25 - 2031-01-01)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219</v>
      </c>
      <c r="P78" t="n">
        <v>3.5</v>
      </c>
      <c r="Q78" t="n">
        <v>0</v>
      </c>
      <c r="R78" t="n">
        <v>65.7</v>
      </c>
      <c r="S78" t="n">
        <v>0</v>
      </c>
      <c r="T78" t="n">
        <v>0</v>
      </c>
      <c r="U78" t="n">
        <v>0</v>
      </c>
      <c r="V78" t="n">
        <v>7.84</v>
      </c>
      <c r="W78" t="n">
        <v>164.64</v>
      </c>
      <c r="X78" t="n">
        <v>156.8</v>
      </c>
      <c r="Y78" t="n">
        <v>19</v>
      </c>
      <c r="Z78" t="n">
        <v>29.79</v>
      </c>
      <c r="AA78" t="n">
        <v>3.03</v>
      </c>
      <c r="AB78" t="n">
        <v>32.82</v>
      </c>
      <c r="AC78" t="n">
        <v>5.91</v>
      </c>
      <c r="AD78" t="n">
        <v>0</v>
      </c>
      <c r="AE78" t="n">
        <v>156.8</v>
      </c>
      <c r="AF78" t="n">
        <v>0</v>
      </c>
      <c r="AG78" t="n">
        <v>0</v>
      </c>
      <c r="AH78" t="n">
        <v>0.16</v>
      </c>
      <c r="AI78" t="n">
        <v>7.85</v>
      </c>
      <c r="AJ78" t="n">
        <v>-0.01</v>
      </c>
      <c r="AK78" t="n">
        <v>13.92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46.74</v>
      </c>
      <c r="AV78" t="n">
        <v>0</v>
      </c>
      <c r="AW78" t="n">
        <v>117.9</v>
      </c>
      <c r="AX78" t="inlineStr">
        <is>
          <t>settled</t>
        </is>
      </c>
      <c r="AY78" t="inlineStr">
        <is>
          <t>2026-01-07 05:30:00</t>
        </is>
      </c>
      <c r="AZ78" t="inlineStr">
        <is>
          <t>CITIN26602720826</t>
        </is>
      </c>
      <c r="BA78" t="n">
        <v>0</v>
      </c>
      <c r="BB78" t="inlineStr">
        <is>
          <t>81be4687996005ad7316b672e10b26b43e2e803eb85206b97ed563dcb055d70d</t>
        </is>
      </c>
    </row>
    <row r="79">
      <c r="A79" t="inlineStr">
        <is>
          <t>189</t>
        </is>
      </c>
      <c r="B79" t="inlineStr">
        <is>
          <t>7641933440</t>
        </is>
      </c>
      <c r="C79" t="inlineStr">
        <is>
          <t>2026-01-02 19:52:31</t>
        </is>
      </c>
      <c r="D79" t="inlineStr">
        <is>
          <t>1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219</v>
      </c>
      <c r="P79" t="n">
        <v>3.5</v>
      </c>
      <c r="Q79" t="n">
        <v>0</v>
      </c>
      <c r="R79" t="n">
        <v>65.7</v>
      </c>
      <c r="S79" t="n">
        <v>0</v>
      </c>
      <c r="T79" t="n">
        <v>0</v>
      </c>
      <c r="U79" t="n">
        <v>0</v>
      </c>
      <c r="V79" t="n">
        <v>7.84</v>
      </c>
      <c r="W79" t="n">
        <v>164.64</v>
      </c>
      <c r="X79" t="n">
        <v>156.8</v>
      </c>
      <c r="Y79" t="n">
        <v>19</v>
      </c>
      <c r="Z79" t="n">
        <v>29.79</v>
      </c>
      <c r="AA79" t="n">
        <v>3.03</v>
      </c>
      <c r="AB79" t="n">
        <v>32.82</v>
      </c>
      <c r="AC79" t="n">
        <v>5.91</v>
      </c>
      <c r="AD79" t="n">
        <v>0</v>
      </c>
      <c r="AE79" t="n">
        <v>156.8</v>
      </c>
      <c r="AF79" t="n">
        <v>0</v>
      </c>
      <c r="AG79" t="n">
        <v>0</v>
      </c>
      <c r="AH79" t="n">
        <v>0.16</v>
      </c>
      <c r="AI79" t="n">
        <v>7.85</v>
      </c>
      <c r="AJ79" t="n">
        <v>-0.01</v>
      </c>
      <c r="AK79" t="n">
        <v>13.92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46.74</v>
      </c>
      <c r="AV79" t="n">
        <v>0</v>
      </c>
      <c r="AW79" t="n">
        <v>117.9</v>
      </c>
      <c r="AX79" t="inlineStr">
        <is>
          <t>settled</t>
        </is>
      </c>
      <c r="AY79" t="inlineStr">
        <is>
          <t>2026-01-07 05:30:00</t>
        </is>
      </c>
      <c r="AZ79" t="inlineStr">
        <is>
          <t>CITIN26602720826</t>
        </is>
      </c>
      <c r="BA79" t="n">
        <v>0</v>
      </c>
      <c r="BB79" t="inlineStr">
        <is>
          <t>29e6bd897611f410c16e7a9bcaf142311f6a09dbb9aed3e6cad774e1bd6b13cb</t>
        </is>
      </c>
    </row>
    <row r="80">
      <c r="A80" t="inlineStr">
        <is>
          <t>190</t>
        </is>
      </c>
      <c r="B80" t="inlineStr">
        <is>
          <t>7640213262</t>
        </is>
      </c>
      <c r="C80" t="inlineStr">
        <is>
          <t>2026-01-02 19:59:00</t>
        </is>
      </c>
      <c r="D80" t="inlineStr">
        <is>
          <t>1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229</v>
      </c>
      <c r="P80" t="n">
        <v>3.5</v>
      </c>
      <c r="Q80" t="n">
        <v>0</v>
      </c>
      <c r="R80" t="n">
        <v>68.7</v>
      </c>
      <c r="S80" t="n">
        <v>0</v>
      </c>
      <c r="T80" t="n">
        <v>0</v>
      </c>
      <c r="U80" t="n">
        <v>0</v>
      </c>
      <c r="V80" t="n">
        <v>8.19</v>
      </c>
      <c r="W80" t="n">
        <v>171.99</v>
      </c>
      <c r="X80" t="n">
        <v>163.8</v>
      </c>
      <c r="Y80" t="n">
        <v>19</v>
      </c>
      <c r="Z80" t="n">
        <v>31.12</v>
      </c>
      <c r="AA80" t="n">
        <v>3.16</v>
      </c>
      <c r="AB80" t="n">
        <v>34.28</v>
      </c>
      <c r="AC80" t="n">
        <v>6.17</v>
      </c>
      <c r="AD80" t="n">
        <v>0</v>
      </c>
      <c r="AE80" t="n">
        <v>163.8</v>
      </c>
      <c r="AF80" t="n">
        <v>0</v>
      </c>
      <c r="AG80" t="n">
        <v>0</v>
      </c>
      <c r="AH80" t="n">
        <v>0.16</v>
      </c>
      <c r="AI80" t="n">
        <v>8.199999999999999</v>
      </c>
      <c r="AJ80" t="n">
        <v>-0.01</v>
      </c>
      <c r="AK80" t="n">
        <v>14.53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48.81</v>
      </c>
      <c r="AV80" t="n">
        <v>0</v>
      </c>
      <c r="AW80" t="n">
        <v>123.18</v>
      </c>
      <c r="AX80" t="inlineStr">
        <is>
          <t>settled</t>
        </is>
      </c>
      <c r="AY80" t="inlineStr">
        <is>
          <t>2026-01-07 05:30:00</t>
        </is>
      </c>
      <c r="AZ80" t="inlineStr">
        <is>
          <t>CITIN26602720826</t>
        </is>
      </c>
      <c r="BA80" t="n">
        <v>0</v>
      </c>
      <c r="BB80" t="inlineStr">
        <is>
          <t>07dba0801334e625ffa5c276997d4ab4d0f463a75c3bf7ba9ebfdea7fa376ad7</t>
        </is>
      </c>
    </row>
    <row r="81">
      <c r="A81" t="inlineStr">
        <is>
          <t>191</t>
        </is>
      </c>
      <c r="B81" t="inlineStr">
        <is>
          <t>7647429103</t>
        </is>
      </c>
      <c r="C81" t="inlineStr">
        <is>
          <t>2026-01-02 20:11:34</t>
        </is>
      </c>
      <c r="D81" t="inlineStr">
        <is>
          <t>1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30% off upto ₹75 (2025-06-25 - 2031-01-01)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438</v>
      </c>
      <c r="P81" t="n">
        <v>3.5</v>
      </c>
      <c r="Q81" t="n">
        <v>0</v>
      </c>
      <c r="R81" t="n">
        <v>75</v>
      </c>
      <c r="S81" t="n">
        <v>0</v>
      </c>
      <c r="T81" t="n">
        <v>0</v>
      </c>
      <c r="U81" t="n">
        <v>0</v>
      </c>
      <c r="V81" t="n">
        <v>18.33</v>
      </c>
      <c r="W81" t="n">
        <v>384.83</v>
      </c>
      <c r="X81" t="n">
        <v>366.5</v>
      </c>
      <c r="Y81" t="n">
        <v>19</v>
      </c>
      <c r="Z81" t="n">
        <v>69.64</v>
      </c>
      <c r="AA81" t="n">
        <v>7.08</v>
      </c>
      <c r="AB81" t="n">
        <v>76.72</v>
      </c>
      <c r="AC81" t="n">
        <v>13.81</v>
      </c>
      <c r="AD81" t="n">
        <v>0</v>
      </c>
      <c r="AE81" t="n">
        <v>366.5</v>
      </c>
      <c r="AF81" t="n">
        <v>0</v>
      </c>
      <c r="AG81" t="n">
        <v>0</v>
      </c>
      <c r="AH81" t="n">
        <v>0.37</v>
      </c>
      <c r="AI81" t="n">
        <v>18.33</v>
      </c>
      <c r="AJ81" t="n">
        <v>0</v>
      </c>
      <c r="AK81" t="n">
        <v>32.51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109.23</v>
      </c>
      <c r="AV81" t="n">
        <v>0</v>
      </c>
      <c r="AW81" t="n">
        <v>275.6</v>
      </c>
      <c r="AX81" t="inlineStr">
        <is>
          <t>settled</t>
        </is>
      </c>
      <c r="AY81" t="inlineStr">
        <is>
          <t>2026-01-07 05:30:00</t>
        </is>
      </c>
      <c r="AZ81" t="inlineStr">
        <is>
          <t>CITIN26602720826</t>
        </is>
      </c>
      <c r="BA81" t="n">
        <v>0</v>
      </c>
      <c r="BB81" t="inlineStr">
        <is>
          <t>774c3d7e59b47fe34091e7caaa355f0ee6885d61180b7a56122a577729510f0a</t>
        </is>
      </c>
    </row>
    <row r="82">
      <c r="A82" t="inlineStr">
        <is>
          <t>192</t>
        </is>
      </c>
      <c r="B82" t="inlineStr">
        <is>
          <t>7649045169</t>
        </is>
      </c>
      <c r="C82" t="inlineStr">
        <is>
          <t>2026-01-02 20:15:41</t>
        </is>
      </c>
      <c r="D82" t="inlineStr">
        <is>
          <t>1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30% off upto ₹75 (2025-06-25 - 2031-01-01)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229</v>
      </c>
      <c r="P82" t="n">
        <v>3.5</v>
      </c>
      <c r="Q82" t="n">
        <v>0</v>
      </c>
      <c r="R82" t="n">
        <v>68.7</v>
      </c>
      <c r="S82" t="n">
        <v>0</v>
      </c>
      <c r="T82" t="n">
        <v>0</v>
      </c>
      <c r="U82" t="n">
        <v>0</v>
      </c>
      <c r="V82" t="n">
        <v>8.19</v>
      </c>
      <c r="W82" t="n">
        <v>171.99</v>
      </c>
      <c r="X82" t="n">
        <v>163.8</v>
      </c>
      <c r="Y82" t="n">
        <v>19</v>
      </c>
      <c r="Z82" t="n">
        <v>31.12</v>
      </c>
      <c r="AA82" t="n">
        <v>3.16</v>
      </c>
      <c r="AB82" t="n">
        <v>34.28</v>
      </c>
      <c r="AC82" t="n">
        <v>6.17</v>
      </c>
      <c r="AD82" t="n">
        <v>0</v>
      </c>
      <c r="AE82" t="n">
        <v>163.8</v>
      </c>
      <c r="AF82" t="n">
        <v>0</v>
      </c>
      <c r="AG82" t="n">
        <v>0</v>
      </c>
      <c r="AH82" t="n">
        <v>0.16</v>
      </c>
      <c r="AI82" t="n">
        <v>8.199999999999999</v>
      </c>
      <c r="AJ82" t="n">
        <v>-0.01</v>
      </c>
      <c r="AK82" t="n">
        <v>14.53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48.81</v>
      </c>
      <c r="AV82" t="n">
        <v>0</v>
      </c>
      <c r="AW82" t="n">
        <v>123.18</v>
      </c>
      <c r="AX82" t="inlineStr">
        <is>
          <t>settled</t>
        </is>
      </c>
      <c r="AY82" t="inlineStr">
        <is>
          <t>2026-01-07 05:30:00</t>
        </is>
      </c>
      <c r="AZ82" t="inlineStr">
        <is>
          <t>CITIN26602720826</t>
        </is>
      </c>
      <c r="BA82" t="n">
        <v>0</v>
      </c>
      <c r="BB82" t="inlineStr">
        <is>
          <t>5c20ab94e4d816dfda88d6798105099ed5514f2c177afd1e9be8218015951032</t>
        </is>
      </c>
    </row>
    <row r="83">
      <c r="A83" t="inlineStr">
        <is>
          <t>193</t>
        </is>
      </c>
      <c r="B83" t="inlineStr">
        <is>
          <t>7647984804</t>
        </is>
      </c>
      <c r="C83" t="inlineStr">
        <is>
          <t>2026-01-02 20:24:17</t>
        </is>
      </c>
      <c r="D83" t="inlineStr">
        <is>
          <t>1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229</v>
      </c>
      <c r="P83" t="n">
        <v>3.5</v>
      </c>
      <c r="Q83" t="n">
        <v>0</v>
      </c>
      <c r="R83" t="n">
        <v>68.7</v>
      </c>
      <c r="S83" t="n">
        <v>0</v>
      </c>
      <c r="T83" t="n">
        <v>0</v>
      </c>
      <c r="U83" t="n">
        <v>0</v>
      </c>
      <c r="V83" t="n">
        <v>8.19</v>
      </c>
      <c r="W83" t="n">
        <v>171.99</v>
      </c>
      <c r="X83" t="n">
        <v>163.8</v>
      </c>
      <c r="Y83" t="n">
        <v>19</v>
      </c>
      <c r="Z83" t="n">
        <v>31.12</v>
      </c>
      <c r="AA83" t="n">
        <v>3.16</v>
      </c>
      <c r="AB83" t="n">
        <v>34.28</v>
      </c>
      <c r="AC83" t="n">
        <v>6.17</v>
      </c>
      <c r="AD83" t="n">
        <v>0</v>
      </c>
      <c r="AE83" t="n">
        <v>163.8</v>
      </c>
      <c r="AF83" t="n">
        <v>0</v>
      </c>
      <c r="AG83" t="n">
        <v>0</v>
      </c>
      <c r="AH83" t="n">
        <v>0.16</v>
      </c>
      <c r="AI83" t="n">
        <v>8.199999999999999</v>
      </c>
      <c r="AJ83" t="n">
        <v>-0.01</v>
      </c>
      <c r="AK83" t="n">
        <v>14.53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48.81</v>
      </c>
      <c r="AV83" t="n">
        <v>0</v>
      </c>
      <c r="AW83" t="n">
        <v>123.18</v>
      </c>
      <c r="AX83" t="inlineStr">
        <is>
          <t>settled</t>
        </is>
      </c>
      <c r="AY83" t="inlineStr">
        <is>
          <t>2026-01-07 05:30:00</t>
        </is>
      </c>
      <c r="AZ83" t="inlineStr">
        <is>
          <t>CITIN26602720826</t>
        </is>
      </c>
      <c r="BA83" t="n">
        <v>0</v>
      </c>
      <c r="BB83" t="inlineStr">
        <is>
          <t>1c629f61f38e48ad290033923a963b9e191643a579e40989382397cc2bec1a66</t>
        </is>
      </c>
    </row>
    <row r="84">
      <c r="A84" t="inlineStr">
        <is>
          <t>194</t>
        </is>
      </c>
      <c r="B84" t="inlineStr">
        <is>
          <t>7645676436</t>
        </is>
      </c>
      <c r="C84" t="inlineStr">
        <is>
          <t>2026-01-02 20:43:05</t>
        </is>
      </c>
      <c r="D84" t="inlineStr">
        <is>
          <t>1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30% off upto ₹75 (2025-06-25 - 2031-01-01)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219</v>
      </c>
      <c r="P84" t="n">
        <v>3.5</v>
      </c>
      <c r="Q84" t="n">
        <v>0</v>
      </c>
      <c r="R84" t="n">
        <v>65.7</v>
      </c>
      <c r="S84" t="n">
        <v>0</v>
      </c>
      <c r="T84" t="n">
        <v>0</v>
      </c>
      <c r="U84" t="n">
        <v>0</v>
      </c>
      <c r="V84" t="n">
        <v>7.84</v>
      </c>
      <c r="W84" t="n">
        <v>164.64</v>
      </c>
      <c r="X84" t="n">
        <v>156.8</v>
      </c>
      <c r="Y84" t="n">
        <v>19</v>
      </c>
      <c r="Z84" t="n">
        <v>29.79</v>
      </c>
      <c r="AA84" t="n">
        <v>3.03</v>
      </c>
      <c r="AB84" t="n">
        <v>32.82</v>
      </c>
      <c r="AC84" t="n">
        <v>5.91</v>
      </c>
      <c r="AD84" t="n">
        <v>0</v>
      </c>
      <c r="AE84" t="n">
        <v>156.8</v>
      </c>
      <c r="AF84" t="n">
        <v>0</v>
      </c>
      <c r="AG84" t="n">
        <v>0</v>
      </c>
      <c r="AH84" t="n">
        <v>0.16</v>
      </c>
      <c r="AI84" t="n">
        <v>7.85</v>
      </c>
      <c r="AJ84" t="n">
        <v>-0.01</v>
      </c>
      <c r="AK84" t="n">
        <v>13.92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46.74</v>
      </c>
      <c r="AV84" t="n">
        <v>0</v>
      </c>
      <c r="AW84" t="n">
        <v>117.9</v>
      </c>
      <c r="AX84" t="inlineStr">
        <is>
          <t>settled</t>
        </is>
      </c>
      <c r="AY84" t="inlineStr">
        <is>
          <t>2026-01-07 05:30:00</t>
        </is>
      </c>
      <c r="AZ84" t="inlineStr">
        <is>
          <t>CITIN26602720826</t>
        </is>
      </c>
      <c r="BA84" t="n">
        <v>0</v>
      </c>
      <c r="BB84" t="inlineStr">
        <is>
          <t>1446d672b93a1e65264835aeaaedd731f1766754aa3d38b968c1d1d78b54753e</t>
        </is>
      </c>
    </row>
    <row r="85">
      <c r="A85" t="inlineStr">
        <is>
          <t>195</t>
        </is>
      </c>
      <c r="B85" t="inlineStr">
        <is>
          <t>7649231882</t>
        </is>
      </c>
      <c r="C85" t="inlineStr">
        <is>
          <t>2026-01-02 21:54:03</t>
        </is>
      </c>
      <c r="D85" t="inlineStr">
        <is>
          <t>1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30% off upto ₹75 (2025-06-25 - 2031-01-01)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458</v>
      </c>
      <c r="P85" t="n">
        <v>3.5</v>
      </c>
      <c r="Q85" t="n">
        <v>0</v>
      </c>
      <c r="R85" t="n">
        <v>75</v>
      </c>
      <c r="S85" t="n">
        <v>0</v>
      </c>
      <c r="T85" t="n">
        <v>0</v>
      </c>
      <c r="U85" t="n">
        <v>0</v>
      </c>
      <c r="V85" t="n">
        <v>19.33</v>
      </c>
      <c r="W85" t="n">
        <v>405.83</v>
      </c>
      <c r="X85" t="n">
        <v>386.5</v>
      </c>
      <c r="Y85" t="n">
        <v>19</v>
      </c>
      <c r="Z85" t="n">
        <v>73.44</v>
      </c>
      <c r="AA85" t="n">
        <v>7.47</v>
      </c>
      <c r="AB85" t="n">
        <v>80.91</v>
      </c>
      <c r="AC85" t="n">
        <v>14.56</v>
      </c>
      <c r="AD85" t="n">
        <v>0</v>
      </c>
      <c r="AE85" t="n">
        <v>386.5</v>
      </c>
      <c r="AF85" t="n">
        <v>0</v>
      </c>
      <c r="AG85" t="n">
        <v>0</v>
      </c>
      <c r="AH85" t="n">
        <v>0.39</v>
      </c>
      <c r="AI85" t="n">
        <v>19.33</v>
      </c>
      <c r="AJ85" t="n">
        <v>0</v>
      </c>
      <c r="AK85" t="n">
        <v>34.28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115.19</v>
      </c>
      <c r="AV85" t="n">
        <v>0</v>
      </c>
      <c r="AW85" t="n">
        <v>290.64</v>
      </c>
      <c r="AX85" t="inlineStr">
        <is>
          <t>settled</t>
        </is>
      </c>
      <c r="AY85" t="inlineStr">
        <is>
          <t>2026-01-07 05:30:00</t>
        </is>
      </c>
      <c r="AZ85" t="inlineStr">
        <is>
          <t>CITIN26602720826</t>
        </is>
      </c>
      <c r="BA85" t="n">
        <v>0</v>
      </c>
      <c r="BB85" t="inlineStr">
        <is>
          <t>30074b8b4aac3ecd6e97c5c0e8912c6896719ca02c32bea3b8fd8aaa8b862f50</t>
        </is>
      </c>
    </row>
    <row r="86">
      <c r="A86" t="inlineStr">
        <is>
          <t>196</t>
        </is>
      </c>
      <c r="B86" t="inlineStr">
        <is>
          <t>7648509099</t>
        </is>
      </c>
      <c r="C86" t="inlineStr">
        <is>
          <t>2026-01-02 22:13:03</t>
        </is>
      </c>
      <c r="D86" t="inlineStr">
        <is>
          <t>1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229</v>
      </c>
      <c r="P86" t="n">
        <v>3.5</v>
      </c>
      <c r="Q86" t="n">
        <v>0</v>
      </c>
      <c r="R86" t="n">
        <v>68.7</v>
      </c>
      <c r="S86" t="n">
        <v>0</v>
      </c>
      <c r="T86" t="n">
        <v>0</v>
      </c>
      <c r="U86" t="n">
        <v>0</v>
      </c>
      <c r="V86" t="n">
        <v>8.19</v>
      </c>
      <c r="W86" t="n">
        <v>171.99</v>
      </c>
      <c r="X86" t="n">
        <v>163.8</v>
      </c>
      <c r="Y86" t="n">
        <v>19</v>
      </c>
      <c r="Z86" t="n">
        <v>31.12</v>
      </c>
      <c r="AA86" t="n">
        <v>3.16</v>
      </c>
      <c r="AB86" t="n">
        <v>34.28</v>
      </c>
      <c r="AC86" t="n">
        <v>6.17</v>
      </c>
      <c r="AD86" t="n">
        <v>0</v>
      </c>
      <c r="AE86" t="n">
        <v>163.8</v>
      </c>
      <c r="AF86" t="n">
        <v>0</v>
      </c>
      <c r="AG86" t="n">
        <v>0</v>
      </c>
      <c r="AH86" t="n">
        <v>0.16</v>
      </c>
      <c r="AI86" t="n">
        <v>8.199999999999999</v>
      </c>
      <c r="AJ86" t="n">
        <v>-0.01</v>
      </c>
      <c r="AK86" t="n">
        <v>14.53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48.81</v>
      </c>
      <c r="AV86" t="n">
        <v>0</v>
      </c>
      <c r="AW86" t="n">
        <v>123.18</v>
      </c>
      <c r="AX86" t="inlineStr">
        <is>
          <t>settled</t>
        </is>
      </c>
      <c r="AY86" t="inlineStr">
        <is>
          <t>2026-01-07 05:30:00</t>
        </is>
      </c>
      <c r="AZ86" t="inlineStr">
        <is>
          <t>CITIN26602720826</t>
        </is>
      </c>
      <c r="BA86" t="n">
        <v>0</v>
      </c>
      <c r="BB86" t="inlineStr">
        <is>
          <t>b425df884198809b09be877bed1222ffb3491280940f511437286727814906c3</t>
        </is>
      </c>
    </row>
    <row r="87">
      <c r="A87" t="inlineStr">
        <is>
          <t>197</t>
        </is>
      </c>
      <c r="B87" t="inlineStr">
        <is>
          <t>7651029062</t>
        </is>
      </c>
      <c r="C87" t="inlineStr">
        <is>
          <t>2026-01-02 22:31:04</t>
        </is>
      </c>
      <c r="D87" t="inlineStr">
        <is>
          <t>1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30% off upto ₹75 (2025-06-25 - 2031-01-01)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394</v>
      </c>
      <c r="P87" t="n">
        <v>3.5</v>
      </c>
      <c r="Q87" t="n">
        <v>0</v>
      </c>
      <c r="R87" t="n">
        <v>75</v>
      </c>
      <c r="S87" t="n">
        <v>0</v>
      </c>
      <c r="T87" t="n">
        <v>0</v>
      </c>
      <c r="U87" t="n">
        <v>0</v>
      </c>
      <c r="V87" t="n">
        <v>16.13</v>
      </c>
      <c r="W87" t="n">
        <v>338.63</v>
      </c>
      <c r="X87" t="n">
        <v>322.5</v>
      </c>
      <c r="Y87" t="n">
        <v>19</v>
      </c>
      <c r="Z87" t="n">
        <v>61.28</v>
      </c>
      <c r="AA87" t="n">
        <v>6.23</v>
      </c>
      <c r="AB87" t="n">
        <v>67.51000000000001</v>
      </c>
      <c r="AC87" t="n">
        <v>12.15</v>
      </c>
      <c r="AD87" t="n">
        <v>0</v>
      </c>
      <c r="AE87" t="n">
        <v>322.5</v>
      </c>
      <c r="AF87" t="n">
        <v>0</v>
      </c>
      <c r="AG87" t="n">
        <v>0</v>
      </c>
      <c r="AH87" t="n">
        <v>0.32</v>
      </c>
      <c r="AI87" t="n">
        <v>16.13</v>
      </c>
      <c r="AJ87" t="n">
        <v>0</v>
      </c>
      <c r="AK87" t="n">
        <v>28.6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96.11</v>
      </c>
      <c r="AV87" t="n">
        <v>0</v>
      </c>
      <c r="AW87" t="n">
        <v>242.52</v>
      </c>
      <c r="AX87" t="inlineStr">
        <is>
          <t>settled</t>
        </is>
      </c>
      <c r="AY87" t="inlineStr">
        <is>
          <t>2026-01-07 05:30:00</t>
        </is>
      </c>
      <c r="AZ87" t="inlineStr">
        <is>
          <t>CITIN26602720826</t>
        </is>
      </c>
      <c r="BA87" t="n">
        <v>0</v>
      </c>
      <c r="BB87" t="inlineStr">
        <is>
          <t>df0cd7a829eb5c08dc90d3d6721901475d426bd93586de79ff824cd7f20e4ce4</t>
        </is>
      </c>
    </row>
    <row r="88">
      <c r="A88" t="inlineStr">
        <is>
          <t>198</t>
        </is>
      </c>
      <c r="B88" t="inlineStr">
        <is>
          <t>7649041414</t>
        </is>
      </c>
      <c r="C88" t="inlineStr">
        <is>
          <t>2026-01-02 23:14:23</t>
        </is>
      </c>
      <c r="D88" t="inlineStr">
        <is>
          <t>1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229</v>
      </c>
      <c r="P88" t="n">
        <v>3.5</v>
      </c>
      <c r="Q88" t="n">
        <v>0</v>
      </c>
      <c r="R88" t="n">
        <v>68.7</v>
      </c>
      <c r="S88" t="n">
        <v>0</v>
      </c>
      <c r="T88" t="n">
        <v>0</v>
      </c>
      <c r="U88" t="n">
        <v>0</v>
      </c>
      <c r="V88" t="n">
        <v>8.19</v>
      </c>
      <c r="W88" t="n">
        <v>171.99</v>
      </c>
      <c r="X88" t="n">
        <v>163.8</v>
      </c>
      <c r="Y88" t="n">
        <v>19</v>
      </c>
      <c r="Z88" t="n">
        <v>31.12</v>
      </c>
      <c r="AA88" t="n">
        <v>3.16</v>
      </c>
      <c r="AB88" t="n">
        <v>34.28</v>
      </c>
      <c r="AC88" t="n">
        <v>6.17</v>
      </c>
      <c r="AD88" t="n">
        <v>0</v>
      </c>
      <c r="AE88" t="n">
        <v>163.8</v>
      </c>
      <c r="AF88" t="n">
        <v>0</v>
      </c>
      <c r="AG88" t="n">
        <v>0</v>
      </c>
      <c r="AH88" t="n">
        <v>0.16</v>
      </c>
      <c r="AI88" t="n">
        <v>8.199999999999999</v>
      </c>
      <c r="AJ88" t="n">
        <v>-0.01</v>
      </c>
      <c r="AK88" t="n">
        <v>14.53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48.81</v>
      </c>
      <c r="AV88" t="n">
        <v>0</v>
      </c>
      <c r="AW88" t="n">
        <v>123.18</v>
      </c>
      <c r="AX88" t="inlineStr">
        <is>
          <t>settled</t>
        </is>
      </c>
      <c r="AY88" t="inlineStr">
        <is>
          <t>2026-01-07 05:30:00</t>
        </is>
      </c>
      <c r="AZ88" t="inlineStr">
        <is>
          <t>CITIN26602720826</t>
        </is>
      </c>
      <c r="BA88" t="n">
        <v>0</v>
      </c>
      <c r="BB88" t="inlineStr">
        <is>
          <t>57351eb2adf6d97572206644479dab46dfc1436b4773a93498ad8241991cc1c0</t>
        </is>
      </c>
    </row>
    <row r="89">
      <c r="A89" t="inlineStr">
        <is>
          <t>199</t>
        </is>
      </c>
      <c r="B89" t="inlineStr">
        <is>
          <t>7648560838</t>
        </is>
      </c>
      <c r="C89" t="inlineStr">
        <is>
          <t>2026-01-02 23:15:50</t>
        </is>
      </c>
      <c r="D89" t="inlineStr">
        <is>
          <t>1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229</v>
      </c>
      <c r="P89" t="n">
        <v>3.5</v>
      </c>
      <c r="Q89" t="n">
        <v>0</v>
      </c>
      <c r="R89" t="n">
        <v>68.7</v>
      </c>
      <c r="S89" t="n">
        <v>0</v>
      </c>
      <c r="T89" t="n">
        <v>0</v>
      </c>
      <c r="U89" t="n">
        <v>0</v>
      </c>
      <c r="V89" t="n">
        <v>8.19</v>
      </c>
      <c r="W89" t="n">
        <v>171.99</v>
      </c>
      <c r="X89" t="n">
        <v>163.8</v>
      </c>
      <c r="Y89" t="n">
        <v>19</v>
      </c>
      <c r="Z89" t="n">
        <v>31.12</v>
      </c>
      <c r="AA89" t="n">
        <v>3.16</v>
      </c>
      <c r="AB89" t="n">
        <v>34.28</v>
      </c>
      <c r="AC89" t="n">
        <v>6.17</v>
      </c>
      <c r="AD89" t="n">
        <v>0</v>
      </c>
      <c r="AE89" t="n">
        <v>163.8</v>
      </c>
      <c r="AF89" t="n">
        <v>0</v>
      </c>
      <c r="AG89" t="n">
        <v>0</v>
      </c>
      <c r="AH89" t="n">
        <v>0.16</v>
      </c>
      <c r="AI89" t="n">
        <v>8.199999999999999</v>
      </c>
      <c r="AJ89" t="n">
        <v>-0.01</v>
      </c>
      <c r="AK89" t="n">
        <v>14.53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48.81</v>
      </c>
      <c r="AV89" t="n">
        <v>0</v>
      </c>
      <c r="AW89" t="n">
        <v>123.18</v>
      </c>
      <c r="AX89" t="inlineStr">
        <is>
          <t>settled</t>
        </is>
      </c>
      <c r="AY89" t="inlineStr">
        <is>
          <t>2026-01-07 05:30:00</t>
        </is>
      </c>
      <c r="AZ89" t="inlineStr">
        <is>
          <t>CITIN26602720826</t>
        </is>
      </c>
      <c r="BA89" t="n">
        <v>0</v>
      </c>
      <c r="BB89" t="inlineStr">
        <is>
          <t>f8f4ec5d6a400c6f56db6743b8187f2a11926909ee2ff7edfdded721e1f9c016</t>
        </is>
      </c>
    </row>
    <row r="90">
      <c r="A90" t="inlineStr">
        <is>
          <t>200</t>
        </is>
      </c>
      <c r="B90" t="inlineStr">
        <is>
          <t>7637442839</t>
        </is>
      </c>
      <c r="C90" t="inlineStr">
        <is>
          <t>2026-01-02 23:17:59</t>
        </is>
      </c>
      <c r="D90" t="inlineStr">
        <is>
          <t>1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229</v>
      </c>
      <c r="P90" t="n">
        <v>3.5</v>
      </c>
      <c r="Q90" t="n">
        <v>0</v>
      </c>
      <c r="R90" t="n">
        <v>68.7</v>
      </c>
      <c r="S90" t="n">
        <v>0</v>
      </c>
      <c r="T90" t="n">
        <v>0</v>
      </c>
      <c r="U90" t="n">
        <v>0</v>
      </c>
      <c r="V90" t="n">
        <v>8.19</v>
      </c>
      <c r="W90" t="n">
        <v>171.99</v>
      </c>
      <c r="X90" t="n">
        <v>163.8</v>
      </c>
      <c r="Y90" t="n">
        <v>19</v>
      </c>
      <c r="Z90" t="n">
        <v>31.12</v>
      </c>
      <c r="AA90" t="n">
        <v>3.16</v>
      </c>
      <c r="AB90" t="n">
        <v>34.28</v>
      </c>
      <c r="AC90" t="n">
        <v>6.17</v>
      </c>
      <c r="AD90" t="n">
        <v>0</v>
      </c>
      <c r="AE90" t="n">
        <v>163.8</v>
      </c>
      <c r="AF90" t="n">
        <v>0</v>
      </c>
      <c r="AG90" t="n">
        <v>0</v>
      </c>
      <c r="AH90" t="n">
        <v>0.16</v>
      </c>
      <c r="AI90" t="n">
        <v>8.199999999999999</v>
      </c>
      <c r="AJ90" t="n">
        <v>-0.01</v>
      </c>
      <c r="AK90" t="n">
        <v>14.53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48.81</v>
      </c>
      <c r="AV90" t="n">
        <v>0</v>
      </c>
      <c r="AW90" t="n">
        <v>123.18</v>
      </c>
      <c r="AX90" t="inlineStr">
        <is>
          <t>settled</t>
        </is>
      </c>
      <c r="AY90" t="inlineStr">
        <is>
          <t>2026-01-07 05:30:00</t>
        </is>
      </c>
      <c r="AZ90" t="inlineStr">
        <is>
          <t>CITIN26602720826</t>
        </is>
      </c>
      <c r="BA90" t="n">
        <v>0</v>
      </c>
      <c r="BB90" t="inlineStr">
        <is>
          <t>a8c342d2ed85abebe3f8d33e9140bfc4f133916f12cddd54e7cd11e6274f0ac6</t>
        </is>
      </c>
    </row>
    <row r="91">
      <c r="A91" t="inlineStr">
        <is>
          <t>201</t>
        </is>
      </c>
      <c r="B91" t="inlineStr">
        <is>
          <t>7647708916</t>
        </is>
      </c>
      <c r="C91" t="inlineStr">
        <is>
          <t>2026-01-02 23:47:14</t>
        </is>
      </c>
      <c r="D91" t="inlineStr">
        <is>
          <t>1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438</v>
      </c>
      <c r="P91" t="n">
        <v>3.5</v>
      </c>
      <c r="Q91" t="n">
        <v>0</v>
      </c>
      <c r="R91" t="n">
        <v>75</v>
      </c>
      <c r="S91" t="n">
        <v>0</v>
      </c>
      <c r="T91" t="n">
        <v>0</v>
      </c>
      <c r="U91" t="n">
        <v>0</v>
      </c>
      <c r="V91" t="n">
        <v>18.33</v>
      </c>
      <c r="W91" t="n">
        <v>384.83</v>
      </c>
      <c r="X91" t="n">
        <v>366.5</v>
      </c>
      <c r="Y91" t="n">
        <v>19</v>
      </c>
      <c r="Z91" t="n">
        <v>69.64</v>
      </c>
      <c r="AA91" t="n">
        <v>7.08</v>
      </c>
      <c r="AB91" t="n">
        <v>76.72</v>
      </c>
      <c r="AC91" t="n">
        <v>13.81</v>
      </c>
      <c r="AD91" t="n">
        <v>0</v>
      </c>
      <c r="AE91" t="n">
        <v>366.5</v>
      </c>
      <c r="AF91" t="n">
        <v>0</v>
      </c>
      <c r="AG91" t="n">
        <v>0</v>
      </c>
      <c r="AH91" t="n">
        <v>0.37</v>
      </c>
      <c r="AI91" t="n">
        <v>18.33</v>
      </c>
      <c r="AJ91" t="n">
        <v>0</v>
      </c>
      <c r="AK91" t="n">
        <v>32.51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109.23</v>
      </c>
      <c r="AV91" t="n">
        <v>0</v>
      </c>
      <c r="AW91" t="n">
        <v>275.6</v>
      </c>
      <c r="AX91" t="inlineStr">
        <is>
          <t>settled</t>
        </is>
      </c>
      <c r="AY91" t="inlineStr">
        <is>
          <t>2026-01-07 05:30:00</t>
        </is>
      </c>
      <c r="AZ91" t="inlineStr">
        <is>
          <t>CITIN26602720826</t>
        </is>
      </c>
      <c r="BA91" t="n">
        <v>0</v>
      </c>
      <c r="BB91" t="inlineStr">
        <is>
          <t>5ad19aeffd372d07568f25803c3a188ecc62a38f8ac0ca7a3f05feb29a138e96</t>
        </is>
      </c>
    </row>
    <row r="92">
      <c r="A92" t="inlineStr">
        <is>
          <t>202</t>
        </is>
      </c>
      <c r="B92" t="inlineStr">
        <is>
          <t>7635515217</t>
        </is>
      </c>
      <c r="C92" t="inlineStr">
        <is>
          <t>2026-01-02 23:49:53</t>
        </is>
      </c>
      <c r="D92" t="inlineStr">
        <is>
          <t>1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355</v>
      </c>
      <c r="P92" t="n">
        <v>3.5</v>
      </c>
      <c r="Q92" t="n">
        <v>0</v>
      </c>
      <c r="R92" t="n">
        <v>75</v>
      </c>
      <c r="S92" t="n">
        <v>0</v>
      </c>
      <c r="T92" t="n">
        <v>0</v>
      </c>
      <c r="U92" t="n">
        <v>0</v>
      </c>
      <c r="V92" t="n">
        <v>14.18</v>
      </c>
      <c r="W92" t="n">
        <v>297.68</v>
      </c>
      <c r="X92" t="n">
        <v>283.5</v>
      </c>
      <c r="Y92" t="n">
        <v>19</v>
      </c>
      <c r="Z92" t="n">
        <v>53.86</v>
      </c>
      <c r="AA92" t="n">
        <v>5.48</v>
      </c>
      <c r="AB92" t="n">
        <v>59.34</v>
      </c>
      <c r="AC92" t="n">
        <v>10.68</v>
      </c>
      <c r="AD92" t="n">
        <v>0</v>
      </c>
      <c r="AE92" t="n">
        <v>283.5</v>
      </c>
      <c r="AF92" t="n">
        <v>0</v>
      </c>
      <c r="AG92" t="n">
        <v>0</v>
      </c>
      <c r="AH92" t="n">
        <v>0.28</v>
      </c>
      <c r="AI92" t="n">
        <v>14.18</v>
      </c>
      <c r="AJ92" t="n">
        <v>0</v>
      </c>
      <c r="AK92" t="n">
        <v>25.14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84.48</v>
      </c>
      <c r="AV92" t="n">
        <v>0</v>
      </c>
      <c r="AW92" t="n">
        <v>213.2</v>
      </c>
      <c r="AX92" t="inlineStr">
        <is>
          <t>settled</t>
        </is>
      </c>
      <c r="AY92" t="inlineStr">
        <is>
          <t>2026-01-07 05:30:00</t>
        </is>
      </c>
      <c r="AZ92" t="inlineStr">
        <is>
          <t>CITIN26602720826</t>
        </is>
      </c>
      <c r="BA92" t="n">
        <v>0</v>
      </c>
      <c r="BB92" t="inlineStr">
        <is>
          <t>10e621958af57f760db92273aba8f946bea28fb09ee9cc6804563297dad4d588</t>
        </is>
      </c>
    </row>
    <row r="93">
      <c r="A93" t="inlineStr">
        <is>
          <t>203</t>
        </is>
      </c>
      <c r="B93" t="inlineStr">
        <is>
          <t>7651521493</t>
        </is>
      </c>
      <c r="C93" t="inlineStr">
        <is>
          <t>2026-01-02 23:56:25</t>
        </is>
      </c>
      <c r="D93" t="inlineStr">
        <is>
          <t>1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229</v>
      </c>
      <c r="P93" t="n">
        <v>3.5</v>
      </c>
      <c r="Q93" t="n">
        <v>0</v>
      </c>
      <c r="R93" t="n">
        <v>68.7</v>
      </c>
      <c r="S93" t="n">
        <v>0</v>
      </c>
      <c r="T93" t="n">
        <v>0</v>
      </c>
      <c r="U93" t="n">
        <v>0</v>
      </c>
      <c r="V93" t="n">
        <v>8.19</v>
      </c>
      <c r="W93" t="n">
        <v>171.99</v>
      </c>
      <c r="X93" t="n">
        <v>163.8</v>
      </c>
      <c r="Y93" t="n">
        <v>19</v>
      </c>
      <c r="Z93" t="n">
        <v>31.12</v>
      </c>
      <c r="AA93" t="n">
        <v>3.16</v>
      </c>
      <c r="AB93" t="n">
        <v>34.28</v>
      </c>
      <c r="AC93" t="n">
        <v>6.17</v>
      </c>
      <c r="AD93" t="n">
        <v>0</v>
      </c>
      <c r="AE93" t="n">
        <v>163.8</v>
      </c>
      <c r="AF93" t="n">
        <v>0</v>
      </c>
      <c r="AG93" t="n">
        <v>0</v>
      </c>
      <c r="AH93" t="n">
        <v>0.16</v>
      </c>
      <c r="AI93" t="n">
        <v>8.199999999999999</v>
      </c>
      <c r="AJ93" t="n">
        <v>-0.01</v>
      </c>
      <c r="AK93" t="n">
        <v>14.53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48.81</v>
      </c>
      <c r="AV93" t="n">
        <v>0</v>
      </c>
      <c r="AW93" t="n">
        <v>123.18</v>
      </c>
      <c r="AX93" t="inlineStr">
        <is>
          <t>settled</t>
        </is>
      </c>
      <c r="AY93" t="inlineStr">
        <is>
          <t>2026-01-07 05:30:00</t>
        </is>
      </c>
      <c r="AZ93" t="inlineStr">
        <is>
          <t>CITIN26602720826</t>
        </is>
      </c>
      <c r="BA93" t="n">
        <v>0</v>
      </c>
      <c r="BB93" t="inlineStr">
        <is>
          <t>71aed381ba29bc87d9d759ab7574bf7183d254dd425abb1a2b20aa9bb756700f</t>
        </is>
      </c>
    </row>
    <row r="94">
      <c r="A94" t="inlineStr">
        <is>
          <t>204</t>
        </is>
      </c>
      <c r="B94" t="inlineStr">
        <is>
          <t>7650633096</t>
        </is>
      </c>
      <c r="C94" t="inlineStr">
        <is>
          <t>2026-01-03 00:02:01</t>
        </is>
      </c>
      <c r="D94" t="inlineStr">
        <is>
          <t>1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229</v>
      </c>
      <c r="P94" t="n">
        <v>3.5</v>
      </c>
      <c r="Q94" t="n">
        <v>0</v>
      </c>
      <c r="R94" t="n">
        <v>68.7</v>
      </c>
      <c r="S94" t="n">
        <v>0</v>
      </c>
      <c r="T94" t="n">
        <v>0</v>
      </c>
      <c r="U94" t="n">
        <v>0</v>
      </c>
      <c r="V94" t="n">
        <v>8.19</v>
      </c>
      <c r="W94" t="n">
        <v>171.99</v>
      </c>
      <c r="X94" t="n">
        <v>163.8</v>
      </c>
      <c r="Y94" t="n">
        <v>19</v>
      </c>
      <c r="Z94" t="n">
        <v>31.12</v>
      </c>
      <c r="AA94" t="n">
        <v>3.16</v>
      </c>
      <c r="AB94" t="n">
        <v>34.28</v>
      </c>
      <c r="AC94" t="n">
        <v>6.17</v>
      </c>
      <c r="AD94" t="n">
        <v>0</v>
      </c>
      <c r="AE94" t="n">
        <v>163.8</v>
      </c>
      <c r="AF94" t="n">
        <v>0</v>
      </c>
      <c r="AG94" t="n">
        <v>0</v>
      </c>
      <c r="AH94" t="n">
        <v>0.16</v>
      </c>
      <c r="AI94" t="n">
        <v>8.199999999999999</v>
      </c>
      <c r="AJ94" t="n">
        <v>-0.01</v>
      </c>
      <c r="AK94" t="n">
        <v>14.53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48.81</v>
      </c>
      <c r="AV94" t="n">
        <v>0</v>
      </c>
      <c r="AW94" t="n">
        <v>123.18</v>
      </c>
      <c r="AX94" t="inlineStr">
        <is>
          <t>settled</t>
        </is>
      </c>
      <c r="AY94" t="inlineStr">
        <is>
          <t>2026-01-07 05:30:00</t>
        </is>
      </c>
      <c r="AZ94" t="inlineStr">
        <is>
          <t>CITIN26602720826</t>
        </is>
      </c>
      <c r="BA94" t="n">
        <v>0</v>
      </c>
      <c r="BB94" t="inlineStr">
        <is>
          <t>8e48e1080a0a48249f1b01193b75bb0a38fafa092609bd465d2289f0ad953714</t>
        </is>
      </c>
    </row>
    <row r="95">
      <c r="A95" t="inlineStr">
        <is>
          <t>205</t>
        </is>
      </c>
      <c r="B95" t="inlineStr">
        <is>
          <t>7638621644</t>
        </is>
      </c>
      <c r="C95" t="inlineStr">
        <is>
          <t>2026-01-03 00:19:26</t>
        </is>
      </c>
      <c r="D95" t="inlineStr">
        <is>
          <t>1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219</v>
      </c>
      <c r="P95" t="n">
        <v>3.5</v>
      </c>
      <c r="Q95" t="n">
        <v>0</v>
      </c>
      <c r="R95" t="n">
        <v>65.7</v>
      </c>
      <c r="S95" t="n">
        <v>0</v>
      </c>
      <c r="T95" t="n">
        <v>0</v>
      </c>
      <c r="U95" t="n">
        <v>0</v>
      </c>
      <c r="V95" t="n">
        <v>7.84</v>
      </c>
      <c r="W95" t="n">
        <v>164.64</v>
      </c>
      <c r="X95" t="n">
        <v>156.8</v>
      </c>
      <c r="Y95" t="n">
        <v>19</v>
      </c>
      <c r="Z95" t="n">
        <v>29.79</v>
      </c>
      <c r="AA95" t="n">
        <v>3.03</v>
      </c>
      <c r="AB95" t="n">
        <v>32.82</v>
      </c>
      <c r="AC95" t="n">
        <v>5.91</v>
      </c>
      <c r="AD95" t="n">
        <v>0</v>
      </c>
      <c r="AE95" t="n">
        <v>156.8</v>
      </c>
      <c r="AF95" t="n">
        <v>0</v>
      </c>
      <c r="AG95" t="n">
        <v>0</v>
      </c>
      <c r="AH95" t="n">
        <v>0.16</v>
      </c>
      <c r="AI95" t="n">
        <v>7.85</v>
      </c>
      <c r="AJ95" t="n">
        <v>-0.01</v>
      </c>
      <c r="AK95" t="n">
        <v>13.92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46.74</v>
      </c>
      <c r="AV95" t="n">
        <v>0</v>
      </c>
      <c r="AW95" t="n">
        <v>117.9</v>
      </c>
      <c r="AX95" t="inlineStr">
        <is>
          <t>settled</t>
        </is>
      </c>
      <c r="AY95" t="inlineStr">
        <is>
          <t>2026-01-07 05:30:00</t>
        </is>
      </c>
      <c r="AZ95" t="inlineStr">
        <is>
          <t>CITIN26602720826</t>
        </is>
      </c>
      <c r="BA95" t="n">
        <v>0</v>
      </c>
      <c r="BB95" t="inlineStr">
        <is>
          <t>2ccbc9f808a70bc8eb3bcdaa3e9c9298bf6920bd6400e5fa875bf882acb585d7</t>
        </is>
      </c>
    </row>
    <row r="96">
      <c r="A96" t="inlineStr">
        <is>
          <t>206</t>
        </is>
      </c>
      <c r="B96" t="inlineStr">
        <is>
          <t>7647511733</t>
        </is>
      </c>
      <c r="C96" t="inlineStr">
        <is>
          <t>2026-01-03 00:19:33</t>
        </is>
      </c>
      <c r="D96" t="inlineStr">
        <is>
          <t>1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229</v>
      </c>
      <c r="P96" t="n">
        <v>3.5</v>
      </c>
      <c r="Q96" t="n">
        <v>0</v>
      </c>
      <c r="R96" t="n">
        <v>68.7</v>
      </c>
      <c r="S96" t="n">
        <v>0</v>
      </c>
      <c r="T96" t="n">
        <v>0</v>
      </c>
      <c r="U96" t="n">
        <v>0</v>
      </c>
      <c r="V96" t="n">
        <v>8.19</v>
      </c>
      <c r="W96" t="n">
        <v>171.99</v>
      </c>
      <c r="X96" t="n">
        <v>163.8</v>
      </c>
      <c r="Y96" t="n">
        <v>19</v>
      </c>
      <c r="Z96" t="n">
        <v>31.12</v>
      </c>
      <c r="AA96" t="n">
        <v>3.16</v>
      </c>
      <c r="AB96" t="n">
        <v>34.28</v>
      </c>
      <c r="AC96" t="n">
        <v>6.17</v>
      </c>
      <c r="AD96" t="n">
        <v>0</v>
      </c>
      <c r="AE96" t="n">
        <v>163.8</v>
      </c>
      <c r="AF96" t="n">
        <v>0</v>
      </c>
      <c r="AG96" t="n">
        <v>0</v>
      </c>
      <c r="AH96" t="n">
        <v>0.16</v>
      </c>
      <c r="AI96" t="n">
        <v>8.199999999999999</v>
      </c>
      <c r="AJ96" t="n">
        <v>-0.01</v>
      </c>
      <c r="AK96" t="n">
        <v>14.53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48.81</v>
      </c>
      <c r="AV96" t="n">
        <v>0</v>
      </c>
      <c r="AW96" t="n">
        <v>123.18</v>
      </c>
      <c r="AX96" t="inlineStr">
        <is>
          <t>settled</t>
        </is>
      </c>
      <c r="AY96" t="inlineStr">
        <is>
          <t>2026-01-07 05:30:00</t>
        </is>
      </c>
      <c r="AZ96" t="inlineStr">
        <is>
          <t>CITIN26602720826</t>
        </is>
      </c>
      <c r="BA96" t="n">
        <v>0</v>
      </c>
      <c r="BB96" t="inlineStr">
        <is>
          <t>8db046e830d9a570dab9c4fbbe0da65a19abfdf85e3c223651a1981703004e68</t>
        </is>
      </c>
    </row>
    <row r="97">
      <c r="A97" t="inlineStr">
        <is>
          <t>207</t>
        </is>
      </c>
      <c r="B97" t="inlineStr">
        <is>
          <t>7650387056</t>
        </is>
      </c>
      <c r="C97" t="inlineStr">
        <is>
          <t>2026-01-03 00:45:52</t>
        </is>
      </c>
      <c r="D97" t="inlineStr">
        <is>
          <t>1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229</v>
      </c>
      <c r="P97" t="n">
        <v>3.5</v>
      </c>
      <c r="Q97" t="n">
        <v>0</v>
      </c>
      <c r="R97" t="n">
        <v>68.7</v>
      </c>
      <c r="S97" t="n">
        <v>0</v>
      </c>
      <c r="T97" t="n">
        <v>0</v>
      </c>
      <c r="U97" t="n">
        <v>0</v>
      </c>
      <c r="V97" t="n">
        <v>8.19</v>
      </c>
      <c r="W97" t="n">
        <v>171.99</v>
      </c>
      <c r="X97" t="n">
        <v>163.8</v>
      </c>
      <c r="Y97" t="n">
        <v>19</v>
      </c>
      <c r="Z97" t="n">
        <v>31.12</v>
      </c>
      <c r="AA97" t="n">
        <v>3.16</v>
      </c>
      <c r="AB97" t="n">
        <v>34.28</v>
      </c>
      <c r="AC97" t="n">
        <v>6.17</v>
      </c>
      <c r="AD97" t="n">
        <v>0</v>
      </c>
      <c r="AE97" t="n">
        <v>163.8</v>
      </c>
      <c r="AF97" t="n">
        <v>0</v>
      </c>
      <c r="AG97" t="n">
        <v>0</v>
      </c>
      <c r="AH97" t="n">
        <v>0.16</v>
      </c>
      <c r="AI97" t="n">
        <v>8.199999999999999</v>
      </c>
      <c r="AJ97" t="n">
        <v>-0.01</v>
      </c>
      <c r="AK97" t="n">
        <v>14.53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48.81</v>
      </c>
      <c r="AV97" t="n">
        <v>0</v>
      </c>
      <c r="AW97" t="n">
        <v>123.18</v>
      </c>
      <c r="AX97" t="inlineStr">
        <is>
          <t>settled</t>
        </is>
      </c>
      <c r="AY97" t="inlineStr">
        <is>
          <t>2026-01-07 05:30:00</t>
        </is>
      </c>
      <c r="AZ97" t="inlineStr">
        <is>
          <t>CITIN26602720826</t>
        </is>
      </c>
      <c r="BA97" t="n">
        <v>0</v>
      </c>
      <c r="BB97" t="inlineStr">
        <is>
          <t>b23b087eb244739ed3b01de85dd22da52a2b9168aa58d488b719bad75e858f6c</t>
        </is>
      </c>
    </row>
    <row r="98">
      <c r="A98" t="inlineStr">
        <is>
          <t>208</t>
        </is>
      </c>
      <c r="B98" t="inlineStr">
        <is>
          <t>7643195439</t>
        </is>
      </c>
      <c r="C98" t="inlineStr">
        <is>
          <t>2026-01-03 00:47:55</t>
        </is>
      </c>
      <c r="D98" t="inlineStr">
        <is>
          <t>1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229</v>
      </c>
      <c r="P98" t="n">
        <v>3.5</v>
      </c>
      <c r="Q98" t="n">
        <v>0</v>
      </c>
      <c r="R98" t="n">
        <v>68.7</v>
      </c>
      <c r="S98" t="n">
        <v>0</v>
      </c>
      <c r="T98" t="n">
        <v>0</v>
      </c>
      <c r="U98" t="n">
        <v>0</v>
      </c>
      <c r="V98" t="n">
        <v>8.19</v>
      </c>
      <c r="W98" t="n">
        <v>171.99</v>
      </c>
      <c r="X98" t="n">
        <v>163.8</v>
      </c>
      <c r="Y98" t="n">
        <v>19</v>
      </c>
      <c r="Z98" t="n">
        <v>31.12</v>
      </c>
      <c r="AA98" t="n">
        <v>3.16</v>
      </c>
      <c r="AB98" t="n">
        <v>34.28</v>
      </c>
      <c r="AC98" t="n">
        <v>6.17</v>
      </c>
      <c r="AD98" t="n">
        <v>0</v>
      </c>
      <c r="AE98" t="n">
        <v>163.8</v>
      </c>
      <c r="AF98" t="n">
        <v>0</v>
      </c>
      <c r="AG98" t="n">
        <v>0</v>
      </c>
      <c r="AH98" t="n">
        <v>0.16</v>
      </c>
      <c r="AI98" t="n">
        <v>8.199999999999999</v>
      </c>
      <c r="AJ98" t="n">
        <v>-0.01</v>
      </c>
      <c r="AK98" t="n">
        <v>14.53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48.81</v>
      </c>
      <c r="AV98" t="n">
        <v>0</v>
      </c>
      <c r="AW98" t="n">
        <v>123.18</v>
      </c>
      <c r="AX98" t="inlineStr">
        <is>
          <t>settled</t>
        </is>
      </c>
      <c r="AY98" t="inlineStr">
        <is>
          <t>2026-01-07 05:30:00</t>
        </is>
      </c>
      <c r="AZ98" t="inlineStr">
        <is>
          <t>CITIN26602720826</t>
        </is>
      </c>
      <c r="BA98" t="n">
        <v>0</v>
      </c>
      <c r="BB98" t="inlineStr">
        <is>
          <t>e0de046eec611107b81147c8aa6567d017a853550106e659370e352e01c78bcc</t>
        </is>
      </c>
    </row>
    <row r="99">
      <c r="A99" t="inlineStr">
        <is>
          <t>209</t>
        </is>
      </c>
      <c r="B99" t="inlineStr">
        <is>
          <t>7649228932</t>
        </is>
      </c>
      <c r="C99" t="inlineStr">
        <is>
          <t>2026-01-03 00:55:03</t>
        </is>
      </c>
      <c r="D99" t="inlineStr">
        <is>
          <t>1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219</v>
      </c>
      <c r="P99" t="n">
        <v>3.5</v>
      </c>
      <c r="Q99" t="n">
        <v>0</v>
      </c>
      <c r="R99" t="n">
        <v>65.7</v>
      </c>
      <c r="S99" t="n">
        <v>0</v>
      </c>
      <c r="T99" t="n">
        <v>0</v>
      </c>
      <c r="U99" t="n">
        <v>0</v>
      </c>
      <c r="V99" t="n">
        <v>7.84</v>
      </c>
      <c r="W99" t="n">
        <v>164.64</v>
      </c>
      <c r="X99" t="n">
        <v>156.8</v>
      </c>
      <c r="Y99" t="n">
        <v>19</v>
      </c>
      <c r="Z99" t="n">
        <v>29.79</v>
      </c>
      <c r="AA99" t="n">
        <v>3.03</v>
      </c>
      <c r="AB99" t="n">
        <v>32.82</v>
      </c>
      <c r="AC99" t="n">
        <v>5.91</v>
      </c>
      <c r="AD99" t="n">
        <v>0</v>
      </c>
      <c r="AE99" t="n">
        <v>156.8</v>
      </c>
      <c r="AF99" t="n">
        <v>0</v>
      </c>
      <c r="AG99" t="n">
        <v>0</v>
      </c>
      <c r="AH99" t="n">
        <v>0.16</v>
      </c>
      <c r="AI99" t="n">
        <v>7.85</v>
      </c>
      <c r="AJ99" t="n">
        <v>-0.01</v>
      </c>
      <c r="AK99" t="n">
        <v>13.92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46.74</v>
      </c>
      <c r="AV99" t="n">
        <v>0</v>
      </c>
      <c r="AW99" t="n">
        <v>117.9</v>
      </c>
      <c r="AX99" t="inlineStr">
        <is>
          <t>settled</t>
        </is>
      </c>
      <c r="AY99" t="inlineStr">
        <is>
          <t>2026-01-07 05:30:00</t>
        </is>
      </c>
      <c r="AZ99" t="inlineStr">
        <is>
          <t>CITIN26602720826</t>
        </is>
      </c>
      <c r="BA99" t="n">
        <v>0</v>
      </c>
      <c r="BB99" t="inlineStr">
        <is>
          <t>872125e862f4340e406aa3820e14d43fcff30904f7eac594e510a56aaf513aa3</t>
        </is>
      </c>
    </row>
    <row r="100">
      <c r="A100" t="inlineStr">
        <is>
          <t>210</t>
        </is>
      </c>
      <c r="B100" t="inlineStr">
        <is>
          <t>7623842797</t>
        </is>
      </c>
      <c r="C100" t="inlineStr">
        <is>
          <t>2026-01-03 01:08:10</t>
        </is>
      </c>
      <c r="D100" t="inlineStr">
        <is>
          <t>1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NA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229</v>
      </c>
      <c r="P100" t="n">
        <v>3.5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11.63</v>
      </c>
      <c r="W100" t="n">
        <v>244.13</v>
      </c>
      <c r="X100" t="n">
        <v>232.5</v>
      </c>
      <c r="Y100" t="n">
        <v>19</v>
      </c>
      <c r="Z100" t="n">
        <v>44.18</v>
      </c>
      <c r="AA100" t="n">
        <v>4.49</v>
      </c>
      <c r="AB100" t="n">
        <v>48.67</v>
      </c>
      <c r="AC100" t="n">
        <v>8.76</v>
      </c>
      <c r="AD100" t="n">
        <v>0</v>
      </c>
      <c r="AE100" t="n">
        <v>232.5</v>
      </c>
      <c r="AF100" t="n">
        <v>0</v>
      </c>
      <c r="AG100" t="n">
        <v>0</v>
      </c>
      <c r="AH100" t="n">
        <v>0.23</v>
      </c>
      <c r="AI100" t="n">
        <v>11.63</v>
      </c>
      <c r="AJ100" t="n">
        <v>0</v>
      </c>
      <c r="AK100" t="n">
        <v>20.62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69.29000000000001</v>
      </c>
      <c r="AV100" t="n">
        <v>0</v>
      </c>
      <c r="AW100" t="n">
        <v>174.84</v>
      </c>
      <c r="AX100" t="inlineStr">
        <is>
          <t>settled</t>
        </is>
      </c>
      <c r="AY100" t="inlineStr">
        <is>
          <t>2026-01-07 05:30:00</t>
        </is>
      </c>
      <c r="AZ100" t="inlineStr">
        <is>
          <t>CITIN26602720826</t>
        </is>
      </c>
      <c r="BA100" t="n">
        <v>0</v>
      </c>
      <c r="BB100" t="inlineStr">
        <is>
          <t>71540ed170b6a566fb5266ad657c4804cab74c3c5fd517fab9ea0b6181cba22e</t>
        </is>
      </c>
    </row>
    <row r="101">
      <c r="A101" t="inlineStr">
        <is>
          <t>211</t>
        </is>
      </c>
      <c r="B101" t="inlineStr">
        <is>
          <t>7631693555</t>
        </is>
      </c>
      <c r="C101" t="inlineStr">
        <is>
          <t>2026-01-03 01:11:27</t>
        </is>
      </c>
      <c r="D101" t="inlineStr">
        <is>
          <t>1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229</v>
      </c>
      <c r="P101" t="n">
        <v>3.5</v>
      </c>
      <c r="Q101" t="n">
        <v>0</v>
      </c>
      <c r="R101" t="n">
        <v>68.7</v>
      </c>
      <c r="S101" t="n">
        <v>0</v>
      </c>
      <c r="T101" t="n">
        <v>0</v>
      </c>
      <c r="U101" t="n">
        <v>0</v>
      </c>
      <c r="V101" t="n">
        <v>8.19</v>
      </c>
      <c r="W101" t="n">
        <v>171.99</v>
      </c>
      <c r="X101" t="n">
        <v>163.8</v>
      </c>
      <c r="Y101" t="n">
        <v>19</v>
      </c>
      <c r="Z101" t="n">
        <v>31.12</v>
      </c>
      <c r="AA101" t="n">
        <v>3.16</v>
      </c>
      <c r="AB101" t="n">
        <v>34.28</v>
      </c>
      <c r="AC101" t="n">
        <v>6.17</v>
      </c>
      <c r="AD101" t="n">
        <v>0</v>
      </c>
      <c r="AE101" t="n">
        <v>163.8</v>
      </c>
      <c r="AF101" t="n">
        <v>0</v>
      </c>
      <c r="AG101" t="n">
        <v>0</v>
      </c>
      <c r="AH101" t="n">
        <v>0.16</v>
      </c>
      <c r="AI101" t="n">
        <v>8.199999999999999</v>
      </c>
      <c r="AJ101" t="n">
        <v>-0.01</v>
      </c>
      <c r="AK101" t="n">
        <v>14.53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48.81</v>
      </c>
      <c r="AV101" t="n">
        <v>0</v>
      </c>
      <c r="AW101" t="n">
        <v>123.18</v>
      </c>
      <c r="AX101" t="inlineStr">
        <is>
          <t>settled</t>
        </is>
      </c>
      <c r="AY101" t="inlineStr">
        <is>
          <t>2026-01-07 05:30:00</t>
        </is>
      </c>
      <c r="AZ101" t="inlineStr">
        <is>
          <t>CITIN26602720826</t>
        </is>
      </c>
      <c r="BA101" t="n">
        <v>0</v>
      </c>
      <c r="BB101" t="inlineStr">
        <is>
          <t>13f299afc2920c827efe2cccf4adafa1396e06329131c73f9a9537b22e7859e8</t>
        </is>
      </c>
    </row>
    <row r="102">
      <c r="A102" t="inlineStr">
        <is>
          <t>212</t>
        </is>
      </c>
      <c r="B102" t="inlineStr">
        <is>
          <t>7628669034</t>
        </is>
      </c>
      <c r="C102" t="inlineStr">
        <is>
          <t>2026-01-03 01:28:44</t>
        </is>
      </c>
      <c r="D102" t="inlineStr">
        <is>
          <t>1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219</v>
      </c>
      <c r="P102" t="n">
        <v>3.5</v>
      </c>
      <c r="Q102" t="n">
        <v>0</v>
      </c>
      <c r="R102" t="n">
        <v>65.7</v>
      </c>
      <c r="S102" t="n">
        <v>0</v>
      </c>
      <c r="T102" t="n">
        <v>0</v>
      </c>
      <c r="U102" t="n">
        <v>0</v>
      </c>
      <c r="V102" t="n">
        <v>7.84</v>
      </c>
      <c r="W102" t="n">
        <v>164.64</v>
      </c>
      <c r="X102" t="n">
        <v>156.8</v>
      </c>
      <c r="Y102" t="n">
        <v>19</v>
      </c>
      <c r="Z102" t="n">
        <v>29.79</v>
      </c>
      <c r="AA102" t="n">
        <v>3.03</v>
      </c>
      <c r="AB102" t="n">
        <v>32.82</v>
      </c>
      <c r="AC102" t="n">
        <v>5.91</v>
      </c>
      <c r="AD102" t="n">
        <v>0</v>
      </c>
      <c r="AE102" t="n">
        <v>156.8</v>
      </c>
      <c r="AF102" t="n">
        <v>0</v>
      </c>
      <c r="AG102" t="n">
        <v>0</v>
      </c>
      <c r="AH102" t="n">
        <v>0.16</v>
      </c>
      <c r="AI102" t="n">
        <v>7.85</v>
      </c>
      <c r="AJ102" t="n">
        <v>-0.01</v>
      </c>
      <c r="AK102" t="n">
        <v>13.92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46.74</v>
      </c>
      <c r="AV102" t="n">
        <v>0</v>
      </c>
      <c r="AW102" t="n">
        <v>117.9</v>
      </c>
      <c r="AX102" t="inlineStr">
        <is>
          <t>settled</t>
        </is>
      </c>
      <c r="AY102" t="inlineStr">
        <is>
          <t>2026-01-07 05:30:00</t>
        </is>
      </c>
      <c r="AZ102" t="inlineStr">
        <is>
          <t>CITIN26602720826</t>
        </is>
      </c>
      <c r="BA102" t="n">
        <v>0</v>
      </c>
      <c r="BB102" t="inlineStr">
        <is>
          <t>479a676ca35c2d0b8045b6e46bb0d8c19dfe147ad270e2617921ca2755b27cfa</t>
        </is>
      </c>
    </row>
    <row r="103">
      <c r="A103" t="inlineStr">
        <is>
          <t>213</t>
        </is>
      </c>
      <c r="B103" t="inlineStr">
        <is>
          <t>7648185879</t>
        </is>
      </c>
      <c r="C103" t="inlineStr">
        <is>
          <t>2026-01-03 01:29:57</t>
        </is>
      </c>
      <c r="D103" t="inlineStr">
        <is>
          <t>1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229</v>
      </c>
      <c r="P103" t="n">
        <v>3.5</v>
      </c>
      <c r="Q103" t="n">
        <v>0</v>
      </c>
      <c r="R103" t="n">
        <v>68.7</v>
      </c>
      <c r="S103" t="n">
        <v>0</v>
      </c>
      <c r="T103" t="n">
        <v>0</v>
      </c>
      <c r="U103" t="n">
        <v>0</v>
      </c>
      <c r="V103" t="n">
        <v>8.19</v>
      </c>
      <c r="W103" t="n">
        <v>171.99</v>
      </c>
      <c r="X103" t="n">
        <v>163.8</v>
      </c>
      <c r="Y103" t="n">
        <v>19</v>
      </c>
      <c r="Z103" t="n">
        <v>31.12</v>
      </c>
      <c r="AA103" t="n">
        <v>3.16</v>
      </c>
      <c r="AB103" t="n">
        <v>34.28</v>
      </c>
      <c r="AC103" t="n">
        <v>6.17</v>
      </c>
      <c r="AD103" t="n">
        <v>0</v>
      </c>
      <c r="AE103" t="n">
        <v>163.8</v>
      </c>
      <c r="AF103" t="n">
        <v>0</v>
      </c>
      <c r="AG103" t="n">
        <v>0</v>
      </c>
      <c r="AH103" t="n">
        <v>0.16</v>
      </c>
      <c r="AI103" t="n">
        <v>8.199999999999999</v>
      </c>
      <c r="AJ103" t="n">
        <v>-0.01</v>
      </c>
      <c r="AK103" t="n">
        <v>14.53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48.81</v>
      </c>
      <c r="AV103" t="n">
        <v>0</v>
      </c>
      <c r="AW103" t="n">
        <v>123.18</v>
      </c>
      <c r="AX103" t="inlineStr">
        <is>
          <t>settled</t>
        </is>
      </c>
      <c r="AY103" t="inlineStr">
        <is>
          <t>2026-01-07 05:30:00</t>
        </is>
      </c>
      <c r="AZ103" t="inlineStr">
        <is>
          <t>CITIN26602720826</t>
        </is>
      </c>
      <c r="BA103" t="n">
        <v>0</v>
      </c>
      <c r="BB103" t="inlineStr">
        <is>
          <t>92233ccdcaaa536f036ec05ccf350f9314c357e54b3913eb35075d85bbd08e60</t>
        </is>
      </c>
    </row>
    <row r="104">
      <c r="A104" t="inlineStr">
        <is>
          <t>214</t>
        </is>
      </c>
      <c r="B104" t="inlineStr">
        <is>
          <t>7650820691</t>
        </is>
      </c>
      <c r="C104" t="inlineStr">
        <is>
          <t>2026-01-03 01:41:01</t>
        </is>
      </c>
      <c r="D104" t="inlineStr">
        <is>
          <t>1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338</v>
      </c>
      <c r="P104" t="n">
        <v>3.5</v>
      </c>
      <c r="Q104" t="n">
        <v>0</v>
      </c>
      <c r="R104" t="n">
        <v>75</v>
      </c>
      <c r="S104" t="n">
        <v>0</v>
      </c>
      <c r="T104" t="n">
        <v>0</v>
      </c>
      <c r="U104" t="n">
        <v>0</v>
      </c>
      <c r="V104" t="n">
        <v>13.33</v>
      </c>
      <c r="W104" t="n">
        <v>279.83</v>
      </c>
      <c r="X104" t="n">
        <v>266.5</v>
      </c>
      <c r="Y104" t="n">
        <v>19</v>
      </c>
      <c r="Z104" t="n">
        <v>50.64</v>
      </c>
      <c r="AA104" t="n">
        <v>5.15</v>
      </c>
      <c r="AB104" t="n">
        <v>55.79</v>
      </c>
      <c r="AC104" t="n">
        <v>10.05</v>
      </c>
      <c r="AD104" t="n">
        <v>0</v>
      </c>
      <c r="AE104" t="n">
        <v>266.5</v>
      </c>
      <c r="AF104" t="n">
        <v>0</v>
      </c>
      <c r="AG104" t="n">
        <v>0</v>
      </c>
      <c r="AH104" t="n">
        <v>0.27</v>
      </c>
      <c r="AI104" t="n">
        <v>13.33</v>
      </c>
      <c r="AJ104" t="n">
        <v>0</v>
      </c>
      <c r="AK104" t="n">
        <v>23.65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79.44</v>
      </c>
      <c r="AV104" t="n">
        <v>0</v>
      </c>
      <c r="AW104" t="n">
        <v>200.39</v>
      </c>
      <c r="AX104" t="inlineStr">
        <is>
          <t>settled</t>
        </is>
      </c>
      <c r="AY104" t="inlineStr">
        <is>
          <t>2026-01-07 05:30:00</t>
        </is>
      </c>
      <c r="AZ104" t="inlineStr">
        <is>
          <t>CITIN26602720826</t>
        </is>
      </c>
      <c r="BA104" t="n">
        <v>0</v>
      </c>
      <c r="BB104" t="inlineStr">
        <is>
          <t>449369f92bff52602ba48e627f3d050b69d0be56893bded3b25a2c182087b195</t>
        </is>
      </c>
    </row>
    <row r="105">
      <c r="A105" t="inlineStr">
        <is>
          <t>215</t>
        </is>
      </c>
      <c r="B105" t="inlineStr">
        <is>
          <t>7640124727</t>
        </is>
      </c>
      <c r="C105" t="inlineStr">
        <is>
          <t>2026-01-03 01:45:55</t>
        </is>
      </c>
      <c r="D105" t="inlineStr">
        <is>
          <t>1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30% off upto ₹75 (2025-06-25 - 2031-01-01)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219</v>
      </c>
      <c r="P105" t="n">
        <v>3.5</v>
      </c>
      <c r="Q105" t="n">
        <v>0</v>
      </c>
      <c r="R105" t="n">
        <v>65.7</v>
      </c>
      <c r="S105" t="n">
        <v>0</v>
      </c>
      <c r="T105" t="n">
        <v>0</v>
      </c>
      <c r="U105" t="n">
        <v>0</v>
      </c>
      <c r="V105" t="n">
        <v>7.84</v>
      </c>
      <c r="W105" t="n">
        <v>164.64</v>
      </c>
      <c r="X105" t="n">
        <v>156.8</v>
      </c>
      <c r="Y105" t="n">
        <v>19</v>
      </c>
      <c r="Z105" t="n">
        <v>29.79</v>
      </c>
      <c r="AA105" t="n">
        <v>3.03</v>
      </c>
      <c r="AB105" t="n">
        <v>32.82</v>
      </c>
      <c r="AC105" t="n">
        <v>5.91</v>
      </c>
      <c r="AD105" t="n">
        <v>0</v>
      </c>
      <c r="AE105" t="n">
        <v>156.8</v>
      </c>
      <c r="AF105" t="n">
        <v>0</v>
      </c>
      <c r="AG105" t="n">
        <v>0</v>
      </c>
      <c r="AH105" t="n">
        <v>0.16</v>
      </c>
      <c r="AI105" t="n">
        <v>7.85</v>
      </c>
      <c r="AJ105" t="n">
        <v>-0.01</v>
      </c>
      <c r="AK105" t="n">
        <v>13.92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46.74</v>
      </c>
      <c r="AV105" t="n">
        <v>0</v>
      </c>
      <c r="AW105" t="n">
        <v>117.9</v>
      </c>
      <c r="AX105" t="inlineStr">
        <is>
          <t>settled</t>
        </is>
      </c>
      <c r="AY105" t="inlineStr">
        <is>
          <t>2026-01-07 05:30:00</t>
        </is>
      </c>
      <c r="AZ105" t="inlineStr">
        <is>
          <t>CITIN26602720826</t>
        </is>
      </c>
      <c r="BA105" t="n">
        <v>0</v>
      </c>
      <c r="BB105" t="inlineStr">
        <is>
          <t>3164d85030b43204c74a8b2211065465a7f7491321b5dff252d025120a3e5139</t>
        </is>
      </c>
    </row>
    <row r="106">
      <c r="A106" t="inlineStr">
        <is>
          <t>216</t>
        </is>
      </c>
      <c r="B106" t="inlineStr">
        <is>
          <t>7648213099</t>
        </is>
      </c>
      <c r="C106" t="inlineStr">
        <is>
          <t>2026-01-03 02:22:55</t>
        </is>
      </c>
      <c r="D106" t="inlineStr">
        <is>
          <t>1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NA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229</v>
      </c>
      <c r="P106" t="n">
        <v>3.5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11.63</v>
      </c>
      <c r="W106" t="n">
        <v>244.13</v>
      </c>
      <c r="X106" t="n">
        <v>232.5</v>
      </c>
      <c r="Y106" t="n">
        <v>19</v>
      </c>
      <c r="Z106" t="n">
        <v>44.18</v>
      </c>
      <c r="AA106" t="n">
        <v>4.49</v>
      </c>
      <c r="AB106" t="n">
        <v>48.67</v>
      </c>
      <c r="AC106" t="n">
        <v>8.76</v>
      </c>
      <c r="AD106" t="n">
        <v>0</v>
      </c>
      <c r="AE106" t="n">
        <v>232.5</v>
      </c>
      <c r="AF106" t="n">
        <v>0</v>
      </c>
      <c r="AG106" t="n">
        <v>0</v>
      </c>
      <c r="AH106" t="n">
        <v>0.23</v>
      </c>
      <c r="AI106" t="n">
        <v>11.63</v>
      </c>
      <c r="AJ106" t="n">
        <v>0</v>
      </c>
      <c r="AK106" t="n">
        <v>20.62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69.29000000000001</v>
      </c>
      <c r="AV106" t="n">
        <v>0</v>
      </c>
      <c r="AW106" t="n">
        <v>174.84</v>
      </c>
      <c r="AX106" t="inlineStr">
        <is>
          <t>settled</t>
        </is>
      </c>
      <c r="AY106" t="inlineStr">
        <is>
          <t>2026-01-07 05:30:00</t>
        </is>
      </c>
      <c r="AZ106" t="inlineStr">
        <is>
          <t>CITIN26602720826</t>
        </is>
      </c>
      <c r="BA106" t="n">
        <v>0</v>
      </c>
      <c r="BB106" t="inlineStr">
        <is>
          <t>0ac9f9a325b2331fad2e3bb59020d0ab59ba11445671f5ddf08f5c1cb7056750</t>
        </is>
      </c>
    </row>
    <row r="107">
      <c r="A107" t="inlineStr">
        <is>
          <t>217</t>
        </is>
      </c>
      <c r="B107" t="inlineStr">
        <is>
          <t>7650757559</t>
        </is>
      </c>
      <c r="C107" t="inlineStr">
        <is>
          <t>2026-01-03 02:23:16</t>
        </is>
      </c>
      <c r="D107" t="inlineStr">
        <is>
          <t>1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30% off upto ₹75 (2025-06-25 - 2031-01-01)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268</v>
      </c>
      <c r="P107" t="n">
        <v>3.5</v>
      </c>
      <c r="Q107" t="n">
        <v>0</v>
      </c>
      <c r="R107" t="n">
        <v>75</v>
      </c>
      <c r="S107" t="n">
        <v>0</v>
      </c>
      <c r="T107" t="n">
        <v>0</v>
      </c>
      <c r="U107" t="n">
        <v>0</v>
      </c>
      <c r="V107" t="n">
        <v>9.83</v>
      </c>
      <c r="W107" t="n">
        <v>206.33</v>
      </c>
      <c r="X107" t="n">
        <v>196.5</v>
      </c>
      <c r="Y107" t="n">
        <v>19</v>
      </c>
      <c r="Z107" t="n">
        <v>37.34</v>
      </c>
      <c r="AA107" t="n">
        <v>3.8</v>
      </c>
      <c r="AB107" t="n">
        <v>41.14</v>
      </c>
      <c r="AC107" t="n">
        <v>7.4</v>
      </c>
      <c r="AD107" t="n">
        <v>0</v>
      </c>
      <c r="AE107" t="n">
        <v>196.5</v>
      </c>
      <c r="AF107" t="n">
        <v>0</v>
      </c>
      <c r="AG107" t="n">
        <v>0</v>
      </c>
      <c r="AH107" t="n">
        <v>0.2</v>
      </c>
      <c r="AI107" t="n">
        <v>9.83</v>
      </c>
      <c r="AJ107" t="n">
        <v>0</v>
      </c>
      <c r="AK107" t="n">
        <v>17.43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58.57</v>
      </c>
      <c r="AV107" t="n">
        <v>0</v>
      </c>
      <c r="AW107" t="n">
        <v>147.76</v>
      </c>
      <c r="AX107" t="inlineStr">
        <is>
          <t>settled</t>
        </is>
      </c>
      <c r="AY107" t="inlineStr">
        <is>
          <t>2026-01-07 05:30:00</t>
        </is>
      </c>
      <c r="AZ107" t="inlineStr">
        <is>
          <t>CITIN26602720826</t>
        </is>
      </c>
      <c r="BA107" t="n">
        <v>0</v>
      </c>
      <c r="BB107" t="inlineStr">
        <is>
          <t>e8becf94ff6d2416dfca6da5804c7420edbc4160c5b56006871ed02d10eff020</t>
        </is>
      </c>
    </row>
    <row r="108">
      <c r="A108" t="inlineStr">
        <is>
          <t>218</t>
        </is>
      </c>
      <c r="B108" t="inlineStr">
        <is>
          <t>7648058820</t>
        </is>
      </c>
      <c r="C108" t="inlineStr">
        <is>
          <t>2026-01-03 02:37:02</t>
        </is>
      </c>
      <c r="D108" t="inlineStr">
        <is>
          <t>1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229</v>
      </c>
      <c r="P108" t="n">
        <v>3.5</v>
      </c>
      <c r="Q108" t="n">
        <v>0</v>
      </c>
      <c r="R108" t="n">
        <v>68.7</v>
      </c>
      <c r="S108" t="n">
        <v>0</v>
      </c>
      <c r="T108" t="n">
        <v>0</v>
      </c>
      <c r="U108" t="n">
        <v>0</v>
      </c>
      <c r="V108" t="n">
        <v>8.19</v>
      </c>
      <c r="W108" t="n">
        <v>171.99</v>
      </c>
      <c r="X108" t="n">
        <v>163.8</v>
      </c>
      <c r="Y108" t="n">
        <v>19</v>
      </c>
      <c r="Z108" t="n">
        <v>31.12</v>
      </c>
      <c r="AA108" t="n">
        <v>3.16</v>
      </c>
      <c r="AB108" t="n">
        <v>34.28</v>
      </c>
      <c r="AC108" t="n">
        <v>6.17</v>
      </c>
      <c r="AD108" t="n">
        <v>0</v>
      </c>
      <c r="AE108" t="n">
        <v>163.8</v>
      </c>
      <c r="AF108" t="n">
        <v>0</v>
      </c>
      <c r="AG108" t="n">
        <v>0</v>
      </c>
      <c r="AH108" t="n">
        <v>0.16</v>
      </c>
      <c r="AI108" t="n">
        <v>8.199999999999999</v>
      </c>
      <c r="AJ108" t="n">
        <v>-0.01</v>
      </c>
      <c r="AK108" t="n">
        <v>14.53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48.81</v>
      </c>
      <c r="AV108" t="n">
        <v>0</v>
      </c>
      <c r="AW108" t="n">
        <v>123.18</v>
      </c>
      <c r="AX108" t="inlineStr">
        <is>
          <t>settled</t>
        </is>
      </c>
      <c r="AY108" t="inlineStr">
        <is>
          <t>2026-01-07 05:30:00</t>
        </is>
      </c>
      <c r="AZ108" t="inlineStr">
        <is>
          <t>CITIN26602720826</t>
        </is>
      </c>
      <c r="BA108" t="n">
        <v>0</v>
      </c>
      <c r="BB108" t="inlineStr">
        <is>
          <t>549072622e22d73eef1b5e639691fa0f38f926b6a2cb77a6e57754548ba95818</t>
        </is>
      </c>
    </row>
    <row r="109">
      <c r="A109" t="inlineStr">
        <is>
          <t>219</t>
        </is>
      </c>
      <c r="B109" t="inlineStr">
        <is>
          <t>7650569477</t>
        </is>
      </c>
      <c r="C109" t="inlineStr">
        <is>
          <t>2026-01-03 02:47:54</t>
        </is>
      </c>
      <c r="D109" t="inlineStr">
        <is>
          <t>1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229</v>
      </c>
      <c r="P109" t="n">
        <v>3.5</v>
      </c>
      <c r="Q109" t="n">
        <v>0</v>
      </c>
      <c r="R109" t="n">
        <v>68.7</v>
      </c>
      <c r="S109" t="n">
        <v>0</v>
      </c>
      <c r="T109" t="n">
        <v>0</v>
      </c>
      <c r="U109" t="n">
        <v>0</v>
      </c>
      <c r="V109" t="n">
        <v>8.19</v>
      </c>
      <c r="W109" t="n">
        <v>171.99</v>
      </c>
      <c r="X109" t="n">
        <v>163.8</v>
      </c>
      <c r="Y109" t="n">
        <v>19</v>
      </c>
      <c r="Z109" t="n">
        <v>31.12</v>
      </c>
      <c r="AA109" t="n">
        <v>3.16</v>
      </c>
      <c r="AB109" t="n">
        <v>34.28</v>
      </c>
      <c r="AC109" t="n">
        <v>6.17</v>
      </c>
      <c r="AD109" t="n">
        <v>0</v>
      </c>
      <c r="AE109" t="n">
        <v>163.8</v>
      </c>
      <c r="AF109" t="n">
        <v>0</v>
      </c>
      <c r="AG109" t="n">
        <v>0</v>
      </c>
      <c r="AH109" t="n">
        <v>0.16</v>
      </c>
      <c r="AI109" t="n">
        <v>8.199999999999999</v>
      </c>
      <c r="AJ109" t="n">
        <v>-0.01</v>
      </c>
      <c r="AK109" t="n">
        <v>14.53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48.81</v>
      </c>
      <c r="AV109" t="n">
        <v>0</v>
      </c>
      <c r="AW109" t="n">
        <v>123.18</v>
      </c>
      <c r="AX109" t="inlineStr">
        <is>
          <t>settled</t>
        </is>
      </c>
      <c r="AY109" t="inlineStr">
        <is>
          <t>2026-01-07 05:30:00</t>
        </is>
      </c>
      <c r="AZ109" t="inlineStr">
        <is>
          <t>CITIN26602720826</t>
        </is>
      </c>
      <c r="BA109" t="n">
        <v>0</v>
      </c>
      <c r="BB109" t="inlineStr">
        <is>
          <t>7fddf2bd30edfe6f60eb8ff8f41a6fbf9933a0eac9b5bd85dc3a20532d4fd918</t>
        </is>
      </c>
    </row>
    <row r="110">
      <c r="A110" t="inlineStr">
        <is>
          <t>220</t>
        </is>
      </c>
      <c r="B110" t="inlineStr">
        <is>
          <t>7651084916</t>
        </is>
      </c>
      <c r="C110" t="inlineStr">
        <is>
          <t>2026-01-03 03:01:39</t>
        </is>
      </c>
      <c r="D110" t="inlineStr">
        <is>
          <t>1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229</v>
      </c>
      <c r="P110" t="n">
        <v>3.5</v>
      </c>
      <c r="Q110" t="n">
        <v>0</v>
      </c>
      <c r="R110" t="n">
        <v>68.7</v>
      </c>
      <c r="S110" t="n">
        <v>0</v>
      </c>
      <c r="T110" t="n">
        <v>0</v>
      </c>
      <c r="U110" t="n">
        <v>0</v>
      </c>
      <c r="V110" t="n">
        <v>8.19</v>
      </c>
      <c r="W110" t="n">
        <v>171.99</v>
      </c>
      <c r="X110" t="n">
        <v>163.8</v>
      </c>
      <c r="Y110" t="n">
        <v>19</v>
      </c>
      <c r="Z110" t="n">
        <v>31.12</v>
      </c>
      <c r="AA110" t="n">
        <v>3.16</v>
      </c>
      <c r="AB110" t="n">
        <v>34.28</v>
      </c>
      <c r="AC110" t="n">
        <v>6.17</v>
      </c>
      <c r="AD110" t="n">
        <v>0</v>
      </c>
      <c r="AE110" t="n">
        <v>163.8</v>
      </c>
      <c r="AF110" t="n">
        <v>0</v>
      </c>
      <c r="AG110" t="n">
        <v>0</v>
      </c>
      <c r="AH110" t="n">
        <v>0.16</v>
      </c>
      <c r="AI110" t="n">
        <v>8.199999999999999</v>
      </c>
      <c r="AJ110" t="n">
        <v>-0.01</v>
      </c>
      <c r="AK110" t="n">
        <v>14.53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48.81</v>
      </c>
      <c r="AV110" t="n">
        <v>0</v>
      </c>
      <c r="AW110" t="n">
        <v>123.18</v>
      </c>
      <c r="AX110" t="inlineStr">
        <is>
          <t>settled</t>
        </is>
      </c>
      <c r="AY110" t="inlineStr">
        <is>
          <t>2026-01-07 05:30:00</t>
        </is>
      </c>
      <c r="AZ110" t="inlineStr">
        <is>
          <t>CITIN26602720826</t>
        </is>
      </c>
      <c r="BA110" t="n">
        <v>0</v>
      </c>
      <c r="BB110" t="inlineStr">
        <is>
          <t>1bf8b2214ac47d2bf39fd346ab455853863696f91ead6d1735602640a17caaa5</t>
        </is>
      </c>
    </row>
    <row r="111">
      <c r="A111" t="inlineStr">
        <is>
          <t>221</t>
        </is>
      </c>
      <c r="B111" t="inlineStr">
        <is>
          <t>7647734833</t>
        </is>
      </c>
      <c r="C111" t="inlineStr">
        <is>
          <t>2026-01-03 03:05:33</t>
        </is>
      </c>
      <c r="D111" t="inlineStr">
        <is>
          <t>1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30% off upto ₹75 (2025-06-25 - 2031-01-01)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68.7</v>
      </c>
      <c r="S111" t="n">
        <v>0</v>
      </c>
      <c r="T111" t="n">
        <v>0</v>
      </c>
      <c r="U111" t="n">
        <v>0</v>
      </c>
      <c r="V111" t="n">
        <v>8.19</v>
      </c>
      <c r="W111" t="n">
        <v>171.99</v>
      </c>
      <c r="X111" t="n">
        <v>163.8</v>
      </c>
      <c r="Y111" t="n">
        <v>19</v>
      </c>
      <c r="Z111" t="n">
        <v>31.12</v>
      </c>
      <c r="AA111" t="n">
        <v>3.16</v>
      </c>
      <c r="AB111" t="n">
        <v>34.28</v>
      </c>
      <c r="AC111" t="n">
        <v>6.17</v>
      </c>
      <c r="AD111" t="n">
        <v>0</v>
      </c>
      <c r="AE111" t="n">
        <v>163.8</v>
      </c>
      <c r="AF111" t="n">
        <v>0</v>
      </c>
      <c r="AG111" t="n">
        <v>0</v>
      </c>
      <c r="AH111" t="n">
        <v>0.16</v>
      </c>
      <c r="AI111" t="n">
        <v>8.199999999999999</v>
      </c>
      <c r="AJ111" t="n">
        <v>-0.01</v>
      </c>
      <c r="AK111" t="n">
        <v>14.53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48.81</v>
      </c>
      <c r="AV111" t="n">
        <v>0</v>
      </c>
      <c r="AW111" t="n">
        <v>123.18</v>
      </c>
      <c r="AX111" t="inlineStr">
        <is>
          <t>settled</t>
        </is>
      </c>
      <c r="AY111" t="inlineStr">
        <is>
          <t>2026-01-07 05:30:00</t>
        </is>
      </c>
      <c r="AZ111" t="inlineStr">
        <is>
          <t>CITIN26602720826</t>
        </is>
      </c>
      <c r="BA111" t="n">
        <v>0</v>
      </c>
      <c r="BB111" t="inlineStr">
        <is>
          <t>a4a70e0e977a73da377b4f40475eaf264e2652e623d22ae3ef862491d5035f2f</t>
        </is>
      </c>
    </row>
    <row r="112">
      <c r="A112" t="inlineStr">
        <is>
          <t>222</t>
        </is>
      </c>
      <c r="B112" t="inlineStr">
        <is>
          <t>7648731623</t>
        </is>
      </c>
      <c r="C112" t="inlineStr">
        <is>
          <t>2026-01-03 03:28:18</t>
        </is>
      </c>
      <c r="D112" t="inlineStr">
        <is>
          <t>1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229</v>
      </c>
      <c r="P112" t="n">
        <v>3.5</v>
      </c>
      <c r="Q112" t="n">
        <v>0</v>
      </c>
      <c r="R112" t="n">
        <v>68.7</v>
      </c>
      <c r="S112" t="n">
        <v>0</v>
      </c>
      <c r="T112" t="n">
        <v>0</v>
      </c>
      <c r="U112" t="n">
        <v>0</v>
      </c>
      <c r="V112" t="n">
        <v>8.19</v>
      </c>
      <c r="W112" t="n">
        <v>171.99</v>
      </c>
      <c r="X112" t="n">
        <v>163.8</v>
      </c>
      <c r="Y112" t="n">
        <v>19</v>
      </c>
      <c r="Z112" t="n">
        <v>31.12</v>
      </c>
      <c r="AA112" t="n">
        <v>3.16</v>
      </c>
      <c r="AB112" t="n">
        <v>34.28</v>
      </c>
      <c r="AC112" t="n">
        <v>6.17</v>
      </c>
      <c r="AD112" t="n">
        <v>0</v>
      </c>
      <c r="AE112" t="n">
        <v>163.8</v>
      </c>
      <c r="AF112" t="n">
        <v>0</v>
      </c>
      <c r="AG112" t="n">
        <v>0</v>
      </c>
      <c r="AH112" t="n">
        <v>0.16</v>
      </c>
      <c r="AI112" t="n">
        <v>8.199999999999999</v>
      </c>
      <c r="AJ112" t="n">
        <v>-0.01</v>
      </c>
      <c r="AK112" t="n">
        <v>14.53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48.81</v>
      </c>
      <c r="AV112" t="n">
        <v>0</v>
      </c>
      <c r="AW112" t="n">
        <v>123.18</v>
      </c>
      <c r="AX112" t="inlineStr">
        <is>
          <t>settled</t>
        </is>
      </c>
      <c r="AY112" t="inlineStr">
        <is>
          <t>2026-01-07 05:30:00</t>
        </is>
      </c>
      <c r="AZ112" t="inlineStr">
        <is>
          <t>CITIN26602720826</t>
        </is>
      </c>
      <c r="BA112" t="n">
        <v>0</v>
      </c>
      <c r="BB112" t="inlineStr">
        <is>
          <t>43c315ee0fae5273f561d7bfa00f1350c9e3f39971eabd24355911968afae01c</t>
        </is>
      </c>
    </row>
    <row r="113">
      <c r="A113" t="inlineStr">
        <is>
          <t>223</t>
        </is>
      </c>
      <c r="B113" t="inlineStr">
        <is>
          <t>7651503693</t>
        </is>
      </c>
      <c r="C113" t="inlineStr">
        <is>
          <t>2026-01-03 03:30:00</t>
        </is>
      </c>
      <c r="D113" t="inlineStr">
        <is>
          <t>1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30% off upto ₹75 (2025-06-25 - 2031-01-01)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219</v>
      </c>
      <c r="P113" t="n">
        <v>3.5</v>
      </c>
      <c r="Q113" t="n">
        <v>0</v>
      </c>
      <c r="R113" t="n">
        <v>65.7</v>
      </c>
      <c r="S113" t="n">
        <v>0</v>
      </c>
      <c r="T113" t="n">
        <v>0</v>
      </c>
      <c r="U113" t="n">
        <v>0</v>
      </c>
      <c r="V113" t="n">
        <v>7.84</v>
      </c>
      <c r="W113" t="n">
        <v>164.64</v>
      </c>
      <c r="X113" t="n">
        <v>156.8</v>
      </c>
      <c r="Y113" t="n">
        <v>19</v>
      </c>
      <c r="Z113" t="n">
        <v>29.79</v>
      </c>
      <c r="AA113" t="n">
        <v>3.03</v>
      </c>
      <c r="AB113" t="n">
        <v>32.82</v>
      </c>
      <c r="AC113" t="n">
        <v>5.91</v>
      </c>
      <c r="AD113" t="n">
        <v>0</v>
      </c>
      <c r="AE113" t="n">
        <v>156.8</v>
      </c>
      <c r="AF113" t="n">
        <v>0</v>
      </c>
      <c r="AG113" t="n">
        <v>0</v>
      </c>
      <c r="AH113" t="n">
        <v>0.16</v>
      </c>
      <c r="AI113" t="n">
        <v>7.85</v>
      </c>
      <c r="AJ113" t="n">
        <v>-0.01</v>
      </c>
      <c r="AK113" t="n">
        <v>13.92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46.74</v>
      </c>
      <c r="AV113" t="n">
        <v>0</v>
      </c>
      <c r="AW113" t="n">
        <v>117.9</v>
      </c>
      <c r="AX113" t="inlineStr">
        <is>
          <t>settled</t>
        </is>
      </c>
      <c r="AY113" t="inlineStr">
        <is>
          <t>2026-01-07 05:30:00</t>
        </is>
      </c>
      <c r="AZ113" t="inlineStr">
        <is>
          <t>CITIN26602720826</t>
        </is>
      </c>
      <c r="BA113" t="n">
        <v>0</v>
      </c>
      <c r="BB113" t="inlineStr">
        <is>
          <t>3ee8b17eea468c7be277633f3698f5c6d114394ed5dc73dbd174b0a39fb7ebe8</t>
        </is>
      </c>
    </row>
    <row r="114">
      <c r="A114" t="inlineStr">
        <is>
          <t>224</t>
        </is>
      </c>
      <c r="B114" t="inlineStr">
        <is>
          <t>7650464900</t>
        </is>
      </c>
      <c r="C114" t="inlineStr">
        <is>
          <t>2026-01-03 03:35:12</t>
        </is>
      </c>
      <c r="D114" t="inlineStr">
        <is>
          <t>1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30% off upto ₹75 (2025-06-25 - 2031-01-01)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229</v>
      </c>
      <c r="P114" t="n">
        <v>3.5</v>
      </c>
      <c r="Q114" t="n">
        <v>0</v>
      </c>
      <c r="R114" t="n">
        <v>68.7</v>
      </c>
      <c r="S114" t="n">
        <v>0</v>
      </c>
      <c r="T114" t="n">
        <v>0</v>
      </c>
      <c r="U114" t="n">
        <v>0</v>
      </c>
      <c r="V114" t="n">
        <v>8.19</v>
      </c>
      <c r="W114" t="n">
        <v>171.99</v>
      </c>
      <c r="X114" t="n">
        <v>163.8</v>
      </c>
      <c r="Y114" t="n">
        <v>19</v>
      </c>
      <c r="Z114" t="n">
        <v>31.12</v>
      </c>
      <c r="AA114" t="n">
        <v>3.16</v>
      </c>
      <c r="AB114" t="n">
        <v>34.28</v>
      </c>
      <c r="AC114" t="n">
        <v>6.17</v>
      </c>
      <c r="AD114" t="n">
        <v>0</v>
      </c>
      <c r="AE114" t="n">
        <v>163.8</v>
      </c>
      <c r="AF114" t="n">
        <v>0</v>
      </c>
      <c r="AG114" t="n">
        <v>0</v>
      </c>
      <c r="AH114" t="n">
        <v>0.16</v>
      </c>
      <c r="AI114" t="n">
        <v>8.199999999999999</v>
      </c>
      <c r="AJ114" t="n">
        <v>-0.01</v>
      </c>
      <c r="AK114" t="n">
        <v>14.53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48.81</v>
      </c>
      <c r="AV114" t="n">
        <v>0</v>
      </c>
      <c r="AW114" t="n">
        <v>123.18</v>
      </c>
      <c r="AX114" t="inlineStr">
        <is>
          <t>settled</t>
        </is>
      </c>
      <c r="AY114" t="inlineStr">
        <is>
          <t>2026-01-07 05:30:00</t>
        </is>
      </c>
      <c r="AZ114" t="inlineStr">
        <is>
          <t>CITIN26602720826</t>
        </is>
      </c>
      <c r="BA114" t="n">
        <v>0</v>
      </c>
      <c r="BB114" t="inlineStr">
        <is>
          <t>52486cee711af870a1fd0453142ed247c88111d3efb2eb93b2365d42e399e3ef</t>
        </is>
      </c>
    </row>
    <row r="115">
      <c r="A115" t="inlineStr">
        <is>
          <t>225</t>
        </is>
      </c>
      <c r="B115" t="inlineStr">
        <is>
          <t>7651180617</t>
        </is>
      </c>
      <c r="C115" t="inlineStr">
        <is>
          <t>2026-01-03 03:43:09</t>
        </is>
      </c>
      <c r="D115" t="inlineStr">
        <is>
          <t>1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229</v>
      </c>
      <c r="P115" t="n">
        <v>3.5</v>
      </c>
      <c r="Q115" t="n">
        <v>0</v>
      </c>
      <c r="R115" t="n">
        <v>68.7</v>
      </c>
      <c r="S115" t="n">
        <v>0</v>
      </c>
      <c r="T115" t="n">
        <v>0</v>
      </c>
      <c r="U115" t="n">
        <v>0</v>
      </c>
      <c r="V115" t="n">
        <v>8.19</v>
      </c>
      <c r="W115" t="n">
        <v>171.99</v>
      </c>
      <c r="X115" t="n">
        <v>163.8</v>
      </c>
      <c r="Y115" t="n">
        <v>19</v>
      </c>
      <c r="Z115" t="n">
        <v>31.12</v>
      </c>
      <c r="AA115" t="n">
        <v>3.16</v>
      </c>
      <c r="AB115" t="n">
        <v>34.28</v>
      </c>
      <c r="AC115" t="n">
        <v>6.17</v>
      </c>
      <c r="AD115" t="n">
        <v>0</v>
      </c>
      <c r="AE115" t="n">
        <v>163.8</v>
      </c>
      <c r="AF115" t="n">
        <v>0</v>
      </c>
      <c r="AG115" t="n">
        <v>0</v>
      </c>
      <c r="AH115" t="n">
        <v>0.16</v>
      </c>
      <c r="AI115" t="n">
        <v>8.199999999999999</v>
      </c>
      <c r="AJ115" t="n">
        <v>-0.01</v>
      </c>
      <c r="AK115" t="n">
        <v>14.53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48.81</v>
      </c>
      <c r="AV115" t="n">
        <v>0</v>
      </c>
      <c r="AW115" t="n">
        <v>123.18</v>
      </c>
      <c r="AX115" t="inlineStr">
        <is>
          <t>settled</t>
        </is>
      </c>
      <c r="AY115" t="inlineStr">
        <is>
          <t>2026-01-07 05:30:00</t>
        </is>
      </c>
      <c r="AZ115" t="inlineStr">
        <is>
          <t>CITIN26602720826</t>
        </is>
      </c>
      <c r="BA115" t="n">
        <v>0</v>
      </c>
      <c r="BB115" t="inlineStr">
        <is>
          <t>4649113dcd28ba95f360c07edf8ac40e9f9cf93960ed14f5286ae1ea61648537</t>
        </is>
      </c>
    </row>
    <row r="116">
      <c r="A116" t="inlineStr">
        <is>
          <t>226</t>
        </is>
      </c>
      <c r="B116" t="inlineStr">
        <is>
          <t>7642416766</t>
        </is>
      </c>
      <c r="C116" t="inlineStr">
        <is>
          <t>2026-01-03 03:47:13</t>
        </is>
      </c>
      <c r="D116" t="inlineStr">
        <is>
          <t>1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NA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355</v>
      </c>
      <c r="P116" t="n">
        <v>3.5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17.93</v>
      </c>
      <c r="W116" t="n">
        <v>376.43</v>
      </c>
      <c r="X116" t="n">
        <v>358.5</v>
      </c>
      <c r="Y116" t="n">
        <v>19</v>
      </c>
      <c r="Z116" t="n">
        <v>68.12</v>
      </c>
      <c r="AA116" t="n">
        <v>6.93</v>
      </c>
      <c r="AB116" t="n">
        <v>75.05</v>
      </c>
      <c r="AC116" t="n">
        <v>13.51</v>
      </c>
      <c r="AD116" t="n">
        <v>0</v>
      </c>
      <c r="AE116" t="n">
        <v>358.5</v>
      </c>
      <c r="AF116" t="n">
        <v>0</v>
      </c>
      <c r="AG116" t="n">
        <v>0</v>
      </c>
      <c r="AH116" t="n">
        <v>0.36</v>
      </c>
      <c r="AI116" t="n">
        <v>17.93</v>
      </c>
      <c r="AJ116" t="n">
        <v>0</v>
      </c>
      <c r="AK116" t="n">
        <v>31.8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106.85</v>
      </c>
      <c r="AV116" t="n">
        <v>0</v>
      </c>
      <c r="AW116" t="n">
        <v>269.58</v>
      </c>
      <c r="AX116" t="inlineStr">
        <is>
          <t>settled</t>
        </is>
      </c>
      <c r="AY116" t="inlineStr">
        <is>
          <t>2026-01-07 05:30:00</t>
        </is>
      </c>
      <c r="AZ116" t="inlineStr">
        <is>
          <t>CITIN26602720826</t>
        </is>
      </c>
      <c r="BA116" t="n">
        <v>0</v>
      </c>
      <c r="BB116" t="inlineStr">
        <is>
          <t>d3f40528a641f320ea93742a9a7c6ba60d2e04ee33f938c9e5bc8a260303b1a7</t>
        </is>
      </c>
    </row>
    <row r="117">
      <c r="A117" t="inlineStr">
        <is>
          <t>227</t>
        </is>
      </c>
      <c r="B117" t="inlineStr">
        <is>
          <t>7627177622</t>
        </is>
      </c>
      <c r="C117" t="inlineStr">
        <is>
          <t>2026-01-03 04:06:12</t>
        </is>
      </c>
      <c r="D117" t="inlineStr">
        <is>
          <t>1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30% off upto ₹75 (2025-06-25 - 2031-01-01)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229</v>
      </c>
      <c r="P117" t="n">
        <v>3.5</v>
      </c>
      <c r="Q117" t="n">
        <v>0</v>
      </c>
      <c r="R117" t="n">
        <v>68.7</v>
      </c>
      <c r="S117" t="n">
        <v>0</v>
      </c>
      <c r="T117" t="n">
        <v>0</v>
      </c>
      <c r="U117" t="n">
        <v>0</v>
      </c>
      <c r="V117" t="n">
        <v>8.19</v>
      </c>
      <c r="W117" t="n">
        <v>171.99</v>
      </c>
      <c r="X117" t="n">
        <v>163.8</v>
      </c>
      <c r="Y117" t="n">
        <v>19</v>
      </c>
      <c r="Z117" t="n">
        <v>31.12</v>
      </c>
      <c r="AA117" t="n">
        <v>3.16</v>
      </c>
      <c r="AB117" t="n">
        <v>34.28</v>
      </c>
      <c r="AC117" t="n">
        <v>6.17</v>
      </c>
      <c r="AD117" t="n">
        <v>0</v>
      </c>
      <c r="AE117" t="n">
        <v>163.8</v>
      </c>
      <c r="AF117" t="n">
        <v>0</v>
      </c>
      <c r="AG117" t="n">
        <v>0</v>
      </c>
      <c r="AH117" t="n">
        <v>0.16</v>
      </c>
      <c r="AI117" t="n">
        <v>8.199999999999999</v>
      </c>
      <c r="AJ117" t="n">
        <v>-0.01</v>
      </c>
      <c r="AK117" t="n">
        <v>14.53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48.81</v>
      </c>
      <c r="AV117" t="n">
        <v>0</v>
      </c>
      <c r="AW117" t="n">
        <v>123.18</v>
      </c>
      <c r="AX117" t="inlineStr">
        <is>
          <t>settled</t>
        </is>
      </c>
      <c r="AY117" t="inlineStr">
        <is>
          <t>2026-01-07 05:30:00</t>
        </is>
      </c>
      <c r="AZ117" t="inlineStr">
        <is>
          <t>CITIN26602720826</t>
        </is>
      </c>
      <c r="BA117" t="n">
        <v>0</v>
      </c>
      <c r="BB117" t="inlineStr">
        <is>
          <t>d7752092a5393c172c960123b754da49f1eb4a4a932f7cdba3b909f37550512c</t>
        </is>
      </c>
    </row>
    <row r="118">
      <c r="A118" t="inlineStr">
        <is>
          <t>228</t>
        </is>
      </c>
      <c r="B118" t="inlineStr">
        <is>
          <t>7649725269</t>
        </is>
      </c>
      <c r="C118" t="inlineStr">
        <is>
          <t>2026-01-03 04:23:43</t>
        </is>
      </c>
      <c r="D118" t="inlineStr">
        <is>
          <t>1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448</v>
      </c>
      <c r="P118" t="n">
        <v>3.5</v>
      </c>
      <c r="Q118" t="n">
        <v>0</v>
      </c>
      <c r="R118" t="n">
        <v>75</v>
      </c>
      <c r="S118" t="n">
        <v>0</v>
      </c>
      <c r="T118" t="n">
        <v>0</v>
      </c>
      <c r="U118" t="n">
        <v>0</v>
      </c>
      <c r="V118" t="n">
        <v>18.83</v>
      </c>
      <c r="W118" t="n">
        <v>395.33</v>
      </c>
      <c r="X118" t="n">
        <v>376.5</v>
      </c>
      <c r="Y118" t="n">
        <v>19</v>
      </c>
      <c r="Z118" t="n">
        <v>71.54000000000001</v>
      </c>
      <c r="AA118" t="n">
        <v>7.27</v>
      </c>
      <c r="AB118" t="n">
        <v>78.81</v>
      </c>
      <c r="AC118" t="n">
        <v>14.19</v>
      </c>
      <c r="AD118" t="n">
        <v>0</v>
      </c>
      <c r="AE118" t="n">
        <v>376.5</v>
      </c>
      <c r="AF118" t="n">
        <v>0</v>
      </c>
      <c r="AG118" t="n">
        <v>0</v>
      </c>
      <c r="AH118" t="n">
        <v>0.38</v>
      </c>
      <c r="AI118" t="n">
        <v>18.83</v>
      </c>
      <c r="AJ118" t="n">
        <v>0</v>
      </c>
      <c r="AK118" t="n">
        <v>33.4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112.21</v>
      </c>
      <c r="AV118" t="n">
        <v>0</v>
      </c>
      <c r="AW118" t="n">
        <v>283.12</v>
      </c>
      <c r="AX118" t="inlineStr">
        <is>
          <t>settled</t>
        </is>
      </c>
      <c r="AY118" t="inlineStr">
        <is>
          <t>2026-01-07 05:30:00</t>
        </is>
      </c>
      <c r="AZ118" t="inlineStr">
        <is>
          <t>CITIN26602720826</t>
        </is>
      </c>
      <c r="BA118" t="n">
        <v>0</v>
      </c>
      <c r="BB118" t="inlineStr">
        <is>
          <t>2803a5ed412487405372503a65ed749e7e75e376a28121f5127433548620d026</t>
        </is>
      </c>
    </row>
    <row r="119">
      <c r="A119" t="inlineStr">
        <is>
          <t>229</t>
        </is>
      </c>
      <c r="B119" t="inlineStr">
        <is>
          <t>7644338735</t>
        </is>
      </c>
      <c r="C119" t="inlineStr">
        <is>
          <t>2026-01-03 04:32:21</t>
        </is>
      </c>
      <c r="D119" t="inlineStr">
        <is>
          <t>1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438</v>
      </c>
      <c r="P119" t="n">
        <v>3.5</v>
      </c>
      <c r="Q119" t="n">
        <v>0</v>
      </c>
      <c r="R119" t="n">
        <v>75</v>
      </c>
      <c r="S119" t="n">
        <v>0</v>
      </c>
      <c r="T119" t="n">
        <v>0</v>
      </c>
      <c r="U119" t="n">
        <v>0</v>
      </c>
      <c r="V119" t="n">
        <v>18.33</v>
      </c>
      <c r="W119" t="n">
        <v>384.83</v>
      </c>
      <c r="X119" t="n">
        <v>366.5</v>
      </c>
      <c r="Y119" t="n">
        <v>19</v>
      </c>
      <c r="Z119" t="n">
        <v>69.64</v>
      </c>
      <c r="AA119" t="n">
        <v>7.08</v>
      </c>
      <c r="AB119" t="n">
        <v>76.72</v>
      </c>
      <c r="AC119" t="n">
        <v>13.81</v>
      </c>
      <c r="AD119" t="n">
        <v>0</v>
      </c>
      <c r="AE119" t="n">
        <v>366.5</v>
      </c>
      <c r="AF119" t="n">
        <v>0</v>
      </c>
      <c r="AG119" t="n">
        <v>0</v>
      </c>
      <c r="AH119" t="n">
        <v>0.37</v>
      </c>
      <c r="AI119" t="n">
        <v>18.33</v>
      </c>
      <c r="AJ119" t="n">
        <v>0</v>
      </c>
      <c r="AK119" t="n">
        <v>32.51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109.23</v>
      </c>
      <c r="AV119" t="n">
        <v>0</v>
      </c>
      <c r="AW119" t="n">
        <v>275.6</v>
      </c>
      <c r="AX119" t="inlineStr">
        <is>
          <t>settled</t>
        </is>
      </c>
      <c r="AY119" t="inlineStr">
        <is>
          <t>2026-01-07 05:30:00</t>
        </is>
      </c>
      <c r="AZ119" t="inlineStr">
        <is>
          <t>CITIN26602720826</t>
        </is>
      </c>
      <c r="BA119" t="n">
        <v>0</v>
      </c>
      <c r="BB119" t="inlineStr">
        <is>
          <t>a86760b6b2612aeda5abe7a8cd014c628c3975b2ce777d55338bc928f9f389da</t>
        </is>
      </c>
    </row>
    <row r="120">
      <c r="A120" t="inlineStr">
        <is>
          <t>230</t>
        </is>
      </c>
      <c r="B120" t="inlineStr">
        <is>
          <t>7640266762</t>
        </is>
      </c>
      <c r="C120" t="inlineStr">
        <is>
          <t>2026-01-03 10:49:53</t>
        </is>
      </c>
      <c r="D120" t="inlineStr">
        <is>
          <t>1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30% off upto ₹75 (2025-06-25 - 2031-01-01)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458</v>
      </c>
      <c r="P120" t="n">
        <v>3.5</v>
      </c>
      <c r="Q120" t="n">
        <v>0</v>
      </c>
      <c r="R120" t="n">
        <v>75</v>
      </c>
      <c r="S120" t="n">
        <v>0</v>
      </c>
      <c r="T120" t="n">
        <v>0</v>
      </c>
      <c r="U120" t="n">
        <v>0</v>
      </c>
      <c r="V120" t="n">
        <v>19.33</v>
      </c>
      <c r="W120" t="n">
        <v>405.83</v>
      </c>
      <c r="X120" t="n">
        <v>386.5</v>
      </c>
      <c r="Y120" t="n">
        <v>19</v>
      </c>
      <c r="Z120" t="n">
        <v>73.44</v>
      </c>
      <c r="AA120" t="n">
        <v>7.47</v>
      </c>
      <c r="AB120" t="n">
        <v>80.91</v>
      </c>
      <c r="AC120" t="n">
        <v>14.56</v>
      </c>
      <c r="AD120" t="n">
        <v>0</v>
      </c>
      <c r="AE120" t="n">
        <v>386.5</v>
      </c>
      <c r="AF120" t="n">
        <v>0</v>
      </c>
      <c r="AG120" t="n">
        <v>0</v>
      </c>
      <c r="AH120" t="n">
        <v>0.39</v>
      </c>
      <c r="AI120" t="n">
        <v>19.33</v>
      </c>
      <c r="AJ120" t="n">
        <v>0</v>
      </c>
      <c r="AK120" t="n">
        <v>34.28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115.19</v>
      </c>
      <c r="AV120" t="n">
        <v>0</v>
      </c>
      <c r="AW120" t="n">
        <v>290.64</v>
      </c>
      <c r="AX120" t="inlineStr">
        <is>
          <t>settled</t>
        </is>
      </c>
      <c r="AY120" t="inlineStr">
        <is>
          <t>2026-01-07 05:30:00</t>
        </is>
      </c>
      <c r="AZ120" t="inlineStr">
        <is>
          <t>CITIN26602720826</t>
        </is>
      </c>
      <c r="BA120" t="n">
        <v>0</v>
      </c>
      <c r="BB120" t="inlineStr">
        <is>
          <t>f006bf28b3d4ae018bde20ea0640c547b91070d656e74cfc7427c4b0178c7ce0</t>
        </is>
      </c>
    </row>
    <row r="121">
      <c r="A121" t="inlineStr">
        <is>
          <t>231</t>
        </is>
      </c>
      <c r="B121" t="inlineStr">
        <is>
          <t>7650395735</t>
        </is>
      </c>
      <c r="C121" t="inlineStr">
        <is>
          <t>2026-01-03 12:10:47</t>
        </is>
      </c>
      <c r="D121" t="inlineStr">
        <is>
          <t>1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30% off upto ₹75 (2025-06-25 - 2031-01-01)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229</v>
      </c>
      <c r="P121" t="n">
        <v>3.5</v>
      </c>
      <c r="Q121" t="n">
        <v>0</v>
      </c>
      <c r="R121" t="n">
        <v>68.7</v>
      </c>
      <c r="S121" t="n">
        <v>0</v>
      </c>
      <c r="T121" t="n">
        <v>0</v>
      </c>
      <c r="U121" t="n">
        <v>0</v>
      </c>
      <c r="V121" t="n">
        <v>8.19</v>
      </c>
      <c r="W121" t="n">
        <v>171.99</v>
      </c>
      <c r="X121" t="n">
        <v>163.8</v>
      </c>
      <c r="Y121" t="n">
        <v>19</v>
      </c>
      <c r="Z121" t="n">
        <v>31.12</v>
      </c>
      <c r="AA121" t="n">
        <v>3.16</v>
      </c>
      <c r="AB121" t="n">
        <v>34.28</v>
      </c>
      <c r="AC121" t="n">
        <v>6.17</v>
      </c>
      <c r="AD121" t="n">
        <v>0</v>
      </c>
      <c r="AE121" t="n">
        <v>163.8</v>
      </c>
      <c r="AF121" t="n">
        <v>0</v>
      </c>
      <c r="AG121" t="n">
        <v>0</v>
      </c>
      <c r="AH121" t="n">
        <v>0.16</v>
      </c>
      <c r="AI121" t="n">
        <v>8.199999999999999</v>
      </c>
      <c r="AJ121" t="n">
        <v>-0.01</v>
      </c>
      <c r="AK121" t="n">
        <v>14.53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48.81</v>
      </c>
      <c r="AV121" t="n">
        <v>0</v>
      </c>
      <c r="AW121" t="n">
        <v>123.18</v>
      </c>
      <c r="AX121" t="inlineStr">
        <is>
          <t>settled</t>
        </is>
      </c>
      <c r="AY121" t="inlineStr">
        <is>
          <t>2026-01-07 05:30:00</t>
        </is>
      </c>
      <c r="AZ121" t="inlineStr">
        <is>
          <t>CITIN26602720826</t>
        </is>
      </c>
      <c r="BA121" t="n">
        <v>0</v>
      </c>
      <c r="BB121" t="inlineStr">
        <is>
          <t>c39c018ebb45a3ff376339a26bd0c3bb7b826b26c6dce07094c9ed751fd37e12</t>
        </is>
      </c>
    </row>
    <row r="122">
      <c r="A122" t="inlineStr">
        <is>
          <t>232</t>
        </is>
      </c>
      <c r="B122" t="inlineStr">
        <is>
          <t>7646739782</t>
        </is>
      </c>
      <c r="C122" t="inlineStr">
        <is>
          <t>2026-01-03 15:56:27</t>
        </is>
      </c>
      <c r="D122" t="inlineStr">
        <is>
          <t>1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NA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229</v>
      </c>
      <c r="P122" t="n">
        <v>3.5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11.63</v>
      </c>
      <c r="W122" t="n">
        <v>244.13</v>
      </c>
      <c r="X122" t="n">
        <v>232.5</v>
      </c>
      <c r="Y122" t="n">
        <v>19</v>
      </c>
      <c r="Z122" t="n">
        <v>44.18</v>
      </c>
      <c r="AA122" t="n">
        <v>4.49</v>
      </c>
      <c r="AB122" t="n">
        <v>48.67</v>
      </c>
      <c r="AC122" t="n">
        <v>8.76</v>
      </c>
      <c r="AD122" t="n">
        <v>0</v>
      </c>
      <c r="AE122" t="n">
        <v>232.5</v>
      </c>
      <c r="AF122" t="n">
        <v>0</v>
      </c>
      <c r="AG122" t="n">
        <v>0</v>
      </c>
      <c r="AH122" t="n">
        <v>0.23</v>
      </c>
      <c r="AI122" t="n">
        <v>11.63</v>
      </c>
      <c r="AJ122" t="n">
        <v>0</v>
      </c>
      <c r="AK122" t="n">
        <v>20.62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69.29000000000001</v>
      </c>
      <c r="AV122" t="n">
        <v>0</v>
      </c>
      <c r="AW122" t="n">
        <v>174.84</v>
      </c>
      <c r="AX122" t="inlineStr">
        <is>
          <t>settled</t>
        </is>
      </c>
      <c r="AY122" t="inlineStr">
        <is>
          <t>2026-01-07 05:30:00</t>
        </is>
      </c>
      <c r="AZ122" t="inlineStr">
        <is>
          <t>CITIN26602720826</t>
        </is>
      </c>
      <c r="BA122" t="n">
        <v>0</v>
      </c>
      <c r="BB122" t="inlineStr">
        <is>
          <t>aabb101d95519cd0fe592cc202f00d6323c16d56744d4c06d2df44da0c26e496</t>
        </is>
      </c>
    </row>
    <row r="123">
      <c r="A123" t="inlineStr">
        <is>
          <t>233</t>
        </is>
      </c>
      <c r="B123" t="inlineStr">
        <is>
          <t>7652718444</t>
        </is>
      </c>
      <c r="C123" t="inlineStr">
        <is>
          <t>2026-01-03 16:42:29</t>
        </is>
      </c>
      <c r="D123" t="inlineStr">
        <is>
          <t>1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30% off upto ₹75 (2025-06-25 - 2031-01-01)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219</v>
      </c>
      <c r="P123" t="n">
        <v>3.5</v>
      </c>
      <c r="Q123" t="n">
        <v>0</v>
      </c>
      <c r="R123" t="n">
        <v>65.7</v>
      </c>
      <c r="S123" t="n">
        <v>0</v>
      </c>
      <c r="T123" t="n">
        <v>0</v>
      </c>
      <c r="U123" t="n">
        <v>0</v>
      </c>
      <c r="V123" t="n">
        <v>7.84</v>
      </c>
      <c r="W123" t="n">
        <v>164.64</v>
      </c>
      <c r="X123" t="n">
        <v>156.8</v>
      </c>
      <c r="Y123" t="n">
        <v>19</v>
      </c>
      <c r="Z123" t="n">
        <v>29.79</v>
      </c>
      <c r="AA123" t="n">
        <v>3.03</v>
      </c>
      <c r="AB123" t="n">
        <v>32.82</v>
      </c>
      <c r="AC123" t="n">
        <v>5.91</v>
      </c>
      <c r="AD123" t="n">
        <v>0</v>
      </c>
      <c r="AE123" t="n">
        <v>156.8</v>
      </c>
      <c r="AF123" t="n">
        <v>0</v>
      </c>
      <c r="AG123" t="n">
        <v>0</v>
      </c>
      <c r="AH123" t="n">
        <v>0.16</v>
      </c>
      <c r="AI123" t="n">
        <v>7.85</v>
      </c>
      <c r="AJ123" t="n">
        <v>-0.01</v>
      </c>
      <c r="AK123" t="n">
        <v>13.92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46.74</v>
      </c>
      <c r="AV123" t="n">
        <v>0</v>
      </c>
      <c r="AW123" t="n">
        <v>117.9</v>
      </c>
      <c r="AX123" t="inlineStr">
        <is>
          <t>settled</t>
        </is>
      </c>
      <c r="AY123" t="inlineStr">
        <is>
          <t>2026-01-07 05:30:00</t>
        </is>
      </c>
      <c r="AZ123" t="inlineStr">
        <is>
          <t>CITIN26602720826</t>
        </is>
      </c>
      <c r="BA123" t="n">
        <v>0</v>
      </c>
      <c r="BB123" t="inlineStr">
        <is>
          <t>3b1f5485f5f9af96e27fc909ba630b3c0769a5a0ae7a245756859c359f106119</t>
        </is>
      </c>
    </row>
    <row r="124">
      <c r="A124" t="inlineStr">
        <is>
          <t>234</t>
        </is>
      </c>
      <c r="B124" t="inlineStr">
        <is>
          <t>7652440870</t>
        </is>
      </c>
      <c r="C124" t="inlineStr">
        <is>
          <t>2026-01-03 18:45:07</t>
        </is>
      </c>
      <c r="D124" t="inlineStr">
        <is>
          <t>1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458</v>
      </c>
      <c r="P124" t="n">
        <v>3.5</v>
      </c>
      <c r="Q124" t="n">
        <v>0</v>
      </c>
      <c r="R124" t="n">
        <v>75</v>
      </c>
      <c r="S124" t="n">
        <v>0</v>
      </c>
      <c r="T124" t="n">
        <v>0</v>
      </c>
      <c r="U124" t="n">
        <v>0</v>
      </c>
      <c r="V124" t="n">
        <v>19.33</v>
      </c>
      <c r="W124" t="n">
        <v>405.83</v>
      </c>
      <c r="X124" t="n">
        <v>386.5</v>
      </c>
      <c r="Y124" t="n">
        <v>19</v>
      </c>
      <c r="Z124" t="n">
        <v>73.44</v>
      </c>
      <c r="AA124" t="n">
        <v>7.47</v>
      </c>
      <c r="AB124" t="n">
        <v>80.91</v>
      </c>
      <c r="AC124" t="n">
        <v>14.56</v>
      </c>
      <c r="AD124" t="n">
        <v>0</v>
      </c>
      <c r="AE124" t="n">
        <v>386.5</v>
      </c>
      <c r="AF124" t="n">
        <v>0</v>
      </c>
      <c r="AG124" t="n">
        <v>0</v>
      </c>
      <c r="AH124" t="n">
        <v>0.39</v>
      </c>
      <c r="AI124" t="n">
        <v>19.33</v>
      </c>
      <c r="AJ124" t="n">
        <v>0</v>
      </c>
      <c r="AK124" t="n">
        <v>34.28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115.19</v>
      </c>
      <c r="AV124" t="n">
        <v>0</v>
      </c>
      <c r="AW124" t="n">
        <v>290.64</v>
      </c>
      <c r="AX124" t="inlineStr">
        <is>
          <t>settled</t>
        </is>
      </c>
      <c r="AY124" t="inlineStr">
        <is>
          <t>2026-01-07 05:30:00</t>
        </is>
      </c>
      <c r="AZ124" t="inlineStr">
        <is>
          <t>CITIN26602720826</t>
        </is>
      </c>
      <c r="BA124" t="n">
        <v>0</v>
      </c>
      <c r="BB124" t="inlineStr">
        <is>
          <t>adc804f3a346205bb90334362d3b9bc90283d227688e3c1e9a5c5f41d1af40a7</t>
        </is>
      </c>
    </row>
    <row r="125">
      <c r="A125" t="inlineStr">
        <is>
          <t>235</t>
        </is>
      </c>
      <c r="B125" t="inlineStr">
        <is>
          <t>7648084622</t>
        </is>
      </c>
      <c r="C125" t="inlineStr">
        <is>
          <t>2026-01-03 18:55:51</t>
        </is>
      </c>
      <c r="D125" t="inlineStr">
        <is>
          <t>1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438</v>
      </c>
      <c r="P125" t="n">
        <v>3.5</v>
      </c>
      <c r="Q125" t="n">
        <v>0</v>
      </c>
      <c r="R125" t="n">
        <v>75</v>
      </c>
      <c r="S125" t="n">
        <v>0</v>
      </c>
      <c r="T125" t="n">
        <v>0</v>
      </c>
      <c r="U125" t="n">
        <v>0</v>
      </c>
      <c r="V125" t="n">
        <v>18.33</v>
      </c>
      <c r="W125" t="n">
        <v>384.83</v>
      </c>
      <c r="X125" t="n">
        <v>366.5</v>
      </c>
      <c r="Y125" t="n">
        <v>19</v>
      </c>
      <c r="Z125" t="n">
        <v>69.64</v>
      </c>
      <c r="AA125" t="n">
        <v>7.08</v>
      </c>
      <c r="AB125" t="n">
        <v>76.72</v>
      </c>
      <c r="AC125" t="n">
        <v>13.81</v>
      </c>
      <c r="AD125" t="n">
        <v>0</v>
      </c>
      <c r="AE125" t="n">
        <v>366.5</v>
      </c>
      <c r="AF125" t="n">
        <v>0</v>
      </c>
      <c r="AG125" t="n">
        <v>0</v>
      </c>
      <c r="AH125" t="n">
        <v>0.37</v>
      </c>
      <c r="AI125" t="n">
        <v>18.33</v>
      </c>
      <c r="AJ125" t="n">
        <v>0</v>
      </c>
      <c r="AK125" t="n">
        <v>32.51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109.23</v>
      </c>
      <c r="AV125" t="n">
        <v>0</v>
      </c>
      <c r="AW125" t="n">
        <v>275.6</v>
      </c>
      <c r="AX125" t="inlineStr">
        <is>
          <t>settled</t>
        </is>
      </c>
      <c r="AY125" t="inlineStr">
        <is>
          <t>2026-01-07 05:30:00</t>
        </is>
      </c>
      <c r="AZ125" t="inlineStr">
        <is>
          <t>CITIN26602720826</t>
        </is>
      </c>
      <c r="BA125" t="n">
        <v>0</v>
      </c>
      <c r="BB125" t="inlineStr">
        <is>
          <t>2b927a3488c9a51e3279078007c1f4379ea2bc7ec7cba45cae000fcfbf31193e</t>
        </is>
      </c>
    </row>
    <row r="126">
      <c r="A126" t="inlineStr">
        <is>
          <t>236</t>
        </is>
      </c>
      <c r="B126" t="inlineStr">
        <is>
          <t>7641363776</t>
        </is>
      </c>
      <c r="C126" t="inlineStr">
        <is>
          <t>2026-01-03 18:56:30</t>
        </is>
      </c>
      <c r="D126" t="inlineStr">
        <is>
          <t>1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229</v>
      </c>
      <c r="P126" t="n">
        <v>3.5</v>
      </c>
      <c r="Q126" t="n">
        <v>0</v>
      </c>
      <c r="R126" t="n">
        <v>68.7</v>
      </c>
      <c r="S126" t="n">
        <v>0</v>
      </c>
      <c r="T126" t="n">
        <v>0</v>
      </c>
      <c r="U126" t="n">
        <v>0</v>
      </c>
      <c r="V126" t="n">
        <v>8.19</v>
      </c>
      <c r="W126" t="n">
        <v>171.99</v>
      </c>
      <c r="X126" t="n">
        <v>163.8</v>
      </c>
      <c r="Y126" t="n">
        <v>19</v>
      </c>
      <c r="Z126" t="n">
        <v>31.12</v>
      </c>
      <c r="AA126" t="n">
        <v>3.16</v>
      </c>
      <c r="AB126" t="n">
        <v>34.28</v>
      </c>
      <c r="AC126" t="n">
        <v>6.17</v>
      </c>
      <c r="AD126" t="n">
        <v>0</v>
      </c>
      <c r="AE126" t="n">
        <v>163.8</v>
      </c>
      <c r="AF126" t="n">
        <v>0</v>
      </c>
      <c r="AG126" t="n">
        <v>0</v>
      </c>
      <c r="AH126" t="n">
        <v>0.16</v>
      </c>
      <c r="AI126" t="n">
        <v>8.199999999999999</v>
      </c>
      <c r="AJ126" t="n">
        <v>-0.01</v>
      </c>
      <c r="AK126" t="n">
        <v>14.53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48.81</v>
      </c>
      <c r="AV126" t="n">
        <v>0</v>
      </c>
      <c r="AW126" t="n">
        <v>123.18</v>
      </c>
      <c r="AX126" t="inlineStr">
        <is>
          <t>settled</t>
        </is>
      </c>
      <c r="AY126" t="inlineStr">
        <is>
          <t>2026-01-07 05:30:00</t>
        </is>
      </c>
      <c r="AZ126" t="inlineStr">
        <is>
          <t>CITIN26602720826</t>
        </is>
      </c>
      <c r="BA126" t="n">
        <v>0</v>
      </c>
      <c r="BB126" t="inlineStr">
        <is>
          <t>893cb9ffad390678bcbfe52bb322bf42dedd7e445febcca15c8b519b4a713733</t>
        </is>
      </c>
    </row>
    <row r="127">
      <c r="A127" t="inlineStr">
        <is>
          <t>237</t>
        </is>
      </c>
      <c r="B127" t="inlineStr">
        <is>
          <t>7650938681</t>
        </is>
      </c>
      <c r="C127" t="inlineStr">
        <is>
          <t>2026-01-03 19:15:58</t>
        </is>
      </c>
      <c r="D127" t="inlineStr">
        <is>
          <t>1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NA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229</v>
      </c>
      <c r="P127" t="n">
        <v>3.5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11.63</v>
      </c>
      <c r="W127" t="n">
        <v>244.13</v>
      </c>
      <c r="X127" t="n">
        <v>232.5</v>
      </c>
      <c r="Y127" t="n">
        <v>19</v>
      </c>
      <c r="Z127" t="n">
        <v>44.18</v>
      </c>
      <c r="AA127" t="n">
        <v>4.49</v>
      </c>
      <c r="AB127" t="n">
        <v>48.67</v>
      </c>
      <c r="AC127" t="n">
        <v>8.76</v>
      </c>
      <c r="AD127" t="n">
        <v>0</v>
      </c>
      <c r="AE127" t="n">
        <v>232.5</v>
      </c>
      <c r="AF127" t="n">
        <v>0</v>
      </c>
      <c r="AG127" t="n">
        <v>0</v>
      </c>
      <c r="AH127" t="n">
        <v>0.23</v>
      </c>
      <c r="AI127" t="n">
        <v>11.63</v>
      </c>
      <c r="AJ127" t="n">
        <v>0</v>
      </c>
      <c r="AK127" t="n">
        <v>20.62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69.29000000000001</v>
      </c>
      <c r="AV127" t="n">
        <v>0</v>
      </c>
      <c r="AW127" t="n">
        <v>174.84</v>
      </c>
      <c r="AX127" t="inlineStr">
        <is>
          <t>settled</t>
        </is>
      </c>
      <c r="AY127" t="inlineStr">
        <is>
          <t>2026-01-07 05:30:00</t>
        </is>
      </c>
      <c r="AZ127" t="inlineStr">
        <is>
          <t>CITIN26602720826</t>
        </is>
      </c>
      <c r="BA127" t="n">
        <v>0</v>
      </c>
      <c r="BB127" t="inlineStr">
        <is>
          <t>9fdf22018d81c8495e6f4c1295569cd31e3eee1011c77202a669bdc2ddd53d01</t>
        </is>
      </c>
    </row>
    <row r="128">
      <c r="A128" t="inlineStr">
        <is>
          <t>238</t>
        </is>
      </c>
      <c r="B128" t="inlineStr">
        <is>
          <t>7653141129</t>
        </is>
      </c>
      <c r="C128" t="inlineStr">
        <is>
          <t>2026-01-03 19:37:59</t>
        </is>
      </c>
      <c r="D128" t="inlineStr">
        <is>
          <t>1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NA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219</v>
      </c>
      <c r="P128" t="n">
        <v>3.5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11.13</v>
      </c>
      <c r="W128" t="n">
        <v>233.63</v>
      </c>
      <c r="X128" t="n">
        <v>222.5</v>
      </c>
      <c r="Y128" t="n">
        <v>19</v>
      </c>
      <c r="Z128" t="n">
        <v>42.28</v>
      </c>
      <c r="AA128" t="n">
        <v>4.3</v>
      </c>
      <c r="AB128" t="n">
        <v>46.58</v>
      </c>
      <c r="AC128" t="n">
        <v>8.380000000000001</v>
      </c>
      <c r="AD128" t="n">
        <v>0</v>
      </c>
      <c r="AE128" t="n">
        <v>222.5</v>
      </c>
      <c r="AF128" t="n">
        <v>0</v>
      </c>
      <c r="AG128" t="n">
        <v>0</v>
      </c>
      <c r="AH128" t="n">
        <v>0.22</v>
      </c>
      <c r="AI128" t="n">
        <v>11.13</v>
      </c>
      <c r="AJ128" t="n">
        <v>0</v>
      </c>
      <c r="AK128" t="n">
        <v>19.73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66.31</v>
      </c>
      <c r="AV128" t="n">
        <v>0</v>
      </c>
      <c r="AW128" t="n">
        <v>167.32</v>
      </c>
      <c r="AX128" t="inlineStr">
        <is>
          <t>settled</t>
        </is>
      </c>
      <c r="AY128" t="inlineStr">
        <is>
          <t>2026-01-07 05:30:00</t>
        </is>
      </c>
      <c r="AZ128" t="inlineStr">
        <is>
          <t>CITIN26602720826</t>
        </is>
      </c>
      <c r="BA128" t="n">
        <v>0</v>
      </c>
      <c r="BB128" t="inlineStr">
        <is>
          <t>62c9b9ea1d2c9b429136d75e0893f12ee8e031ad92238b4d6f92beaf3b194378</t>
        </is>
      </c>
    </row>
    <row r="129">
      <c r="A129" t="inlineStr">
        <is>
          <t>239</t>
        </is>
      </c>
      <c r="B129" t="inlineStr">
        <is>
          <t>7646981639</t>
        </is>
      </c>
      <c r="C129" t="inlineStr">
        <is>
          <t>2026-01-03 19:54:59</t>
        </is>
      </c>
      <c r="D129" t="inlineStr">
        <is>
          <t>1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229</v>
      </c>
      <c r="P129" t="n">
        <v>3.5</v>
      </c>
      <c r="Q129" t="n">
        <v>0</v>
      </c>
      <c r="R129" t="n">
        <v>68.7</v>
      </c>
      <c r="S129" t="n">
        <v>0</v>
      </c>
      <c r="T129" t="n">
        <v>0</v>
      </c>
      <c r="U129" t="n">
        <v>0</v>
      </c>
      <c r="V129" t="n">
        <v>8.19</v>
      </c>
      <c r="W129" t="n">
        <v>171.99</v>
      </c>
      <c r="X129" t="n">
        <v>163.8</v>
      </c>
      <c r="Y129" t="n">
        <v>19</v>
      </c>
      <c r="Z129" t="n">
        <v>31.12</v>
      </c>
      <c r="AA129" t="n">
        <v>3.16</v>
      </c>
      <c r="AB129" t="n">
        <v>34.28</v>
      </c>
      <c r="AC129" t="n">
        <v>6.17</v>
      </c>
      <c r="AD129" t="n">
        <v>0</v>
      </c>
      <c r="AE129" t="n">
        <v>163.8</v>
      </c>
      <c r="AF129" t="n">
        <v>0</v>
      </c>
      <c r="AG129" t="n">
        <v>0</v>
      </c>
      <c r="AH129" t="n">
        <v>0.16</v>
      </c>
      <c r="AI129" t="n">
        <v>8.199999999999999</v>
      </c>
      <c r="AJ129" t="n">
        <v>-0.01</v>
      </c>
      <c r="AK129" t="n">
        <v>14.53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48.81</v>
      </c>
      <c r="AV129" t="n">
        <v>0</v>
      </c>
      <c r="AW129" t="n">
        <v>123.18</v>
      </c>
      <c r="AX129" t="inlineStr">
        <is>
          <t>settled</t>
        </is>
      </c>
      <c r="AY129" t="inlineStr">
        <is>
          <t>2026-01-07 05:30:00</t>
        </is>
      </c>
      <c r="AZ129" t="inlineStr">
        <is>
          <t>CITIN26602720826</t>
        </is>
      </c>
      <c r="BA129" t="n">
        <v>0</v>
      </c>
      <c r="BB129" t="inlineStr">
        <is>
          <t>4b0498c77b7c00300912e5a0f2f06a35f99c0ea1f0eabecf99d4e0e1c8f60b7b</t>
        </is>
      </c>
    </row>
    <row r="130">
      <c r="A130" t="inlineStr">
        <is>
          <t>240</t>
        </is>
      </c>
      <c r="B130" t="inlineStr">
        <is>
          <t>7652875570</t>
        </is>
      </c>
      <c r="C130" t="inlineStr">
        <is>
          <t>2026-01-03 20:06:59</t>
        </is>
      </c>
      <c r="D130" t="inlineStr">
        <is>
          <t>1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30% off upto ₹75 (2025-06-25 - 2031-01-01)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448</v>
      </c>
      <c r="P130" t="n">
        <v>3.5</v>
      </c>
      <c r="Q130" t="n">
        <v>0</v>
      </c>
      <c r="R130" t="n">
        <v>75</v>
      </c>
      <c r="S130" t="n">
        <v>0</v>
      </c>
      <c r="T130" t="n">
        <v>0</v>
      </c>
      <c r="U130" t="n">
        <v>0</v>
      </c>
      <c r="V130" t="n">
        <v>18.83</v>
      </c>
      <c r="W130" t="n">
        <v>395.33</v>
      </c>
      <c r="X130" t="n">
        <v>376.5</v>
      </c>
      <c r="Y130" t="n">
        <v>19</v>
      </c>
      <c r="Z130" t="n">
        <v>71.54000000000001</v>
      </c>
      <c r="AA130" t="n">
        <v>7.27</v>
      </c>
      <c r="AB130" t="n">
        <v>78.81</v>
      </c>
      <c r="AC130" t="n">
        <v>14.19</v>
      </c>
      <c r="AD130" t="n">
        <v>0</v>
      </c>
      <c r="AE130" t="n">
        <v>376.5</v>
      </c>
      <c r="AF130" t="n">
        <v>0</v>
      </c>
      <c r="AG130" t="n">
        <v>0</v>
      </c>
      <c r="AH130" t="n">
        <v>0.38</v>
      </c>
      <c r="AI130" t="n">
        <v>18.83</v>
      </c>
      <c r="AJ130" t="n">
        <v>0</v>
      </c>
      <c r="AK130" t="n">
        <v>33.4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112.21</v>
      </c>
      <c r="AV130" t="n">
        <v>0</v>
      </c>
      <c r="AW130" t="n">
        <v>283.12</v>
      </c>
      <c r="AX130" t="inlineStr">
        <is>
          <t>settled</t>
        </is>
      </c>
      <c r="AY130" t="inlineStr">
        <is>
          <t>2026-01-07 05:30:00</t>
        </is>
      </c>
      <c r="AZ130" t="inlineStr">
        <is>
          <t>CITIN26602720826</t>
        </is>
      </c>
      <c r="BA130" t="n">
        <v>0</v>
      </c>
      <c r="BB130" t="inlineStr">
        <is>
          <t>d565a351bac72ef1d1f241c5d35740b36f0bdb451a9000eeca11c9741875dbfb</t>
        </is>
      </c>
    </row>
    <row r="131">
      <c r="A131" t="inlineStr">
        <is>
          <t>241</t>
        </is>
      </c>
      <c r="B131" t="inlineStr">
        <is>
          <t>7653995671</t>
        </is>
      </c>
      <c r="C131" t="inlineStr">
        <is>
          <t>2026-01-03 20:20:08</t>
        </is>
      </c>
      <c r="D131" t="inlineStr">
        <is>
          <t>1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30% off upto ₹75 (2025-06-25 - 2031-01-01)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289</v>
      </c>
      <c r="P131" t="n">
        <v>3.5</v>
      </c>
      <c r="Q131" t="n">
        <v>0</v>
      </c>
      <c r="R131" t="n">
        <v>75</v>
      </c>
      <c r="S131" t="n">
        <v>0</v>
      </c>
      <c r="T131" t="n">
        <v>0</v>
      </c>
      <c r="U131" t="n">
        <v>0</v>
      </c>
      <c r="V131" t="n">
        <v>10.88</v>
      </c>
      <c r="W131" t="n">
        <v>228.38</v>
      </c>
      <c r="X131" t="n">
        <v>217.5</v>
      </c>
      <c r="Y131" t="n">
        <v>19</v>
      </c>
      <c r="Z131" t="n">
        <v>41.32</v>
      </c>
      <c r="AA131" t="n">
        <v>4.2</v>
      </c>
      <c r="AB131" t="n">
        <v>45.52</v>
      </c>
      <c r="AC131" t="n">
        <v>8.199999999999999</v>
      </c>
      <c r="AD131" t="n">
        <v>0</v>
      </c>
      <c r="AE131" t="n">
        <v>217.5</v>
      </c>
      <c r="AF131" t="n">
        <v>0</v>
      </c>
      <c r="AG131" t="n">
        <v>0</v>
      </c>
      <c r="AH131" t="n">
        <v>0.22</v>
      </c>
      <c r="AI131" t="n">
        <v>10.88</v>
      </c>
      <c r="AJ131" t="n">
        <v>0</v>
      </c>
      <c r="AK131" t="n">
        <v>19.3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64.81999999999999</v>
      </c>
      <c r="AV131" t="n">
        <v>0</v>
      </c>
      <c r="AW131" t="n">
        <v>163.56</v>
      </c>
      <c r="AX131" t="inlineStr">
        <is>
          <t>settled</t>
        </is>
      </c>
      <c r="AY131" t="inlineStr">
        <is>
          <t>2026-01-07 05:30:00</t>
        </is>
      </c>
      <c r="AZ131" t="inlineStr">
        <is>
          <t>CITIN26602720826</t>
        </is>
      </c>
      <c r="BA131" t="n">
        <v>0</v>
      </c>
      <c r="BB131" t="inlineStr">
        <is>
          <t>995a933bc6a0f408e9708c1130cebe21ef9d4b47483f7b53836b809e1641aa0f</t>
        </is>
      </c>
    </row>
    <row r="132">
      <c r="A132" t="inlineStr">
        <is>
          <t>242</t>
        </is>
      </c>
      <c r="B132" t="inlineStr">
        <is>
          <t>7654618433</t>
        </is>
      </c>
      <c r="C132" t="inlineStr">
        <is>
          <t>2026-01-03 22:20:52</t>
        </is>
      </c>
      <c r="D132" t="inlineStr">
        <is>
          <t>1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2026-01-07 05:30:00</t>
        </is>
      </c>
      <c r="AZ132" t="inlineStr">
        <is>
          <t>CITIN26602720826</t>
        </is>
      </c>
      <c r="BA132" t="n">
        <v>0</v>
      </c>
      <c r="BB132" t="inlineStr">
        <is>
          <t>e60f33211ab434b033c1000de954f8da29b645cae70176f928907c3fe3382e4c</t>
        </is>
      </c>
    </row>
    <row r="133">
      <c r="A133" t="inlineStr">
        <is>
          <t>243</t>
        </is>
      </c>
      <c r="B133" t="inlineStr">
        <is>
          <t>7654067242</t>
        </is>
      </c>
      <c r="C133" t="inlineStr">
        <is>
          <t>2026-01-03 22:42:07</t>
        </is>
      </c>
      <c r="D133" t="inlineStr">
        <is>
          <t>1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338</v>
      </c>
      <c r="P133" t="n">
        <v>3.5</v>
      </c>
      <c r="Q133" t="n">
        <v>0</v>
      </c>
      <c r="R133" t="n">
        <v>75</v>
      </c>
      <c r="S133" t="n">
        <v>0</v>
      </c>
      <c r="T133" t="n">
        <v>0</v>
      </c>
      <c r="U133" t="n">
        <v>0</v>
      </c>
      <c r="V133" t="n">
        <v>13.33</v>
      </c>
      <c r="W133" t="n">
        <v>279.83</v>
      </c>
      <c r="X133" t="n">
        <v>266.5</v>
      </c>
      <c r="Y133" t="n">
        <v>19</v>
      </c>
      <c r="Z133" t="n">
        <v>50.64</v>
      </c>
      <c r="AA133" t="n">
        <v>5.15</v>
      </c>
      <c r="AB133" t="n">
        <v>55.79</v>
      </c>
      <c r="AC133" t="n">
        <v>10.05</v>
      </c>
      <c r="AD133" t="n">
        <v>0</v>
      </c>
      <c r="AE133" t="n">
        <v>266.5</v>
      </c>
      <c r="AF133" t="n">
        <v>0</v>
      </c>
      <c r="AG133" t="n">
        <v>0</v>
      </c>
      <c r="AH133" t="n">
        <v>0.27</v>
      </c>
      <c r="AI133" t="n">
        <v>13.33</v>
      </c>
      <c r="AJ133" t="n">
        <v>0</v>
      </c>
      <c r="AK133" t="n">
        <v>23.65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79.44</v>
      </c>
      <c r="AV133" t="n">
        <v>0</v>
      </c>
      <c r="AW133" t="n">
        <v>200.39</v>
      </c>
      <c r="AX133" t="inlineStr">
        <is>
          <t>settled</t>
        </is>
      </c>
      <c r="AY133" t="inlineStr">
        <is>
          <t>2026-01-07 05:30:00</t>
        </is>
      </c>
      <c r="AZ133" t="inlineStr">
        <is>
          <t>CITIN26602720826</t>
        </is>
      </c>
      <c r="BA133" t="n">
        <v>0</v>
      </c>
      <c r="BB133" t="inlineStr">
        <is>
          <t>5a4152e7640e85cce3714ee026d54b97b622f52be4a354a0a91e419ba9540499</t>
        </is>
      </c>
    </row>
    <row r="134">
      <c r="A134" t="inlineStr">
        <is>
          <t>244</t>
        </is>
      </c>
      <c r="B134" t="inlineStr">
        <is>
          <t>7650940423</t>
        </is>
      </c>
      <c r="C134" t="inlineStr">
        <is>
          <t>2026-01-03 22:54:10</t>
        </is>
      </c>
      <c r="D134" t="inlineStr">
        <is>
          <t>1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30% off upto ₹75 (2025-06-25 - 2031-01-01)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219</v>
      </c>
      <c r="P134" t="n">
        <v>3.5</v>
      </c>
      <c r="Q134" t="n">
        <v>0</v>
      </c>
      <c r="R134" t="n">
        <v>65.7</v>
      </c>
      <c r="S134" t="n">
        <v>0</v>
      </c>
      <c r="T134" t="n">
        <v>0</v>
      </c>
      <c r="U134" t="n">
        <v>0</v>
      </c>
      <c r="V134" t="n">
        <v>7.84</v>
      </c>
      <c r="W134" t="n">
        <v>164.64</v>
      </c>
      <c r="X134" t="n">
        <v>156.8</v>
      </c>
      <c r="Y134" t="n">
        <v>19</v>
      </c>
      <c r="Z134" t="n">
        <v>29.79</v>
      </c>
      <c r="AA134" t="n">
        <v>3.03</v>
      </c>
      <c r="AB134" t="n">
        <v>32.82</v>
      </c>
      <c r="AC134" t="n">
        <v>5.91</v>
      </c>
      <c r="AD134" t="n">
        <v>0</v>
      </c>
      <c r="AE134" t="n">
        <v>156.8</v>
      </c>
      <c r="AF134" t="n">
        <v>0</v>
      </c>
      <c r="AG134" t="n">
        <v>0</v>
      </c>
      <c r="AH134" t="n">
        <v>0.16</v>
      </c>
      <c r="AI134" t="n">
        <v>7.85</v>
      </c>
      <c r="AJ134" t="n">
        <v>-0.01</v>
      </c>
      <c r="AK134" t="n">
        <v>13.92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46.74</v>
      </c>
      <c r="AV134" t="n">
        <v>0</v>
      </c>
      <c r="AW134" t="n">
        <v>117.9</v>
      </c>
      <c r="AX134" t="inlineStr">
        <is>
          <t>settled</t>
        </is>
      </c>
      <c r="AY134" t="inlineStr">
        <is>
          <t>2026-01-07 05:30:00</t>
        </is>
      </c>
      <c r="AZ134" t="inlineStr">
        <is>
          <t>CITIN26602720826</t>
        </is>
      </c>
      <c r="BA134" t="n">
        <v>0</v>
      </c>
      <c r="BB134" t="inlineStr">
        <is>
          <t>1c819d0af4ff785b39ee2a86c0fc9566af6cc45d15d627cda48afead4e358910</t>
        </is>
      </c>
    </row>
    <row r="135">
      <c r="A135" t="inlineStr">
        <is>
          <t>245</t>
        </is>
      </c>
      <c r="B135" t="inlineStr">
        <is>
          <t>7648490397</t>
        </is>
      </c>
      <c r="C135" t="inlineStr">
        <is>
          <t>2026-01-03 23:11:13</t>
        </is>
      </c>
      <c r="D135" t="inlineStr">
        <is>
          <t>1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30% off upto ₹75 (2025-06-25 - 2031-01-01)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368</v>
      </c>
      <c r="P135" t="n">
        <v>3.5</v>
      </c>
      <c r="Q135" t="n">
        <v>0</v>
      </c>
      <c r="R135" t="n">
        <v>75</v>
      </c>
      <c r="S135" t="n">
        <v>0</v>
      </c>
      <c r="T135" t="n">
        <v>0</v>
      </c>
      <c r="U135" t="n">
        <v>0</v>
      </c>
      <c r="V135" t="n">
        <v>14.83</v>
      </c>
      <c r="W135" t="n">
        <v>311.33</v>
      </c>
      <c r="X135" t="n">
        <v>296.5</v>
      </c>
      <c r="Y135" t="n">
        <v>19</v>
      </c>
      <c r="Z135" t="n">
        <v>56.34</v>
      </c>
      <c r="AA135" t="n">
        <v>5.73</v>
      </c>
      <c r="AB135" t="n">
        <v>62.07</v>
      </c>
      <c r="AC135" t="n">
        <v>11.17</v>
      </c>
      <c r="AD135" t="n">
        <v>0</v>
      </c>
      <c r="AE135" t="n">
        <v>296.5</v>
      </c>
      <c r="AF135" t="n">
        <v>0</v>
      </c>
      <c r="AG135" t="n">
        <v>0</v>
      </c>
      <c r="AH135" t="n">
        <v>0.3</v>
      </c>
      <c r="AI135" t="n">
        <v>14.83</v>
      </c>
      <c r="AJ135" t="n">
        <v>0</v>
      </c>
      <c r="AK135" t="n">
        <v>26.3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88.37</v>
      </c>
      <c r="AV135" t="n">
        <v>0</v>
      </c>
      <c r="AW135" t="n">
        <v>222.96</v>
      </c>
      <c r="AX135" t="inlineStr">
        <is>
          <t>settled</t>
        </is>
      </c>
      <c r="AY135" t="inlineStr">
        <is>
          <t>2026-01-07 05:30:00</t>
        </is>
      </c>
      <c r="AZ135" t="inlineStr">
        <is>
          <t>CITIN26602720826</t>
        </is>
      </c>
      <c r="BA135" t="n">
        <v>0</v>
      </c>
      <c r="BB135" t="inlineStr">
        <is>
          <t>652f83491c3145110c2fb61db6cc2c87195947570768d078e16cc67e5d8c928f</t>
        </is>
      </c>
    </row>
    <row r="136">
      <c r="A136" t="inlineStr">
        <is>
          <t>246</t>
        </is>
      </c>
      <c r="B136" t="inlineStr">
        <is>
          <t>7653874772</t>
        </is>
      </c>
      <c r="C136" t="inlineStr">
        <is>
          <t>2026-01-03 23:18:45</t>
        </is>
      </c>
      <c r="D136" t="inlineStr">
        <is>
          <t>1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229</v>
      </c>
      <c r="P136" t="n">
        <v>3.5</v>
      </c>
      <c r="Q136" t="n">
        <v>0</v>
      </c>
      <c r="R136" t="n">
        <v>68.7</v>
      </c>
      <c r="S136" t="n">
        <v>0</v>
      </c>
      <c r="T136" t="n">
        <v>0</v>
      </c>
      <c r="U136" t="n">
        <v>0</v>
      </c>
      <c r="V136" t="n">
        <v>8.19</v>
      </c>
      <c r="W136" t="n">
        <v>171.99</v>
      </c>
      <c r="X136" t="n">
        <v>163.8</v>
      </c>
      <c r="Y136" t="n">
        <v>19</v>
      </c>
      <c r="Z136" t="n">
        <v>31.12</v>
      </c>
      <c r="AA136" t="n">
        <v>3.16</v>
      </c>
      <c r="AB136" t="n">
        <v>34.28</v>
      </c>
      <c r="AC136" t="n">
        <v>6.17</v>
      </c>
      <c r="AD136" t="n">
        <v>0</v>
      </c>
      <c r="AE136" t="n">
        <v>163.8</v>
      </c>
      <c r="AF136" t="n">
        <v>0</v>
      </c>
      <c r="AG136" t="n">
        <v>0</v>
      </c>
      <c r="AH136" t="n">
        <v>0.16</v>
      </c>
      <c r="AI136" t="n">
        <v>8.199999999999999</v>
      </c>
      <c r="AJ136" t="n">
        <v>-0.01</v>
      </c>
      <c r="AK136" t="n">
        <v>14.53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48.81</v>
      </c>
      <c r="AV136" t="n">
        <v>0</v>
      </c>
      <c r="AW136" t="n">
        <v>123.18</v>
      </c>
      <c r="AX136" t="inlineStr">
        <is>
          <t>settled</t>
        </is>
      </c>
      <c r="AY136" t="inlineStr">
        <is>
          <t>2026-01-07 05:30:00</t>
        </is>
      </c>
      <c r="AZ136" t="inlineStr">
        <is>
          <t>CITIN26602720826</t>
        </is>
      </c>
      <c r="BA136" t="n">
        <v>0</v>
      </c>
      <c r="BB136" t="inlineStr">
        <is>
          <t>d9ae552e9b14699e6d95ec4a635ef44510f103ad6c748bca2d2cf2580d297ba0</t>
        </is>
      </c>
    </row>
    <row r="137">
      <c r="A137" t="inlineStr">
        <is>
          <t>247</t>
        </is>
      </c>
      <c r="B137" t="inlineStr">
        <is>
          <t>7653465702</t>
        </is>
      </c>
      <c r="C137" t="inlineStr">
        <is>
          <t>2026-01-03 23:34:07</t>
        </is>
      </c>
      <c r="D137" t="inlineStr">
        <is>
          <t>1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229</v>
      </c>
      <c r="P137" t="n">
        <v>3.5</v>
      </c>
      <c r="Q137" t="n">
        <v>0</v>
      </c>
      <c r="R137" t="n">
        <v>68.7</v>
      </c>
      <c r="S137" t="n">
        <v>0</v>
      </c>
      <c r="T137" t="n">
        <v>0</v>
      </c>
      <c r="U137" t="n">
        <v>0</v>
      </c>
      <c r="V137" t="n">
        <v>8.19</v>
      </c>
      <c r="W137" t="n">
        <v>171.99</v>
      </c>
      <c r="X137" t="n">
        <v>163.8</v>
      </c>
      <c r="Y137" t="n">
        <v>19</v>
      </c>
      <c r="Z137" t="n">
        <v>31.12</v>
      </c>
      <c r="AA137" t="n">
        <v>3.16</v>
      </c>
      <c r="AB137" t="n">
        <v>34.28</v>
      </c>
      <c r="AC137" t="n">
        <v>6.17</v>
      </c>
      <c r="AD137" t="n">
        <v>0</v>
      </c>
      <c r="AE137" t="n">
        <v>163.8</v>
      </c>
      <c r="AF137" t="n">
        <v>0</v>
      </c>
      <c r="AG137" t="n">
        <v>0</v>
      </c>
      <c r="AH137" t="n">
        <v>0.16</v>
      </c>
      <c r="AI137" t="n">
        <v>8.199999999999999</v>
      </c>
      <c r="AJ137" t="n">
        <v>-0.01</v>
      </c>
      <c r="AK137" t="n">
        <v>14.53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48.81</v>
      </c>
      <c r="AV137" t="n">
        <v>0</v>
      </c>
      <c r="AW137" t="n">
        <v>123.18</v>
      </c>
      <c r="AX137" t="inlineStr">
        <is>
          <t>settled</t>
        </is>
      </c>
      <c r="AY137" t="inlineStr">
        <is>
          <t>2026-01-07 05:30:00</t>
        </is>
      </c>
      <c r="AZ137" t="inlineStr">
        <is>
          <t>CITIN26602720826</t>
        </is>
      </c>
      <c r="BA137" t="n">
        <v>0</v>
      </c>
      <c r="BB137" t="inlineStr">
        <is>
          <t>0d031934caaa8ecb5fe79e9439ce04ce404b72e4b629fe6bd2e9d337dd6bc682</t>
        </is>
      </c>
    </row>
    <row r="138">
      <c r="A138" t="inlineStr">
        <is>
          <t>248</t>
        </is>
      </c>
      <c r="B138" t="inlineStr">
        <is>
          <t>7648414173</t>
        </is>
      </c>
      <c r="C138" t="inlineStr">
        <is>
          <t>2026-01-03 23:35:38</t>
        </is>
      </c>
      <c r="D138" t="inlineStr">
        <is>
          <t>1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219</v>
      </c>
      <c r="P138" t="n">
        <v>3.5</v>
      </c>
      <c r="Q138" t="n">
        <v>0</v>
      </c>
      <c r="R138" t="n">
        <v>65.7</v>
      </c>
      <c r="S138" t="n">
        <v>0</v>
      </c>
      <c r="T138" t="n">
        <v>0</v>
      </c>
      <c r="U138" t="n">
        <v>0</v>
      </c>
      <c r="V138" t="n">
        <v>7.84</v>
      </c>
      <c r="W138" t="n">
        <v>164.64</v>
      </c>
      <c r="X138" t="n">
        <v>156.8</v>
      </c>
      <c r="Y138" t="n">
        <v>19</v>
      </c>
      <c r="Z138" t="n">
        <v>29.79</v>
      </c>
      <c r="AA138" t="n">
        <v>3.03</v>
      </c>
      <c r="AB138" t="n">
        <v>32.82</v>
      </c>
      <c r="AC138" t="n">
        <v>5.91</v>
      </c>
      <c r="AD138" t="n">
        <v>0</v>
      </c>
      <c r="AE138" t="n">
        <v>156.8</v>
      </c>
      <c r="AF138" t="n">
        <v>0</v>
      </c>
      <c r="AG138" t="n">
        <v>0</v>
      </c>
      <c r="AH138" t="n">
        <v>0.16</v>
      </c>
      <c r="AI138" t="n">
        <v>7.85</v>
      </c>
      <c r="AJ138" t="n">
        <v>-0.01</v>
      </c>
      <c r="AK138" t="n">
        <v>13.92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46.74</v>
      </c>
      <c r="AV138" t="n">
        <v>0</v>
      </c>
      <c r="AW138" t="n">
        <v>117.9</v>
      </c>
      <c r="AX138" t="inlineStr">
        <is>
          <t>settled</t>
        </is>
      </c>
      <c r="AY138" t="inlineStr">
        <is>
          <t>2026-01-07 05:30:00</t>
        </is>
      </c>
      <c r="AZ138" t="inlineStr">
        <is>
          <t>CITIN26602720826</t>
        </is>
      </c>
      <c r="BA138" t="n">
        <v>0</v>
      </c>
      <c r="BB138" t="inlineStr">
        <is>
          <t>24c9c2574623b3a2a7dceda49e7f5a5deb25c1de312c53a43585dc32c88bccc0</t>
        </is>
      </c>
    </row>
    <row r="139">
      <c r="A139" t="inlineStr">
        <is>
          <t>249</t>
        </is>
      </c>
      <c r="B139" t="inlineStr">
        <is>
          <t>7645515964</t>
        </is>
      </c>
      <c r="C139" t="inlineStr">
        <is>
          <t>2026-01-04 00:00:17</t>
        </is>
      </c>
      <c r="D139" t="inlineStr">
        <is>
          <t>1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229</v>
      </c>
      <c r="P139" t="n">
        <v>3.5</v>
      </c>
      <c r="Q139" t="n">
        <v>0</v>
      </c>
      <c r="R139" t="n">
        <v>68.7</v>
      </c>
      <c r="S139" t="n">
        <v>0</v>
      </c>
      <c r="T139" t="n">
        <v>0</v>
      </c>
      <c r="U139" t="n">
        <v>0</v>
      </c>
      <c r="V139" t="n">
        <v>8.19</v>
      </c>
      <c r="W139" t="n">
        <v>171.99</v>
      </c>
      <c r="X139" t="n">
        <v>163.8</v>
      </c>
      <c r="Y139" t="n">
        <v>19</v>
      </c>
      <c r="Z139" t="n">
        <v>31.12</v>
      </c>
      <c r="AA139" t="n">
        <v>3.16</v>
      </c>
      <c r="AB139" t="n">
        <v>34.28</v>
      </c>
      <c r="AC139" t="n">
        <v>6.17</v>
      </c>
      <c r="AD139" t="n">
        <v>0</v>
      </c>
      <c r="AE139" t="n">
        <v>163.8</v>
      </c>
      <c r="AF139" t="n">
        <v>0</v>
      </c>
      <c r="AG139" t="n">
        <v>0</v>
      </c>
      <c r="AH139" t="n">
        <v>0.16</v>
      </c>
      <c r="AI139" t="n">
        <v>8.199999999999999</v>
      </c>
      <c r="AJ139" t="n">
        <v>-0.01</v>
      </c>
      <c r="AK139" t="n">
        <v>14.53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48.81</v>
      </c>
      <c r="AV139" t="n">
        <v>0</v>
      </c>
      <c r="AW139" t="n">
        <v>123.18</v>
      </c>
      <c r="AX139" t="inlineStr">
        <is>
          <t>settled</t>
        </is>
      </c>
      <c r="AY139" t="inlineStr">
        <is>
          <t>2026-01-07 05:30:00</t>
        </is>
      </c>
      <c r="AZ139" t="inlineStr">
        <is>
          <t>CITIN26602720826</t>
        </is>
      </c>
      <c r="BA139" t="n">
        <v>0</v>
      </c>
      <c r="BB139" t="inlineStr">
        <is>
          <t>7474c1528cf59a7814261184f9e5d00a67b5d8563dab712cb1016fb57be28179</t>
        </is>
      </c>
    </row>
    <row r="140">
      <c r="A140" t="inlineStr">
        <is>
          <t>250</t>
        </is>
      </c>
      <c r="B140" t="inlineStr">
        <is>
          <t>7646595929</t>
        </is>
      </c>
      <c r="C140" t="inlineStr">
        <is>
          <t>2026-01-04 00:12:29</t>
        </is>
      </c>
      <c r="D140" t="inlineStr">
        <is>
          <t>1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30% off upto ₹75 (2025-06-25 - 2031-01-01)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229</v>
      </c>
      <c r="P140" t="n">
        <v>3.5</v>
      </c>
      <c r="Q140" t="n">
        <v>0</v>
      </c>
      <c r="R140" t="n">
        <v>68.7</v>
      </c>
      <c r="S140" t="n">
        <v>0</v>
      </c>
      <c r="T140" t="n">
        <v>0</v>
      </c>
      <c r="U140" t="n">
        <v>0</v>
      </c>
      <c r="V140" t="n">
        <v>8.19</v>
      </c>
      <c r="W140" t="n">
        <v>171.99</v>
      </c>
      <c r="X140" t="n">
        <v>163.8</v>
      </c>
      <c r="Y140" t="n">
        <v>19</v>
      </c>
      <c r="Z140" t="n">
        <v>31.12</v>
      </c>
      <c r="AA140" t="n">
        <v>3.16</v>
      </c>
      <c r="AB140" t="n">
        <v>34.28</v>
      </c>
      <c r="AC140" t="n">
        <v>6.17</v>
      </c>
      <c r="AD140" t="n">
        <v>0</v>
      </c>
      <c r="AE140" t="n">
        <v>163.8</v>
      </c>
      <c r="AF140" t="n">
        <v>0</v>
      </c>
      <c r="AG140" t="n">
        <v>0</v>
      </c>
      <c r="AH140" t="n">
        <v>0.16</v>
      </c>
      <c r="AI140" t="n">
        <v>8.199999999999999</v>
      </c>
      <c r="AJ140" t="n">
        <v>-0.01</v>
      </c>
      <c r="AK140" t="n">
        <v>14.53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48.81</v>
      </c>
      <c r="AV140" t="n">
        <v>0</v>
      </c>
      <c r="AW140" t="n">
        <v>123.18</v>
      </c>
      <c r="AX140" t="inlineStr">
        <is>
          <t>settled</t>
        </is>
      </c>
      <c r="AY140" t="inlineStr">
        <is>
          <t>2026-01-07 05:30:00</t>
        </is>
      </c>
      <c r="AZ140" t="inlineStr">
        <is>
          <t>CITIN26602720826</t>
        </is>
      </c>
      <c r="BA140" t="n">
        <v>0</v>
      </c>
      <c r="BB140" t="inlineStr">
        <is>
          <t>cced21294a761e8e520d3f723af908adf3bedcfdce1f6051f03037bf5aa364a8</t>
        </is>
      </c>
    </row>
    <row r="141">
      <c r="A141" t="inlineStr">
        <is>
          <t>251</t>
        </is>
      </c>
      <c r="B141" t="inlineStr">
        <is>
          <t>7649317784</t>
        </is>
      </c>
      <c r="C141" t="inlineStr">
        <is>
          <t>2026-01-04 00:17:29</t>
        </is>
      </c>
      <c r="D141" t="inlineStr">
        <is>
          <t>1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30% off upto ₹75 (2025-06-25 - 2031-01-01)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458</v>
      </c>
      <c r="P141" t="n">
        <v>3.5</v>
      </c>
      <c r="Q141" t="n">
        <v>0</v>
      </c>
      <c r="R141" t="n">
        <v>75</v>
      </c>
      <c r="S141" t="n">
        <v>0</v>
      </c>
      <c r="T141" t="n">
        <v>0</v>
      </c>
      <c r="U141" t="n">
        <v>0</v>
      </c>
      <c r="V141" t="n">
        <v>19.33</v>
      </c>
      <c r="W141" t="n">
        <v>405.83</v>
      </c>
      <c r="X141" t="n">
        <v>386.5</v>
      </c>
      <c r="Y141" t="n">
        <v>19</v>
      </c>
      <c r="Z141" t="n">
        <v>73.44</v>
      </c>
      <c r="AA141" t="n">
        <v>7.47</v>
      </c>
      <c r="AB141" t="n">
        <v>80.91</v>
      </c>
      <c r="AC141" t="n">
        <v>14.56</v>
      </c>
      <c r="AD141" t="n">
        <v>0</v>
      </c>
      <c r="AE141" t="n">
        <v>386.5</v>
      </c>
      <c r="AF141" t="n">
        <v>0</v>
      </c>
      <c r="AG141" t="n">
        <v>0</v>
      </c>
      <c r="AH141" t="n">
        <v>0.39</v>
      </c>
      <c r="AI141" t="n">
        <v>19.33</v>
      </c>
      <c r="AJ141" t="n">
        <v>0</v>
      </c>
      <c r="AK141" t="n">
        <v>34.28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115.19</v>
      </c>
      <c r="AV141" t="n">
        <v>0</v>
      </c>
      <c r="AW141" t="n">
        <v>290.64</v>
      </c>
      <c r="AX141" t="inlineStr">
        <is>
          <t>settled</t>
        </is>
      </c>
      <c r="AY141" t="inlineStr">
        <is>
          <t>2026-01-07 05:30:00</t>
        </is>
      </c>
      <c r="AZ141" t="inlineStr">
        <is>
          <t>CITIN26602720826</t>
        </is>
      </c>
      <c r="BA141" t="n">
        <v>0</v>
      </c>
      <c r="BB141" t="inlineStr">
        <is>
          <t>e6289f2a778a26eddcd290268bd30c889065df9b742578826d68507e74a6e586</t>
        </is>
      </c>
    </row>
    <row r="142">
      <c r="A142" t="inlineStr">
        <is>
          <t>252</t>
        </is>
      </c>
      <c r="B142" t="inlineStr">
        <is>
          <t>7651596549</t>
        </is>
      </c>
      <c r="C142" t="inlineStr">
        <is>
          <t>2026-01-04 00:27:35</t>
        </is>
      </c>
      <c r="D142" t="inlineStr">
        <is>
          <t>1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30% off upto ₹75 (2025-06-25 - 2031-01-01)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229</v>
      </c>
      <c r="P142" t="n">
        <v>3.5</v>
      </c>
      <c r="Q142" t="n">
        <v>0</v>
      </c>
      <c r="R142" t="n">
        <v>68.7</v>
      </c>
      <c r="S142" t="n">
        <v>0</v>
      </c>
      <c r="T142" t="n">
        <v>0</v>
      </c>
      <c r="U142" t="n">
        <v>0</v>
      </c>
      <c r="V142" t="n">
        <v>8.19</v>
      </c>
      <c r="W142" t="n">
        <v>171.99</v>
      </c>
      <c r="X142" t="n">
        <v>163.8</v>
      </c>
      <c r="Y142" t="n">
        <v>19</v>
      </c>
      <c r="Z142" t="n">
        <v>31.12</v>
      </c>
      <c r="AA142" t="n">
        <v>3.16</v>
      </c>
      <c r="AB142" t="n">
        <v>34.28</v>
      </c>
      <c r="AC142" t="n">
        <v>6.17</v>
      </c>
      <c r="AD142" t="n">
        <v>0</v>
      </c>
      <c r="AE142" t="n">
        <v>163.8</v>
      </c>
      <c r="AF142" t="n">
        <v>0</v>
      </c>
      <c r="AG142" t="n">
        <v>0</v>
      </c>
      <c r="AH142" t="n">
        <v>0.16</v>
      </c>
      <c r="AI142" t="n">
        <v>8.199999999999999</v>
      </c>
      <c r="AJ142" t="n">
        <v>-0.01</v>
      </c>
      <c r="AK142" t="n">
        <v>14.53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48.81</v>
      </c>
      <c r="AV142" t="n">
        <v>0</v>
      </c>
      <c r="AW142" t="n">
        <v>123.18</v>
      </c>
      <c r="AX142" t="inlineStr">
        <is>
          <t>settled</t>
        </is>
      </c>
      <c r="AY142" t="inlineStr">
        <is>
          <t>2026-01-07 05:30:00</t>
        </is>
      </c>
      <c r="AZ142" t="inlineStr">
        <is>
          <t>CITIN26602720826</t>
        </is>
      </c>
      <c r="BA142" t="n">
        <v>0</v>
      </c>
      <c r="BB142" t="inlineStr">
        <is>
          <t>f455431f0303c987bdbbcdcba1c87176f7572a68ba318616b2b3784a15e56eef</t>
        </is>
      </c>
    </row>
    <row r="143">
      <c r="A143" t="inlineStr">
        <is>
          <t>253</t>
        </is>
      </c>
      <c r="B143" t="inlineStr">
        <is>
          <t>7646612463</t>
        </is>
      </c>
      <c r="C143" t="inlineStr">
        <is>
          <t>2026-01-04 00:49:12</t>
        </is>
      </c>
      <c r="D143" t="inlineStr">
        <is>
          <t>1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30% off upto ₹75 (2025-06-25 - 2031-01-01)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355</v>
      </c>
      <c r="P143" t="n">
        <v>3.5</v>
      </c>
      <c r="Q143" t="n">
        <v>0</v>
      </c>
      <c r="R143" t="n">
        <v>75</v>
      </c>
      <c r="S143" t="n">
        <v>0</v>
      </c>
      <c r="T143" t="n">
        <v>0</v>
      </c>
      <c r="U143" t="n">
        <v>0</v>
      </c>
      <c r="V143" t="n">
        <v>14.18</v>
      </c>
      <c r="W143" t="n">
        <v>297.68</v>
      </c>
      <c r="X143" t="n">
        <v>283.5</v>
      </c>
      <c r="Y143" t="n">
        <v>19</v>
      </c>
      <c r="Z143" t="n">
        <v>53.86</v>
      </c>
      <c r="AA143" t="n">
        <v>5.48</v>
      </c>
      <c r="AB143" t="n">
        <v>59.34</v>
      </c>
      <c r="AC143" t="n">
        <v>10.68</v>
      </c>
      <c r="AD143" t="n">
        <v>0</v>
      </c>
      <c r="AE143" t="n">
        <v>283.5</v>
      </c>
      <c r="AF143" t="n">
        <v>0</v>
      </c>
      <c r="AG143" t="n">
        <v>0</v>
      </c>
      <c r="AH143" t="n">
        <v>0.28</v>
      </c>
      <c r="AI143" t="n">
        <v>14.18</v>
      </c>
      <c r="AJ143" t="n">
        <v>0</v>
      </c>
      <c r="AK143" t="n">
        <v>25.14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84.48</v>
      </c>
      <c r="AV143" t="n">
        <v>0</v>
      </c>
      <c r="AW143" t="n">
        <v>213.2</v>
      </c>
      <c r="AX143" t="inlineStr">
        <is>
          <t>settled</t>
        </is>
      </c>
      <c r="AY143" t="inlineStr">
        <is>
          <t>2026-01-07 05:30:00</t>
        </is>
      </c>
      <c r="AZ143" t="inlineStr">
        <is>
          <t>CITIN26602720826</t>
        </is>
      </c>
      <c r="BA143" t="n">
        <v>0</v>
      </c>
      <c r="BB143" t="inlineStr">
        <is>
          <t>e130123b39d656af3637f40f447dd42538c7efed46d35b6be906f333b57aca6f</t>
        </is>
      </c>
    </row>
    <row r="144">
      <c r="A144" t="inlineStr">
        <is>
          <t>254</t>
        </is>
      </c>
      <c r="B144" t="inlineStr">
        <is>
          <t>7654337393</t>
        </is>
      </c>
      <c r="C144" t="inlineStr">
        <is>
          <t>2026-01-04 00:51:44</t>
        </is>
      </c>
      <c r="D144" t="inlineStr">
        <is>
          <t>1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199</v>
      </c>
      <c r="P144" t="n">
        <v>3.5</v>
      </c>
      <c r="Q144" t="n">
        <v>0</v>
      </c>
      <c r="R144" t="n">
        <v>59.7</v>
      </c>
      <c r="S144" t="n">
        <v>0</v>
      </c>
      <c r="T144" t="n">
        <v>0</v>
      </c>
      <c r="U144" t="n">
        <v>0</v>
      </c>
      <c r="V144" t="n">
        <v>7.14</v>
      </c>
      <c r="W144" t="n">
        <v>149.94</v>
      </c>
      <c r="X144" t="n">
        <v>142.8</v>
      </c>
      <c r="Y144" t="n">
        <v>19</v>
      </c>
      <c r="Z144" t="n">
        <v>27.13</v>
      </c>
      <c r="AA144" t="n">
        <v>2.76</v>
      </c>
      <c r="AB144" t="n">
        <v>29.89</v>
      </c>
      <c r="AC144" t="n">
        <v>5.38</v>
      </c>
      <c r="AD144" t="n">
        <v>0</v>
      </c>
      <c r="AE144" t="n">
        <v>142.8</v>
      </c>
      <c r="AF144" t="n">
        <v>0</v>
      </c>
      <c r="AG144" t="n">
        <v>0</v>
      </c>
      <c r="AH144" t="n">
        <v>0.14</v>
      </c>
      <c r="AI144" t="n">
        <v>7.15</v>
      </c>
      <c r="AJ144" t="n">
        <v>-0.01</v>
      </c>
      <c r="AK144" t="n">
        <v>12.67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42.56</v>
      </c>
      <c r="AV144" t="n">
        <v>0</v>
      </c>
      <c r="AW144" t="n">
        <v>107.38</v>
      </c>
      <c r="AX144" t="inlineStr">
        <is>
          <t>settled</t>
        </is>
      </c>
      <c r="AY144" t="inlineStr">
        <is>
          <t>2026-01-07 05:30:00</t>
        </is>
      </c>
      <c r="AZ144" t="inlineStr">
        <is>
          <t>CITIN26602720826</t>
        </is>
      </c>
      <c r="BA144" t="n">
        <v>0</v>
      </c>
      <c r="BB144" t="inlineStr">
        <is>
          <t>1651277ef225c0606660bf503cf788cac3a7d289e500d6b353382182a0a3a8ea</t>
        </is>
      </c>
    </row>
    <row r="145">
      <c r="A145" t="inlineStr">
        <is>
          <t>255</t>
        </is>
      </c>
      <c r="B145" t="inlineStr">
        <is>
          <t>7645824544</t>
        </is>
      </c>
      <c r="C145" t="inlineStr">
        <is>
          <t>2026-01-04 01:11:30</t>
        </is>
      </c>
      <c r="D145" t="inlineStr">
        <is>
          <t>1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30% off upto ₹75 (2025-06-25 - 2031-01-01)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68.7</v>
      </c>
      <c r="S145" t="n">
        <v>0</v>
      </c>
      <c r="T145" t="n">
        <v>0</v>
      </c>
      <c r="U145" t="n">
        <v>0</v>
      </c>
      <c r="V145" t="n">
        <v>8.19</v>
      </c>
      <c r="W145" t="n">
        <v>171.99</v>
      </c>
      <c r="X145" t="n">
        <v>163.8</v>
      </c>
      <c r="Y145" t="n">
        <v>19</v>
      </c>
      <c r="Z145" t="n">
        <v>31.12</v>
      </c>
      <c r="AA145" t="n">
        <v>3.16</v>
      </c>
      <c r="AB145" t="n">
        <v>34.28</v>
      </c>
      <c r="AC145" t="n">
        <v>6.17</v>
      </c>
      <c r="AD145" t="n">
        <v>0</v>
      </c>
      <c r="AE145" t="n">
        <v>163.8</v>
      </c>
      <c r="AF145" t="n">
        <v>0</v>
      </c>
      <c r="AG145" t="n">
        <v>0</v>
      </c>
      <c r="AH145" t="n">
        <v>0.16</v>
      </c>
      <c r="AI145" t="n">
        <v>8.199999999999999</v>
      </c>
      <c r="AJ145" t="n">
        <v>-0.01</v>
      </c>
      <c r="AK145" t="n">
        <v>14.53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48.81</v>
      </c>
      <c r="AV145" t="n">
        <v>0</v>
      </c>
      <c r="AW145" t="n">
        <v>123.18</v>
      </c>
      <c r="AX145" t="inlineStr">
        <is>
          <t>settled</t>
        </is>
      </c>
      <c r="AY145" t="inlineStr">
        <is>
          <t>2026-01-07 05:30:00</t>
        </is>
      </c>
      <c r="AZ145" t="inlineStr">
        <is>
          <t>CITIN26602720826</t>
        </is>
      </c>
      <c r="BA145" t="n">
        <v>0</v>
      </c>
      <c r="BB145" t="inlineStr">
        <is>
          <t>382ce2578f7a04ac83efc378b7b961d48d7c3448ccca45af24549575b64602b7</t>
        </is>
      </c>
    </row>
    <row r="146">
      <c r="A146" t="inlineStr">
        <is>
          <t>256</t>
        </is>
      </c>
      <c r="B146" t="inlineStr">
        <is>
          <t>7653308185</t>
        </is>
      </c>
      <c r="C146" t="inlineStr">
        <is>
          <t>2026-01-04 01:11:31</t>
        </is>
      </c>
      <c r="D146" t="inlineStr">
        <is>
          <t>1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30% off upto ₹75 (2025-06-25 - 2031-01-01)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68.7</v>
      </c>
      <c r="S146" t="n">
        <v>0</v>
      </c>
      <c r="T146" t="n">
        <v>0</v>
      </c>
      <c r="U146" t="n">
        <v>0</v>
      </c>
      <c r="V146" t="n">
        <v>8.19</v>
      </c>
      <c r="W146" t="n">
        <v>171.99</v>
      </c>
      <c r="X146" t="n">
        <v>163.8</v>
      </c>
      <c r="Y146" t="n">
        <v>19</v>
      </c>
      <c r="Z146" t="n">
        <v>31.12</v>
      </c>
      <c r="AA146" t="n">
        <v>3.16</v>
      </c>
      <c r="AB146" t="n">
        <v>34.28</v>
      </c>
      <c r="AC146" t="n">
        <v>6.17</v>
      </c>
      <c r="AD146" t="n">
        <v>0</v>
      </c>
      <c r="AE146" t="n">
        <v>163.8</v>
      </c>
      <c r="AF146" t="n">
        <v>0</v>
      </c>
      <c r="AG146" t="n">
        <v>0</v>
      </c>
      <c r="AH146" t="n">
        <v>0.16</v>
      </c>
      <c r="AI146" t="n">
        <v>8.199999999999999</v>
      </c>
      <c r="AJ146" t="n">
        <v>-0.01</v>
      </c>
      <c r="AK146" t="n">
        <v>14.53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48.81</v>
      </c>
      <c r="AV146" t="n">
        <v>0</v>
      </c>
      <c r="AW146" t="n">
        <v>123.18</v>
      </c>
      <c r="AX146" t="inlineStr">
        <is>
          <t>settled</t>
        </is>
      </c>
      <c r="AY146" t="inlineStr">
        <is>
          <t>2026-01-07 05:30:00</t>
        </is>
      </c>
      <c r="AZ146" t="inlineStr">
        <is>
          <t>CITIN26602720826</t>
        </is>
      </c>
      <c r="BA146" t="n">
        <v>0</v>
      </c>
      <c r="BB146" t="inlineStr">
        <is>
          <t>0e22cead4d556ab6ec9fddd1c77688d15363f60c82337bf21a490d1e768aa5e7</t>
        </is>
      </c>
    </row>
    <row r="147">
      <c r="A147" t="inlineStr">
        <is>
          <t>257</t>
        </is>
      </c>
      <c r="B147" t="inlineStr">
        <is>
          <t>7655072804</t>
        </is>
      </c>
      <c r="C147" t="inlineStr">
        <is>
          <t>2026-01-04 01:17:02</t>
        </is>
      </c>
      <c r="D147" t="inlineStr">
        <is>
          <t>1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30% off upto ₹75 (2025-06-25 - 2031-01-01)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229</v>
      </c>
      <c r="P147" t="n">
        <v>3.5</v>
      </c>
      <c r="Q147" t="n">
        <v>0</v>
      </c>
      <c r="R147" t="n">
        <v>68.7</v>
      </c>
      <c r="S147" t="n">
        <v>0</v>
      </c>
      <c r="T147" t="n">
        <v>0</v>
      </c>
      <c r="U147" t="n">
        <v>0</v>
      </c>
      <c r="V147" t="n">
        <v>8.19</v>
      </c>
      <c r="W147" t="n">
        <v>171.99</v>
      </c>
      <c r="X147" t="n">
        <v>163.8</v>
      </c>
      <c r="Y147" t="n">
        <v>19</v>
      </c>
      <c r="Z147" t="n">
        <v>31.12</v>
      </c>
      <c r="AA147" t="n">
        <v>3.16</v>
      </c>
      <c r="AB147" t="n">
        <v>34.28</v>
      </c>
      <c r="AC147" t="n">
        <v>6.17</v>
      </c>
      <c r="AD147" t="n">
        <v>0</v>
      </c>
      <c r="AE147" t="n">
        <v>163.8</v>
      </c>
      <c r="AF147" t="n">
        <v>0</v>
      </c>
      <c r="AG147" t="n">
        <v>0</v>
      </c>
      <c r="AH147" t="n">
        <v>0.16</v>
      </c>
      <c r="AI147" t="n">
        <v>8.199999999999999</v>
      </c>
      <c r="AJ147" t="n">
        <v>-0.01</v>
      </c>
      <c r="AK147" t="n">
        <v>14.53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48.81</v>
      </c>
      <c r="AV147" t="n">
        <v>0</v>
      </c>
      <c r="AW147" t="n">
        <v>123.18</v>
      </c>
      <c r="AX147" t="inlineStr">
        <is>
          <t>settled</t>
        </is>
      </c>
      <c r="AY147" t="inlineStr">
        <is>
          <t>2026-01-07 05:30:00</t>
        </is>
      </c>
      <c r="AZ147" t="inlineStr">
        <is>
          <t>CITIN26602720826</t>
        </is>
      </c>
      <c r="BA147" t="n">
        <v>0</v>
      </c>
      <c r="BB147" t="inlineStr">
        <is>
          <t>6748707871c1e409976ed823d60128c465a22b4e2e47dddfc1c6f25601a079e2</t>
        </is>
      </c>
    </row>
    <row r="148">
      <c r="A148" t="inlineStr">
        <is>
          <t>258</t>
        </is>
      </c>
      <c r="B148" t="inlineStr">
        <is>
          <t>7650844564</t>
        </is>
      </c>
      <c r="C148" t="inlineStr">
        <is>
          <t>2026-01-04 01:21:25</t>
        </is>
      </c>
      <c r="D148" t="inlineStr">
        <is>
          <t>1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settled</t>
        </is>
      </c>
      <c r="AY148" t="inlineStr">
        <is>
          <t>2026-01-07 05:30:00</t>
        </is>
      </c>
      <c r="AZ148" t="inlineStr">
        <is>
          <t>CITIN26602720826</t>
        </is>
      </c>
      <c r="BA148" t="n">
        <v>0</v>
      </c>
      <c r="BB148" t="inlineStr">
        <is>
          <t>2bb0d410ce2e2dccee778f409402ec867df7887e581d9bbf720913a6e41c3867</t>
        </is>
      </c>
    </row>
    <row r="149">
      <c r="A149" t="inlineStr">
        <is>
          <t>259</t>
        </is>
      </c>
      <c r="B149" t="inlineStr">
        <is>
          <t>7655027135</t>
        </is>
      </c>
      <c r="C149" t="inlineStr">
        <is>
          <t>2026-01-04 01:22:33</t>
        </is>
      </c>
      <c r="D149" t="inlineStr">
        <is>
          <t>1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268</v>
      </c>
      <c r="P149" t="n">
        <v>3.5</v>
      </c>
      <c r="Q149" t="n">
        <v>0</v>
      </c>
      <c r="R149" t="n">
        <v>75</v>
      </c>
      <c r="S149" t="n">
        <v>0</v>
      </c>
      <c r="T149" t="n">
        <v>0</v>
      </c>
      <c r="U149" t="n">
        <v>0</v>
      </c>
      <c r="V149" t="n">
        <v>9.83</v>
      </c>
      <c r="W149" t="n">
        <v>206.33</v>
      </c>
      <c r="X149" t="n">
        <v>196.5</v>
      </c>
      <c r="Y149" t="n">
        <v>19</v>
      </c>
      <c r="Z149" t="n">
        <v>37.34</v>
      </c>
      <c r="AA149" t="n">
        <v>3.8</v>
      </c>
      <c r="AB149" t="n">
        <v>41.14</v>
      </c>
      <c r="AC149" t="n">
        <v>7.4</v>
      </c>
      <c r="AD149" t="n">
        <v>0</v>
      </c>
      <c r="AE149" t="n">
        <v>196.5</v>
      </c>
      <c r="AF149" t="n">
        <v>0</v>
      </c>
      <c r="AG149" t="n">
        <v>0</v>
      </c>
      <c r="AH149" t="n">
        <v>0.2</v>
      </c>
      <c r="AI149" t="n">
        <v>9.83</v>
      </c>
      <c r="AJ149" t="n">
        <v>0</v>
      </c>
      <c r="AK149" t="n">
        <v>17.43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58.57</v>
      </c>
      <c r="AV149" t="n">
        <v>0</v>
      </c>
      <c r="AW149" t="n">
        <v>147.76</v>
      </c>
      <c r="AX149" t="inlineStr">
        <is>
          <t>settled</t>
        </is>
      </c>
      <c r="AY149" t="inlineStr">
        <is>
          <t>2026-01-07 05:30:00</t>
        </is>
      </c>
      <c r="AZ149" t="inlineStr">
        <is>
          <t>CITIN26602720826</t>
        </is>
      </c>
      <c r="BA149" t="n">
        <v>0</v>
      </c>
      <c r="BB149" t="inlineStr">
        <is>
          <t>53bf10e447baeab79cf79005affd1af588068d2f30f26c23a5d20bea44875f84</t>
        </is>
      </c>
    </row>
    <row r="150">
      <c r="A150" t="inlineStr">
        <is>
          <t>260</t>
        </is>
      </c>
      <c r="B150" t="inlineStr">
        <is>
          <t>7648390699</t>
        </is>
      </c>
      <c r="C150" t="inlineStr">
        <is>
          <t>2026-01-04 01:50:31</t>
        </is>
      </c>
      <c r="D150" t="inlineStr">
        <is>
          <t>1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30% off upto ₹75 (2025-06-25 - 2031-01-01)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229</v>
      </c>
      <c r="P150" t="n">
        <v>3.5</v>
      </c>
      <c r="Q150" t="n">
        <v>0</v>
      </c>
      <c r="R150" t="n">
        <v>68.7</v>
      </c>
      <c r="S150" t="n">
        <v>0</v>
      </c>
      <c r="T150" t="n">
        <v>0</v>
      </c>
      <c r="U150" t="n">
        <v>0</v>
      </c>
      <c r="V150" t="n">
        <v>8.19</v>
      </c>
      <c r="W150" t="n">
        <v>171.99</v>
      </c>
      <c r="X150" t="n">
        <v>163.8</v>
      </c>
      <c r="Y150" t="n">
        <v>19</v>
      </c>
      <c r="Z150" t="n">
        <v>31.12</v>
      </c>
      <c r="AA150" t="n">
        <v>3.16</v>
      </c>
      <c r="AB150" t="n">
        <v>34.28</v>
      </c>
      <c r="AC150" t="n">
        <v>6.17</v>
      </c>
      <c r="AD150" t="n">
        <v>0</v>
      </c>
      <c r="AE150" t="n">
        <v>163.8</v>
      </c>
      <c r="AF150" t="n">
        <v>0</v>
      </c>
      <c r="AG150" t="n">
        <v>0</v>
      </c>
      <c r="AH150" t="n">
        <v>0.16</v>
      </c>
      <c r="AI150" t="n">
        <v>8.199999999999999</v>
      </c>
      <c r="AJ150" t="n">
        <v>-0.01</v>
      </c>
      <c r="AK150" t="n">
        <v>14.53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48.81</v>
      </c>
      <c r="AV150" t="n">
        <v>0</v>
      </c>
      <c r="AW150" t="n">
        <v>123.18</v>
      </c>
      <c r="AX150" t="inlineStr">
        <is>
          <t>settled</t>
        </is>
      </c>
      <c r="AY150" t="inlineStr">
        <is>
          <t>2026-01-07 05:30:00</t>
        </is>
      </c>
      <c r="AZ150" t="inlineStr">
        <is>
          <t>CITIN26602720826</t>
        </is>
      </c>
      <c r="BA150" t="n">
        <v>0</v>
      </c>
      <c r="BB150" t="inlineStr">
        <is>
          <t>f0392b4bd85306f826332c645183594dec136787242859e653632093694c06e4</t>
        </is>
      </c>
    </row>
    <row r="151">
      <c r="A151" t="inlineStr">
        <is>
          <t>261</t>
        </is>
      </c>
      <c r="B151" t="inlineStr">
        <is>
          <t>7652443678</t>
        </is>
      </c>
      <c r="C151" t="inlineStr">
        <is>
          <t>2026-01-04 01:58:50</t>
        </is>
      </c>
      <c r="D151" t="inlineStr">
        <is>
          <t>1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30% off upto ₹75 (2025-06-25 - 2031-01-01)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68.7</v>
      </c>
      <c r="S151" t="n">
        <v>0</v>
      </c>
      <c r="T151" t="n">
        <v>0</v>
      </c>
      <c r="U151" t="n">
        <v>0</v>
      </c>
      <c r="V151" t="n">
        <v>8.19</v>
      </c>
      <c r="W151" t="n">
        <v>171.99</v>
      </c>
      <c r="X151" t="n">
        <v>163.8</v>
      </c>
      <c r="Y151" t="n">
        <v>19</v>
      </c>
      <c r="Z151" t="n">
        <v>31.12</v>
      </c>
      <c r="AA151" t="n">
        <v>3.16</v>
      </c>
      <c r="AB151" t="n">
        <v>34.28</v>
      </c>
      <c r="AC151" t="n">
        <v>6.17</v>
      </c>
      <c r="AD151" t="n">
        <v>0</v>
      </c>
      <c r="AE151" t="n">
        <v>163.8</v>
      </c>
      <c r="AF151" t="n">
        <v>0</v>
      </c>
      <c r="AG151" t="n">
        <v>0</v>
      </c>
      <c r="AH151" t="n">
        <v>0.16</v>
      </c>
      <c r="AI151" t="n">
        <v>8.199999999999999</v>
      </c>
      <c r="AJ151" t="n">
        <v>-0.01</v>
      </c>
      <c r="AK151" t="n">
        <v>14.53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48.81</v>
      </c>
      <c r="AV151" t="n">
        <v>0</v>
      </c>
      <c r="AW151" t="n">
        <v>123.18</v>
      </c>
      <c r="AX151" t="inlineStr">
        <is>
          <t>settled</t>
        </is>
      </c>
      <c r="AY151" t="inlineStr">
        <is>
          <t>2026-01-07 05:30:00</t>
        </is>
      </c>
      <c r="AZ151" t="inlineStr">
        <is>
          <t>CITIN26602720826</t>
        </is>
      </c>
      <c r="BA151" t="n">
        <v>0</v>
      </c>
      <c r="BB151" t="inlineStr">
        <is>
          <t>4b25d973a38d43ca2d977b03e35881005b625c44344f791b24c97a964cac206d</t>
        </is>
      </c>
    </row>
    <row r="152">
      <c r="A152" t="inlineStr">
        <is>
          <t>262</t>
        </is>
      </c>
      <c r="B152" t="inlineStr">
        <is>
          <t>7649562484</t>
        </is>
      </c>
      <c r="C152" t="inlineStr">
        <is>
          <t>2026-01-04 02:12:25</t>
        </is>
      </c>
      <c r="D152" t="inlineStr">
        <is>
          <t>1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229</v>
      </c>
      <c r="P152" t="n">
        <v>3.5</v>
      </c>
      <c r="Q152" t="n">
        <v>0</v>
      </c>
      <c r="R152" t="n">
        <v>68.7</v>
      </c>
      <c r="S152" t="n">
        <v>0</v>
      </c>
      <c r="T152" t="n">
        <v>0</v>
      </c>
      <c r="U152" t="n">
        <v>0</v>
      </c>
      <c r="V152" t="n">
        <v>8.19</v>
      </c>
      <c r="W152" t="n">
        <v>171.99</v>
      </c>
      <c r="X152" t="n">
        <v>163.8</v>
      </c>
      <c r="Y152" t="n">
        <v>19</v>
      </c>
      <c r="Z152" t="n">
        <v>31.12</v>
      </c>
      <c r="AA152" t="n">
        <v>3.16</v>
      </c>
      <c r="AB152" t="n">
        <v>34.28</v>
      </c>
      <c r="AC152" t="n">
        <v>6.17</v>
      </c>
      <c r="AD152" t="n">
        <v>0</v>
      </c>
      <c r="AE152" t="n">
        <v>163.8</v>
      </c>
      <c r="AF152" t="n">
        <v>0</v>
      </c>
      <c r="AG152" t="n">
        <v>0</v>
      </c>
      <c r="AH152" t="n">
        <v>0.16</v>
      </c>
      <c r="AI152" t="n">
        <v>8.199999999999999</v>
      </c>
      <c r="AJ152" t="n">
        <v>-0.01</v>
      </c>
      <c r="AK152" t="n">
        <v>14.53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48.81</v>
      </c>
      <c r="AV152" t="n">
        <v>0</v>
      </c>
      <c r="AW152" t="n">
        <v>123.18</v>
      </c>
      <c r="AX152" t="inlineStr">
        <is>
          <t>settled</t>
        </is>
      </c>
      <c r="AY152" t="inlineStr">
        <is>
          <t>2026-01-07 05:30:00</t>
        </is>
      </c>
      <c r="AZ152" t="inlineStr">
        <is>
          <t>CITIN26602720826</t>
        </is>
      </c>
      <c r="BA152" t="n">
        <v>0</v>
      </c>
      <c r="BB152" t="inlineStr">
        <is>
          <t>2695a230f1b3191aa8a16ebed01229619270b516c4ec6050bceddd2654c86347</t>
        </is>
      </c>
    </row>
    <row r="153">
      <c r="A153" t="inlineStr">
        <is>
          <t>263</t>
        </is>
      </c>
      <c r="B153" t="inlineStr">
        <is>
          <t>7634451838</t>
        </is>
      </c>
      <c r="C153" t="inlineStr">
        <is>
          <t>2026-01-04 02:29:46</t>
        </is>
      </c>
      <c r="D153" t="inlineStr">
        <is>
          <t>1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30% off upto ₹75 (2025-06-25 - 2031-01-01)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229</v>
      </c>
      <c r="P153" t="n">
        <v>3.5</v>
      </c>
      <c r="Q153" t="n">
        <v>0</v>
      </c>
      <c r="R153" t="n">
        <v>68.7</v>
      </c>
      <c r="S153" t="n">
        <v>0</v>
      </c>
      <c r="T153" t="n">
        <v>0</v>
      </c>
      <c r="U153" t="n">
        <v>0</v>
      </c>
      <c r="V153" t="n">
        <v>8.19</v>
      </c>
      <c r="W153" t="n">
        <v>171.99</v>
      </c>
      <c r="X153" t="n">
        <v>163.8</v>
      </c>
      <c r="Y153" t="n">
        <v>19</v>
      </c>
      <c r="Z153" t="n">
        <v>31.12</v>
      </c>
      <c r="AA153" t="n">
        <v>3.16</v>
      </c>
      <c r="AB153" t="n">
        <v>34.28</v>
      </c>
      <c r="AC153" t="n">
        <v>6.17</v>
      </c>
      <c r="AD153" t="n">
        <v>0</v>
      </c>
      <c r="AE153" t="n">
        <v>163.8</v>
      </c>
      <c r="AF153" t="n">
        <v>0</v>
      </c>
      <c r="AG153" t="n">
        <v>0</v>
      </c>
      <c r="AH153" t="n">
        <v>0.16</v>
      </c>
      <c r="AI153" t="n">
        <v>8.199999999999999</v>
      </c>
      <c r="AJ153" t="n">
        <v>-0.01</v>
      </c>
      <c r="AK153" t="n">
        <v>14.53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48.81</v>
      </c>
      <c r="AV153" t="n">
        <v>0</v>
      </c>
      <c r="AW153" t="n">
        <v>123.18</v>
      </c>
      <c r="AX153" t="inlineStr">
        <is>
          <t>settled</t>
        </is>
      </c>
      <c r="AY153" t="inlineStr">
        <is>
          <t>2026-01-07 05:30:00</t>
        </is>
      </c>
      <c r="AZ153" t="inlineStr">
        <is>
          <t>CITIN26602720826</t>
        </is>
      </c>
      <c r="BA153" t="n">
        <v>0</v>
      </c>
      <c r="BB153" t="inlineStr">
        <is>
          <t>0afd49d289ae26c655396f7d107ef99b65e2d16a9d1e69ee30b63fb515919b6b</t>
        </is>
      </c>
    </row>
    <row r="154">
      <c r="A154" t="inlineStr">
        <is>
          <t>264</t>
        </is>
      </c>
      <c r="B154" t="inlineStr">
        <is>
          <t>7641681534</t>
        </is>
      </c>
      <c r="C154" t="inlineStr">
        <is>
          <t>2026-01-04 02:30:58</t>
        </is>
      </c>
      <c r="D154" t="inlineStr">
        <is>
          <t>1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30% off upto ₹75 (2025-06-25 - 2031-01-01)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229</v>
      </c>
      <c r="P154" t="n">
        <v>3.5</v>
      </c>
      <c r="Q154" t="n">
        <v>0</v>
      </c>
      <c r="R154" t="n">
        <v>68.7</v>
      </c>
      <c r="S154" t="n">
        <v>0</v>
      </c>
      <c r="T154" t="n">
        <v>0</v>
      </c>
      <c r="U154" t="n">
        <v>0</v>
      </c>
      <c r="V154" t="n">
        <v>8.19</v>
      </c>
      <c r="W154" t="n">
        <v>171.99</v>
      </c>
      <c r="X154" t="n">
        <v>163.8</v>
      </c>
      <c r="Y154" t="n">
        <v>19</v>
      </c>
      <c r="Z154" t="n">
        <v>31.12</v>
      </c>
      <c r="AA154" t="n">
        <v>3.16</v>
      </c>
      <c r="AB154" t="n">
        <v>34.28</v>
      </c>
      <c r="AC154" t="n">
        <v>6.17</v>
      </c>
      <c r="AD154" t="n">
        <v>0</v>
      </c>
      <c r="AE154" t="n">
        <v>163.8</v>
      </c>
      <c r="AF154" t="n">
        <v>0</v>
      </c>
      <c r="AG154" t="n">
        <v>0</v>
      </c>
      <c r="AH154" t="n">
        <v>0.16</v>
      </c>
      <c r="AI154" t="n">
        <v>8.199999999999999</v>
      </c>
      <c r="AJ154" t="n">
        <v>-0.01</v>
      </c>
      <c r="AK154" t="n">
        <v>14.53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48.81</v>
      </c>
      <c r="AV154" t="n">
        <v>0</v>
      </c>
      <c r="AW154" t="n">
        <v>123.18</v>
      </c>
      <c r="AX154" t="inlineStr">
        <is>
          <t>settled</t>
        </is>
      </c>
      <c r="AY154" t="inlineStr">
        <is>
          <t>2026-01-07 05:30:00</t>
        </is>
      </c>
      <c r="AZ154" t="inlineStr">
        <is>
          <t>CITIN26602720826</t>
        </is>
      </c>
      <c r="BA154" t="n">
        <v>0</v>
      </c>
      <c r="BB154" t="inlineStr">
        <is>
          <t>e1453c96331739d8480f0d675e664e2d17dec6421ec38b31e1d3f405d7f1f1a2</t>
        </is>
      </c>
    </row>
    <row r="155">
      <c r="A155" t="inlineStr">
        <is>
          <t>265</t>
        </is>
      </c>
      <c r="B155" t="inlineStr">
        <is>
          <t>7651401157</t>
        </is>
      </c>
      <c r="C155" t="inlineStr">
        <is>
          <t>2026-01-04 02:47:49</t>
        </is>
      </c>
      <c r="D155" t="inlineStr">
        <is>
          <t>1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30% off upto ₹75 (2025-06-25 - 2031-01-01)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219</v>
      </c>
      <c r="P155" t="n">
        <v>3.5</v>
      </c>
      <c r="Q155" t="n">
        <v>0</v>
      </c>
      <c r="R155" t="n">
        <v>65.7</v>
      </c>
      <c r="S155" t="n">
        <v>0</v>
      </c>
      <c r="T155" t="n">
        <v>0</v>
      </c>
      <c r="U155" t="n">
        <v>0</v>
      </c>
      <c r="V155" t="n">
        <v>7.84</v>
      </c>
      <c r="W155" t="n">
        <v>164.64</v>
      </c>
      <c r="X155" t="n">
        <v>156.8</v>
      </c>
      <c r="Y155" t="n">
        <v>19</v>
      </c>
      <c r="Z155" t="n">
        <v>29.79</v>
      </c>
      <c r="AA155" t="n">
        <v>3.03</v>
      </c>
      <c r="AB155" t="n">
        <v>32.82</v>
      </c>
      <c r="AC155" t="n">
        <v>5.91</v>
      </c>
      <c r="AD155" t="n">
        <v>0</v>
      </c>
      <c r="AE155" t="n">
        <v>156.8</v>
      </c>
      <c r="AF155" t="n">
        <v>0</v>
      </c>
      <c r="AG155" t="n">
        <v>0</v>
      </c>
      <c r="AH155" t="n">
        <v>0.16</v>
      </c>
      <c r="AI155" t="n">
        <v>7.85</v>
      </c>
      <c r="AJ155" t="n">
        <v>-0.01</v>
      </c>
      <c r="AK155" t="n">
        <v>13.92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46.74</v>
      </c>
      <c r="AV155" t="n">
        <v>0</v>
      </c>
      <c r="AW155" t="n">
        <v>117.9</v>
      </c>
      <c r="AX155" t="inlineStr">
        <is>
          <t>settled</t>
        </is>
      </c>
      <c r="AY155" t="inlineStr">
        <is>
          <t>2026-01-07 05:30:00</t>
        </is>
      </c>
      <c r="AZ155" t="inlineStr">
        <is>
          <t>CITIN26602720826</t>
        </is>
      </c>
      <c r="BA155" t="n">
        <v>0</v>
      </c>
      <c r="BB155" t="inlineStr">
        <is>
          <t>ec85584f965e46d6784849accb8a0f75bdf6e3924468c84876d0d273a622da58</t>
        </is>
      </c>
    </row>
    <row r="156">
      <c r="A156" t="inlineStr">
        <is>
          <t>266</t>
        </is>
      </c>
      <c r="B156" t="inlineStr">
        <is>
          <t>7653509290</t>
        </is>
      </c>
      <c r="C156" t="inlineStr">
        <is>
          <t>2026-01-04 02:54:17</t>
        </is>
      </c>
      <c r="D156" t="inlineStr">
        <is>
          <t>1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30% off upto ₹75 (2025-06-25 - 2031-01-01)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229</v>
      </c>
      <c r="P156" t="n">
        <v>3.5</v>
      </c>
      <c r="Q156" t="n">
        <v>0</v>
      </c>
      <c r="R156" t="n">
        <v>68.7</v>
      </c>
      <c r="S156" t="n">
        <v>0</v>
      </c>
      <c r="T156" t="n">
        <v>0</v>
      </c>
      <c r="U156" t="n">
        <v>0</v>
      </c>
      <c r="V156" t="n">
        <v>8.19</v>
      </c>
      <c r="W156" t="n">
        <v>171.99</v>
      </c>
      <c r="X156" t="n">
        <v>163.8</v>
      </c>
      <c r="Y156" t="n">
        <v>19</v>
      </c>
      <c r="Z156" t="n">
        <v>31.12</v>
      </c>
      <c r="AA156" t="n">
        <v>3.16</v>
      </c>
      <c r="AB156" t="n">
        <v>34.28</v>
      </c>
      <c r="AC156" t="n">
        <v>6.17</v>
      </c>
      <c r="AD156" t="n">
        <v>0</v>
      </c>
      <c r="AE156" t="n">
        <v>163.8</v>
      </c>
      <c r="AF156" t="n">
        <v>0</v>
      </c>
      <c r="AG156" t="n">
        <v>0</v>
      </c>
      <c r="AH156" t="n">
        <v>0.16</v>
      </c>
      <c r="AI156" t="n">
        <v>8.199999999999999</v>
      </c>
      <c r="AJ156" t="n">
        <v>-0.01</v>
      </c>
      <c r="AK156" t="n">
        <v>14.53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48.81</v>
      </c>
      <c r="AV156" t="n">
        <v>0</v>
      </c>
      <c r="AW156" t="n">
        <v>123.18</v>
      </c>
      <c r="AX156" t="inlineStr">
        <is>
          <t>settled</t>
        </is>
      </c>
      <c r="AY156" t="inlineStr">
        <is>
          <t>2026-01-07 05:30:00</t>
        </is>
      </c>
      <c r="AZ156" t="inlineStr">
        <is>
          <t>CITIN26602720826</t>
        </is>
      </c>
      <c r="BA156" t="n">
        <v>0</v>
      </c>
      <c r="BB156" t="inlineStr">
        <is>
          <t>ea27909c5c44e83a241aa31f770fe5f1f6b8b7cb25238ce2fecccd378911fa38</t>
        </is>
      </c>
    </row>
    <row r="157">
      <c r="A157" t="inlineStr">
        <is>
          <t>267</t>
        </is>
      </c>
      <c r="B157" t="inlineStr">
        <is>
          <t>7651151576</t>
        </is>
      </c>
      <c r="C157" t="inlineStr">
        <is>
          <t>2026-01-04 02:59:39</t>
        </is>
      </c>
      <c r="D157" t="inlineStr">
        <is>
          <t>1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30% off upto ₹75 (2025-06-25 - 2031-01-01)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229</v>
      </c>
      <c r="P157" t="n">
        <v>3.5</v>
      </c>
      <c r="Q157" t="n">
        <v>0</v>
      </c>
      <c r="R157" t="n">
        <v>68.7</v>
      </c>
      <c r="S157" t="n">
        <v>0</v>
      </c>
      <c r="T157" t="n">
        <v>0</v>
      </c>
      <c r="U157" t="n">
        <v>0</v>
      </c>
      <c r="V157" t="n">
        <v>8.19</v>
      </c>
      <c r="W157" t="n">
        <v>171.99</v>
      </c>
      <c r="X157" t="n">
        <v>163.8</v>
      </c>
      <c r="Y157" t="n">
        <v>19</v>
      </c>
      <c r="Z157" t="n">
        <v>31.12</v>
      </c>
      <c r="AA157" t="n">
        <v>3.16</v>
      </c>
      <c r="AB157" t="n">
        <v>34.28</v>
      </c>
      <c r="AC157" t="n">
        <v>6.17</v>
      </c>
      <c r="AD157" t="n">
        <v>0</v>
      </c>
      <c r="AE157" t="n">
        <v>163.8</v>
      </c>
      <c r="AF157" t="n">
        <v>0</v>
      </c>
      <c r="AG157" t="n">
        <v>0</v>
      </c>
      <c r="AH157" t="n">
        <v>0.16</v>
      </c>
      <c r="AI157" t="n">
        <v>8.199999999999999</v>
      </c>
      <c r="AJ157" t="n">
        <v>-0.01</v>
      </c>
      <c r="AK157" t="n">
        <v>14.53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48.81</v>
      </c>
      <c r="AV157" t="n">
        <v>0</v>
      </c>
      <c r="AW157" t="n">
        <v>123.18</v>
      </c>
      <c r="AX157" t="inlineStr">
        <is>
          <t>settled</t>
        </is>
      </c>
      <c r="AY157" t="inlineStr">
        <is>
          <t>2026-01-07 05:30:00</t>
        </is>
      </c>
      <c r="AZ157" t="inlineStr">
        <is>
          <t>CITIN26602720826</t>
        </is>
      </c>
      <c r="BA157" t="n">
        <v>0</v>
      </c>
      <c r="BB157" t="inlineStr">
        <is>
          <t>830049b6b749b23c1810c6398533fd2493e1221f7580f43f36b84d158897fdce</t>
        </is>
      </c>
    </row>
    <row r="158">
      <c r="A158" t="inlineStr">
        <is>
          <t>268</t>
        </is>
      </c>
      <c r="B158" t="inlineStr">
        <is>
          <t>7652829347</t>
        </is>
      </c>
      <c r="C158" t="inlineStr">
        <is>
          <t>2026-01-04 03:02:16</t>
        </is>
      </c>
      <c r="D158" t="inlineStr">
        <is>
          <t>1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428</v>
      </c>
      <c r="P158" t="n">
        <v>3.5</v>
      </c>
      <c r="Q158" t="n">
        <v>0</v>
      </c>
      <c r="R158" t="n">
        <v>75</v>
      </c>
      <c r="S158" t="n">
        <v>0</v>
      </c>
      <c r="T158" t="n">
        <v>0</v>
      </c>
      <c r="U158" t="n">
        <v>0</v>
      </c>
      <c r="V158" t="n">
        <v>17.83</v>
      </c>
      <c r="W158" t="n">
        <v>374.33</v>
      </c>
      <c r="X158" t="n">
        <v>356.5</v>
      </c>
      <c r="Y158" t="n">
        <v>19</v>
      </c>
      <c r="Z158" t="n">
        <v>67.73999999999999</v>
      </c>
      <c r="AA158" t="n">
        <v>6.89</v>
      </c>
      <c r="AB158" t="n">
        <v>74.63</v>
      </c>
      <c r="AC158" t="n">
        <v>13.43</v>
      </c>
      <c r="AD158" t="n">
        <v>0</v>
      </c>
      <c r="AE158" t="n">
        <v>356.5</v>
      </c>
      <c r="AF158" t="n">
        <v>0</v>
      </c>
      <c r="AG158" t="n">
        <v>0</v>
      </c>
      <c r="AH158" t="n">
        <v>0.36</v>
      </c>
      <c r="AI158" t="n">
        <v>17.83</v>
      </c>
      <c r="AJ158" t="n">
        <v>0</v>
      </c>
      <c r="AK158" t="n">
        <v>31.62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106.25</v>
      </c>
      <c r="AV158" t="n">
        <v>0</v>
      </c>
      <c r="AW158" t="n">
        <v>268.08</v>
      </c>
      <c r="AX158" t="inlineStr">
        <is>
          <t>settled</t>
        </is>
      </c>
      <c r="AY158" t="inlineStr">
        <is>
          <t>2026-01-07 05:30:00</t>
        </is>
      </c>
      <c r="AZ158" t="inlineStr">
        <is>
          <t>CITIN26602720826</t>
        </is>
      </c>
      <c r="BA158" t="n">
        <v>0</v>
      </c>
      <c r="BB158" t="inlineStr">
        <is>
          <t>2ee1caae115b99f374af49cd681d6fbc071ed76de5b9146f933b965352e17543</t>
        </is>
      </c>
    </row>
    <row r="159">
      <c r="A159" t="inlineStr">
        <is>
          <t>269</t>
        </is>
      </c>
      <c r="B159" t="inlineStr">
        <is>
          <t>7654916318</t>
        </is>
      </c>
      <c r="C159" t="inlineStr">
        <is>
          <t>2026-01-04 03:13:24</t>
        </is>
      </c>
      <c r="D159" t="inlineStr">
        <is>
          <t>1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30% off upto ₹75 (2025-06-25 - 2031-01-01)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219</v>
      </c>
      <c r="P159" t="n">
        <v>3.5</v>
      </c>
      <c r="Q159" t="n">
        <v>0</v>
      </c>
      <c r="R159" t="n">
        <v>65.7</v>
      </c>
      <c r="S159" t="n">
        <v>0</v>
      </c>
      <c r="T159" t="n">
        <v>0</v>
      </c>
      <c r="U159" t="n">
        <v>0</v>
      </c>
      <c r="V159" t="n">
        <v>7.84</v>
      </c>
      <c r="W159" t="n">
        <v>164.64</v>
      </c>
      <c r="X159" t="n">
        <v>156.8</v>
      </c>
      <c r="Y159" t="n">
        <v>19</v>
      </c>
      <c r="Z159" t="n">
        <v>29.79</v>
      </c>
      <c r="AA159" t="n">
        <v>3.03</v>
      </c>
      <c r="AB159" t="n">
        <v>32.82</v>
      </c>
      <c r="AC159" t="n">
        <v>5.91</v>
      </c>
      <c r="AD159" t="n">
        <v>0</v>
      </c>
      <c r="AE159" t="n">
        <v>156.8</v>
      </c>
      <c r="AF159" t="n">
        <v>0</v>
      </c>
      <c r="AG159" t="n">
        <v>0</v>
      </c>
      <c r="AH159" t="n">
        <v>0.16</v>
      </c>
      <c r="AI159" t="n">
        <v>7.85</v>
      </c>
      <c r="AJ159" t="n">
        <v>-0.01</v>
      </c>
      <c r="AK159" t="n">
        <v>13.92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46.74</v>
      </c>
      <c r="AV159" t="n">
        <v>0</v>
      </c>
      <c r="AW159" t="n">
        <v>117.9</v>
      </c>
      <c r="AX159" t="inlineStr">
        <is>
          <t>settled</t>
        </is>
      </c>
      <c r="AY159" t="inlineStr">
        <is>
          <t>2026-01-07 05:30:00</t>
        </is>
      </c>
      <c r="AZ159" t="inlineStr">
        <is>
          <t>CITIN26602720826</t>
        </is>
      </c>
      <c r="BA159" t="n">
        <v>0</v>
      </c>
      <c r="BB159" t="inlineStr">
        <is>
          <t>29d974af2d1afe324d4c138b34d599377cdb70cb10746f6391872cacfcc13d31</t>
        </is>
      </c>
    </row>
    <row r="160">
      <c r="A160" t="inlineStr">
        <is>
          <t>270</t>
        </is>
      </c>
      <c r="B160" t="inlineStr">
        <is>
          <t>7653767606</t>
        </is>
      </c>
      <c r="C160" t="inlineStr">
        <is>
          <t>2026-01-04 03:16:10</t>
        </is>
      </c>
      <c r="D160" t="inlineStr">
        <is>
          <t>1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677</v>
      </c>
      <c r="P160" t="n">
        <v>3.5</v>
      </c>
      <c r="Q160" t="n">
        <v>0</v>
      </c>
      <c r="R160" t="n">
        <v>75</v>
      </c>
      <c r="S160" t="n">
        <v>0</v>
      </c>
      <c r="T160" t="n">
        <v>0</v>
      </c>
      <c r="U160" t="n">
        <v>0</v>
      </c>
      <c r="V160" t="n">
        <v>30.28</v>
      </c>
      <c r="W160" t="n">
        <v>635.78</v>
      </c>
      <c r="X160" t="n">
        <v>605.5</v>
      </c>
      <c r="Y160" t="n">
        <v>19</v>
      </c>
      <c r="Z160" t="n">
        <v>115.04</v>
      </c>
      <c r="AA160" t="n">
        <v>11.7</v>
      </c>
      <c r="AB160" t="n">
        <v>126.74</v>
      </c>
      <c r="AC160" t="n">
        <v>22.82</v>
      </c>
      <c r="AD160" t="n">
        <v>0</v>
      </c>
      <c r="AE160" t="n">
        <v>605.5</v>
      </c>
      <c r="AF160" t="n">
        <v>0</v>
      </c>
      <c r="AG160" t="n">
        <v>0</v>
      </c>
      <c r="AH160" t="n">
        <v>0.61</v>
      </c>
      <c r="AI160" t="n">
        <v>30.28</v>
      </c>
      <c r="AJ160" t="n">
        <v>0</v>
      </c>
      <c r="AK160" t="n">
        <v>53.71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180.45</v>
      </c>
      <c r="AV160" t="n">
        <v>0</v>
      </c>
      <c r="AW160" t="n">
        <v>455.33</v>
      </c>
      <c r="AX160" t="inlineStr">
        <is>
          <t>settled</t>
        </is>
      </c>
      <c r="AY160" t="inlineStr">
        <is>
          <t>2026-01-07 05:30:00</t>
        </is>
      </c>
      <c r="AZ160" t="inlineStr">
        <is>
          <t>CITIN26602720826</t>
        </is>
      </c>
      <c r="BA160" t="n">
        <v>0</v>
      </c>
      <c r="BB160" t="inlineStr">
        <is>
          <t>ff3849fab9438de41a983287c70155fb4c9d29c46e12d70b0297cd3a4412a1b5</t>
        </is>
      </c>
    </row>
    <row r="161">
      <c r="A161" t="inlineStr">
        <is>
          <t>271</t>
        </is>
      </c>
      <c r="B161" t="inlineStr">
        <is>
          <t>7652381594</t>
        </is>
      </c>
      <c r="C161" t="inlineStr">
        <is>
          <t>2026-01-04 03:29:14</t>
        </is>
      </c>
      <c r="D161" t="inlineStr">
        <is>
          <t>1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687</v>
      </c>
      <c r="P161" t="n">
        <v>3.5</v>
      </c>
      <c r="Q161" t="n">
        <v>0</v>
      </c>
      <c r="R161" t="n">
        <v>75</v>
      </c>
      <c r="S161" t="n">
        <v>0</v>
      </c>
      <c r="T161" t="n">
        <v>0</v>
      </c>
      <c r="U161" t="n">
        <v>0</v>
      </c>
      <c r="V161" t="n">
        <v>30.78</v>
      </c>
      <c r="W161" t="n">
        <v>646.28</v>
      </c>
      <c r="X161" t="n">
        <v>615.5</v>
      </c>
      <c r="Y161" t="n">
        <v>19</v>
      </c>
      <c r="Z161" t="n">
        <v>116.94</v>
      </c>
      <c r="AA161" t="n">
        <v>11.89</v>
      </c>
      <c r="AB161" t="n">
        <v>128.83</v>
      </c>
      <c r="AC161" t="n">
        <v>23.19</v>
      </c>
      <c r="AD161" t="n">
        <v>0</v>
      </c>
      <c r="AE161" t="n">
        <v>615.5</v>
      </c>
      <c r="AF161" t="n">
        <v>0</v>
      </c>
      <c r="AG161" t="n">
        <v>0</v>
      </c>
      <c r="AH161" t="n">
        <v>0.62</v>
      </c>
      <c r="AI161" t="n">
        <v>30.78</v>
      </c>
      <c r="AJ161" t="n">
        <v>0</v>
      </c>
      <c r="AK161" t="n">
        <v>54.59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183.42</v>
      </c>
      <c r="AV161" t="n">
        <v>0</v>
      </c>
      <c r="AW161" t="n">
        <v>462.86</v>
      </c>
      <c r="AX161" t="inlineStr">
        <is>
          <t>settled</t>
        </is>
      </c>
      <c r="AY161" t="inlineStr">
        <is>
          <t>2026-01-07 05:30:00</t>
        </is>
      </c>
      <c r="AZ161" t="inlineStr">
        <is>
          <t>CITIN26602720826</t>
        </is>
      </c>
      <c r="BA161" t="n">
        <v>0</v>
      </c>
      <c r="BB161" t="inlineStr">
        <is>
          <t>fa87638001513598849ce7e25adf74ff0ffdd3f1f831c5f8e3207bcfdb9ed24a</t>
        </is>
      </c>
    </row>
    <row r="162">
      <c r="A162" t="inlineStr">
        <is>
          <t>272</t>
        </is>
      </c>
      <c r="B162" t="inlineStr">
        <is>
          <t>7654873402</t>
        </is>
      </c>
      <c r="C162" t="inlineStr">
        <is>
          <t>2026-01-04 04:14:52</t>
        </is>
      </c>
      <c r="D162" t="inlineStr">
        <is>
          <t>1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30% off upto ₹75 (2025-06-25 - 2031-01-01)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68.7</v>
      </c>
      <c r="S162" t="n">
        <v>0</v>
      </c>
      <c r="T162" t="n">
        <v>0</v>
      </c>
      <c r="U162" t="n">
        <v>0</v>
      </c>
      <c r="V162" t="n">
        <v>8.19</v>
      </c>
      <c r="W162" t="n">
        <v>171.99</v>
      </c>
      <c r="X162" t="n">
        <v>163.8</v>
      </c>
      <c r="Y162" t="n">
        <v>19</v>
      </c>
      <c r="Z162" t="n">
        <v>31.12</v>
      </c>
      <c r="AA162" t="n">
        <v>3.16</v>
      </c>
      <c r="AB162" t="n">
        <v>34.28</v>
      </c>
      <c r="AC162" t="n">
        <v>6.17</v>
      </c>
      <c r="AD162" t="n">
        <v>0</v>
      </c>
      <c r="AE162" t="n">
        <v>163.8</v>
      </c>
      <c r="AF162" t="n">
        <v>0</v>
      </c>
      <c r="AG162" t="n">
        <v>0</v>
      </c>
      <c r="AH162" t="n">
        <v>0.16</v>
      </c>
      <c r="AI162" t="n">
        <v>8.199999999999999</v>
      </c>
      <c r="AJ162" t="n">
        <v>-0.01</v>
      </c>
      <c r="AK162" t="n">
        <v>14.53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48.81</v>
      </c>
      <c r="AV162" t="n">
        <v>0</v>
      </c>
      <c r="AW162" t="n">
        <v>123.18</v>
      </c>
      <c r="AX162" t="inlineStr">
        <is>
          <t>settled</t>
        </is>
      </c>
      <c r="AY162" t="inlineStr">
        <is>
          <t>2026-01-07 05:30:00</t>
        </is>
      </c>
      <c r="AZ162" t="inlineStr">
        <is>
          <t>CITIN26602720826</t>
        </is>
      </c>
      <c r="BA162" t="n">
        <v>0</v>
      </c>
      <c r="BB162" t="inlineStr">
        <is>
          <t>c4ce9e4ea1832888c57d2a04bc54d416949a618f3f2759f203a4038188d601cc</t>
        </is>
      </c>
    </row>
    <row r="163">
      <c r="A163" t="inlineStr">
        <is>
          <t>273</t>
        </is>
      </c>
      <c r="B163" t="inlineStr">
        <is>
          <t>7647268290</t>
        </is>
      </c>
      <c r="C163" t="inlineStr">
        <is>
          <t>2026-01-04 04:30:56</t>
        </is>
      </c>
      <c r="D163" t="inlineStr">
        <is>
          <t>1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438</v>
      </c>
      <c r="P163" t="n">
        <v>3.5</v>
      </c>
      <c r="Q163" t="n">
        <v>0</v>
      </c>
      <c r="R163" t="n">
        <v>75</v>
      </c>
      <c r="S163" t="n">
        <v>0</v>
      </c>
      <c r="T163" t="n">
        <v>0</v>
      </c>
      <c r="U163" t="n">
        <v>0</v>
      </c>
      <c r="V163" t="n">
        <v>18.33</v>
      </c>
      <c r="W163" t="n">
        <v>384.83</v>
      </c>
      <c r="X163" t="n">
        <v>366.5</v>
      </c>
      <c r="Y163" t="n">
        <v>19</v>
      </c>
      <c r="Z163" t="n">
        <v>69.64</v>
      </c>
      <c r="AA163" t="n">
        <v>7.08</v>
      </c>
      <c r="AB163" t="n">
        <v>76.72</v>
      </c>
      <c r="AC163" t="n">
        <v>13.81</v>
      </c>
      <c r="AD163" t="n">
        <v>0</v>
      </c>
      <c r="AE163" t="n">
        <v>366.5</v>
      </c>
      <c r="AF163" t="n">
        <v>0</v>
      </c>
      <c r="AG163" t="n">
        <v>0</v>
      </c>
      <c r="AH163" t="n">
        <v>0.37</v>
      </c>
      <c r="AI163" t="n">
        <v>18.33</v>
      </c>
      <c r="AJ163" t="n">
        <v>0</v>
      </c>
      <c r="AK163" t="n">
        <v>32.51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109.23</v>
      </c>
      <c r="AV163" t="n">
        <v>0</v>
      </c>
      <c r="AW163" t="n">
        <v>275.6</v>
      </c>
      <c r="AX163" t="inlineStr">
        <is>
          <t>settled</t>
        </is>
      </c>
      <c r="AY163" t="inlineStr">
        <is>
          <t>2026-01-07 05:30:00</t>
        </is>
      </c>
      <c r="AZ163" t="inlineStr">
        <is>
          <t>CITIN26602720826</t>
        </is>
      </c>
      <c r="BA163" t="n">
        <v>0</v>
      </c>
      <c r="BB163" t="inlineStr">
        <is>
          <t>e07aff6973dd223374ecf53eb344dffce8afba4b2e016a1693f71cb3b774aced</t>
        </is>
      </c>
    </row>
    <row r="164">
      <c r="A164" t="inlineStr">
        <is>
          <t>274</t>
        </is>
      </c>
      <c r="B164" t="inlineStr">
        <is>
          <t>7649739919</t>
        </is>
      </c>
      <c r="C164" t="inlineStr">
        <is>
          <t>2026-01-04 10:30:52</t>
        </is>
      </c>
      <c r="D164" t="inlineStr">
        <is>
          <t>1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30% off upto ₹75 (2025-06-25 - 2031-01-01)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229</v>
      </c>
      <c r="P164" t="n">
        <v>3.5</v>
      </c>
      <c r="Q164" t="n">
        <v>0</v>
      </c>
      <c r="R164" t="n">
        <v>68.7</v>
      </c>
      <c r="S164" t="n">
        <v>0</v>
      </c>
      <c r="T164" t="n">
        <v>0</v>
      </c>
      <c r="U164" t="n">
        <v>0</v>
      </c>
      <c r="V164" t="n">
        <v>8.19</v>
      </c>
      <c r="W164" t="n">
        <v>171.99</v>
      </c>
      <c r="X164" t="n">
        <v>163.8</v>
      </c>
      <c r="Y164" t="n">
        <v>19</v>
      </c>
      <c r="Z164" t="n">
        <v>31.12</v>
      </c>
      <c r="AA164" t="n">
        <v>3.16</v>
      </c>
      <c r="AB164" t="n">
        <v>34.28</v>
      </c>
      <c r="AC164" t="n">
        <v>6.17</v>
      </c>
      <c r="AD164" t="n">
        <v>0</v>
      </c>
      <c r="AE164" t="n">
        <v>163.8</v>
      </c>
      <c r="AF164" t="n">
        <v>0</v>
      </c>
      <c r="AG164" t="n">
        <v>0</v>
      </c>
      <c r="AH164" t="n">
        <v>0.16</v>
      </c>
      <c r="AI164" t="n">
        <v>8.199999999999999</v>
      </c>
      <c r="AJ164" t="n">
        <v>-0.01</v>
      </c>
      <c r="AK164" t="n">
        <v>14.53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48.81</v>
      </c>
      <c r="AV164" t="n">
        <v>0</v>
      </c>
      <c r="AW164" t="n">
        <v>123.18</v>
      </c>
      <c r="AX164" t="inlineStr">
        <is>
          <t>settled</t>
        </is>
      </c>
      <c r="AY164" t="inlineStr">
        <is>
          <t>2026-01-07 05:30:00</t>
        </is>
      </c>
      <c r="AZ164" t="inlineStr">
        <is>
          <t>CITIN26602720826</t>
        </is>
      </c>
      <c r="BA164" t="n">
        <v>0</v>
      </c>
      <c r="BB164" t="inlineStr">
        <is>
          <t>c0c63eb26fa0d54f310bb717e204cf632ee839f0fef9110fef5c9cb095976cc2</t>
        </is>
      </c>
    </row>
    <row r="165">
      <c r="A165" t="inlineStr">
        <is>
          <t>275</t>
        </is>
      </c>
      <c r="B165" t="inlineStr">
        <is>
          <t>7648933519</t>
        </is>
      </c>
      <c r="C165" t="inlineStr">
        <is>
          <t>2026-01-04 11:37:25</t>
        </is>
      </c>
      <c r="D165" t="inlineStr">
        <is>
          <t>1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37</t>
        </is>
      </c>
      <c r="O165" t="n">
        <v>229</v>
      </c>
      <c r="P165" t="n">
        <v>3.5</v>
      </c>
      <c r="Q165" t="n">
        <v>0</v>
      </c>
      <c r="R165" t="n">
        <v>68.7</v>
      </c>
      <c r="S165" t="n">
        <v>0</v>
      </c>
      <c r="T165" t="n">
        <v>0</v>
      </c>
      <c r="U165" t="n">
        <v>0</v>
      </c>
      <c r="V165" t="n">
        <v>8.19</v>
      </c>
      <c r="W165" t="n">
        <v>171.99</v>
      </c>
      <c r="X165" t="n">
        <v>163.8</v>
      </c>
      <c r="Y165" t="n">
        <v>19</v>
      </c>
      <c r="Z165" t="n">
        <v>31.12</v>
      </c>
      <c r="AA165" t="n">
        <v>3.16</v>
      </c>
      <c r="AB165" t="n">
        <v>34.28</v>
      </c>
      <c r="AC165" t="n">
        <v>6.17</v>
      </c>
      <c r="AD165" t="n">
        <v>0</v>
      </c>
      <c r="AE165" t="n">
        <v>163.8</v>
      </c>
      <c r="AF165" t="n">
        <v>0</v>
      </c>
      <c r="AG165" t="n">
        <v>0</v>
      </c>
      <c r="AH165" t="n">
        <v>0.16</v>
      </c>
      <c r="AI165" t="n">
        <v>8.199999999999999</v>
      </c>
      <c r="AJ165" t="n">
        <v>-0.01</v>
      </c>
      <c r="AK165" t="n">
        <v>14.53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48.81</v>
      </c>
      <c r="AV165" t="n">
        <v>0</v>
      </c>
      <c r="AW165" t="n">
        <v>123.18</v>
      </c>
      <c r="AX165" t="inlineStr">
        <is>
          <t>settled</t>
        </is>
      </c>
      <c r="AY165" t="inlineStr">
        <is>
          <t>2026-01-07 05:30:00</t>
        </is>
      </c>
      <c r="AZ165" t="inlineStr">
        <is>
          <t>CITIN26602720826</t>
        </is>
      </c>
      <c r="BA165" t="n">
        <v>0</v>
      </c>
      <c r="BB165" t="inlineStr">
        <is>
          <t>3e3810fef00ee6239071fa782ecbb9d0554df1c2e58e19ac41bd0a4b8c7c7462</t>
        </is>
      </c>
    </row>
    <row r="166">
      <c r="A166" t="inlineStr">
        <is>
          <t>276</t>
        </is>
      </c>
      <c r="B166" t="inlineStr">
        <is>
          <t>7653971398</t>
        </is>
      </c>
      <c r="C166" t="inlineStr">
        <is>
          <t>2026-01-04 11:59:26</t>
        </is>
      </c>
      <c r="D166" t="inlineStr">
        <is>
          <t>1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229</v>
      </c>
      <c r="P166" t="n">
        <v>3.5</v>
      </c>
      <c r="Q166" t="n">
        <v>0</v>
      </c>
      <c r="R166" t="n">
        <v>68.7</v>
      </c>
      <c r="S166" t="n">
        <v>0</v>
      </c>
      <c r="T166" t="n">
        <v>0</v>
      </c>
      <c r="U166" t="n">
        <v>0</v>
      </c>
      <c r="V166" t="n">
        <v>8.19</v>
      </c>
      <c r="W166" t="n">
        <v>171.99</v>
      </c>
      <c r="X166" t="n">
        <v>163.8</v>
      </c>
      <c r="Y166" t="n">
        <v>19</v>
      </c>
      <c r="Z166" t="n">
        <v>31.12</v>
      </c>
      <c r="AA166" t="n">
        <v>3.16</v>
      </c>
      <c r="AB166" t="n">
        <v>34.28</v>
      </c>
      <c r="AC166" t="n">
        <v>6.17</v>
      </c>
      <c r="AD166" t="n">
        <v>0</v>
      </c>
      <c r="AE166" t="n">
        <v>163.8</v>
      </c>
      <c r="AF166" t="n">
        <v>0</v>
      </c>
      <c r="AG166" t="n">
        <v>0</v>
      </c>
      <c r="AH166" t="n">
        <v>0.16</v>
      </c>
      <c r="AI166" t="n">
        <v>8.199999999999999</v>
      </c>
      <c r="AJ166" t="n">
        <v>-0.01</v>
      </c>
      <c r="AK166" t="n">
        <v>14.53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48.81</v>
      </c>
      <c r="AV166" t="n">
        <v>0</v>
      </c>
      <c r="AW166" t="n">
        <v>123.18</v>
      </c>
      <c r="AX166" t="inlineStr">
        <is>
          <t>settled</t>
        </is>
      </c>
      <c r="AY166" t="inlineStr">
        <is>
          <t>2026-01-07 05:30:00</t>
        </is>
      </c>
      <c r="AZ166" t="inlineStr">
        <is>
          <t>CITIN26602720826</t>
        </is>
      </c>
      <c r="BA166" t="n">
        <v>0</v>
      </c>
      <c r="BB166" t="inlineStr">
        <is>
          <t>c83a057e494f7e8f67361da06bca6b97adf3e177296f718a49c9c048c820a2b1</t>
        </is>
      </c>
    </row>
    <row r="167">
      <c r="A167" t="inlineStr">
        <is>
          <t>277</t>
        </is>
      </c>
      <c r="B167" t="inlineStr">
        <is>
          <t>7653222226</t>
        </is>
      </c>
      <c r="C167" t="inlineStr">
        <is>
          <t>2026-01-04 12:41:07</t>
        </is>
      </c>
      <c r="D167" t="inlineStr">
        <is>
          <t>1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68.7</v>
      </c>
      <c r="S167" t="n">
        <v>0</v>
      </c>
      <c r="T167" t="n">
        <v>0</v>
      </c>
      <c r="U167" t="n">
        <v>0</v>
      </c>
      <c r="V167" t="n">
        <v>8.19</v>
      </c>
      <c r="W167" t="n">
        <v>171.99</v>
      </c>
      <c r="X167" t="n">
        <v>163.8</v>
      </c>
      <c r="Y167" t="n">
        <v>19</v>
      </c>
      <c r="Z167" t="n">
        <v>31.12</v>
      </c>
      <c r="AA167" t="n">
        <v>3.16</v>
      </c>
      <c r="AB167" t="n">
        <v>34.28</v>
      </c>
      <c r="AC167" t="n">
        <v>6.17</v>
      </c>
      <c r="AD167" t="n">
        <v>0</v>
      </c>
      <c r="AE167" t="n">
        <v>163.8</v>
      </c>
      <c r="AF167" t="n">
        <v>0</v>
      </c>
      <c r="AG167" t="n">
        <v>0</v>
      </c>
      <c r="AH167" t="n">
        <v>0.16</v>
      </c>
      <c r="AI167" t="n">
        <v>8.199999999999999</v>
      </c>
      <c r="AJ167" t="n">
        <v>-0.01</v>
      </c>
      <c r="AK167" t="n">
        <v>14.53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48.81</v>
      </c>
      <c r="AV167" t="n">
        <v>0</v>
      </c>
      <c r="AW167" t="n">
        <v>123.18</v>
      </c>
      <c r="AX167" t="inlineStr">
        <is>
          <t>settled</t>
        </is>
      </c>
      <c r="AY167" t="inlineStr">
        <is>
          <t>2026-01-07 05:30:00</t>
        </is>
      </c>
      <c r="AZ167" t="inlineStr">
        <is>
          <t>CITIN26602720826</t>
        </is>
      </c>
      <c r="BA167" t="n">
        <v>0</v>
      </c>
      <c r="BB167" t="inlineStr">
        <is>
          <t>8dff8e127322510926403f616825a8dc44fc520b1f319c57d8793d1b471ad802</t>
        </is>
      </c>
    </row>
    <row r="168">
      <c r="A168" t="inlineStr">
        <is>
          <t>278</t>
        </is>
      </c>
      <c r="B168" t="inlineStr">
        <is>
          <t>7655797445</t>
        </is>
      </c>
      <c r="C168" t="inlineStr">
        <is>
          <t>2026-01-04 12:43:32</t>
        </is>
      </c>
      <c r="D168" t="inlineStr">
        <is>
          <t>1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NA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229</v>
      </c>
      <c r="P168" t="n">
        <v>3.5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11.63</v>
      </c>
      <c r="W168" t="n">
        <v>244.13</v>
      </c>
      <c r="X168" t="n">
        <v>232.5</v>
      </c>
      <c r="Y168" t="n">
        <v>19</v>
      </c>
      <c r="Z168" t="n">
        <v>44.18</v>
      </c>
      <c r="AA168" t="n">
        <v>4.49</v>
      </c>
      <c r="AB168" t="n">
        <v>48.67</v>
      </c>
      <c r="AC168" t="n">
        <v>8.76</v>
      </c>
      <c r="AD168" t="n">
        <v>0</v>
      </c>
      <c r="AE168" t="n">
        <v>232.5</v>
      </c>
      <c r="AF168" t="n">
        <v>0</v>
      </c>
      <c r="AG168" t="n">
        <v>0</v>
      </c>
      <c r="AH168" t="n">
        <v>0.23</v>
      </c>
      <c r="AI168" t="n">
        <v>11.63</v>
      </c>
      <c r="AJ168" t="n">
        <v>0</v>
      </c>
      <c r="AK168" t="n">
        <v>20.62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69.29000000000001</v>
      </c>
      <c r="AV168" t="n">
        <v>0</v>
      </c>
      <c r="AW168" t="n">
        <v>174.84</v>
      </c>
      <c r="AX168" t="inlineStr">
        <is>
          <t>settled</t>
        </is>
      </c>
      <c r="AY168" t="inlineStr">
        <is>
          <t>2026-01-07 05:30:00</t>
        </is>
      </c>
      <c r="AZ168" t="inlineStr">
        <is>
          <t>CITIN26602720826</t>
        </is>
      </c>
      <c r="BA168" t="n">
        <v>0</v>
      </c>
      <c r="BB168" t="inlineStr">
        <is>
          <t>2e19f45d494968dade1d59450f24ea900efa7dfb5dd62780a35c84226662049a</t>
        </is>
      </c>
    </row>
    <row r="169">
      <c r="A169" t="inlineStr">
        <is>
          <t>279</t>
        </is>
      </c>
      <c r="B169" t="inlineStr">
        <is>
          <t>7652669539</t>
        </is>
      </c>
      <c r="C169" t="inlineStr">
        <is>
          <t>2026-01-04 13:12:06</t>
        </is>
      </c>
      <c r="D169" t="inlineStr">
        <is>
          <t>1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268</v>
      </c>
      <c r="P169" t="n">
        <v>3.5</v>
      </c>
      <c r="Q169" t="n">
        <v>0</v>
      </c>
      <c r="R169" t="n">
        <v>75</v>
      </c>
      <c r="S169" t="n">
        <v>0</v>
      </c>
      <c r="T169" t="n">
        <v>0</v>
      </c>
      <c r="U169" t="n">
        <v>0</v>
      </c>
      <c r="V169" t="n">
        <v>9.83</v>
      </c>
      <c r="W169" t="n">
        <v>206.33</v>
      </c>
      <c r="X169" t="n">
        <v>196.5</v>
      </c>
      <c r="Y169" t="n">
        <v>19</v>
      </c>
      <c r="Z169" t="n">
        <v>37.34</v>
      </c>
      <c r="AA169" t="n">
        <v>3.8</v>
      </c>
      <c r="AB169" t="n">
        <v>41.14</v>
      </c>
      <c r="AC169" t="n">
        <v>7.4</v>
      </c>
      <c r="AD169" t="n">
        <v>0</v>
      </c>
      <c r="AE169" t="n">
        <v>196.5</v>
      </c>
      <c r="AF169" t="n">
        <v>0</v>
      </c>
      <c r="AG169" t="n">
        <v>0</v>
      </c>
      <c r="AH169" t="n">
        <v>0.2</v>
      </c>
      <c r="AI169" t="n">
        <v>9.83</v>
      </c>
      <c r="AJ169" t="n">
        <v>0</v>
      </c>
      <c r="AK169" t="n">
        <v>17.43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58.57</v>
      </c>
      <c r="AV169" t="n">
        <v>0</v>
      </c>
      <c r="AW169" t="n">
        <v>147.76</v>
      </c>
      <c r="AX169" t="inlineStr">
        <is>
          <t>settled</t>
        </is>
      </c>
      <c r="AY169" t="inlineStr">
        <is>
          <t>2026-01-07 05:30:00</t>
        </is>
      </c>
      <c r="AZ169" t="inlineStr">
        <is>
          <t>CITIN26602720826</t>
        </is>
      </c>
      <c r="BA169" t="n">
        <v>0</v>
      </c>
      <c r="BB169" t="inlineStr">
        <is>
          <t>bb00ea073fdbf78539f0ef4c08b15050d63a696c1f559199b72694fe40db5149</t>
        </is>
      </c>
    </row>
    <row r="170">
      <c r="A170" t="inlineStr">
        <is>
          <t>280</t>
        </is>
      </c>
      <c r="B170" t="inlineStr">
        <is>
          <t>7655300733</t>
        </is>
      </c>
      <c r="C170" t="inlineStr">
        <is>
          <t>2026-01-04 14:03:17</t>
        </is>
      </c>
      <c r="D170" t="inlineStr">
        <is>
          <t>1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229</v>
      </c>
      <c r="P170" t="n">
        <v>3.5</v>
      </c>
      <c r="Q170" t="n">
        <v>0</v>
      </c>
      <c r="R170" t="n">
        <v>68.7</v>
      </c>
      <c r="S170" t="n">
        <v>0</v>
      </c>
      <c r="T170" t="n">
        <v>0</v>
      </c>
      <c r="U170" t="n">
        <v>0</v>
      </c>
      <c r="V170" t="n">
        <v>8.19</v>
      </c>
      <c r="W170" t="n">
        <v>171.99</v>
      </c>
      <c r="X170" t="n">
        <v>163.8</v>
      </c>
      <c r="Y170" t="n">
        <v>19</v>
      </c>
      <c r="Z170" t="n">
        <v>31.12</v>
      </c>
      <c r="AA170" t="n">
        <v>3.16</v>
      </c>
      <c r="AB170" t="n">
        <v>34.28</v>
      </c>
      <c r="AC170" t="n">
        <v>6.17</v>
      </c>
      <c r="AD170" t="n">
        <v>0</v>
      </c>
      <c r="AE170" t="n">
        <v>163.8</v>
      </c>
      <c r="AF170" t="n">
        <v>0</v>
      </c>
      <c r="AG170" t="n">
        <v>0</v>
      </c>
      <c r="AH170" t="n">
        <v>0.16</v>
      </c>
      <c r="AI170" t="n">
        <v>8.199999999999999</v>
      </c>
      <c r="AJ170" t="n">
        <v>-0.01</v>
      </c>
      <c r="AK170" t="n">
        <v>14.53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48.81</v>
      </c>
      <c r="AV170" t="n">
        <v>0</v>
      </c>
      <c r="AW170" t="n">
        <v>123.18</v>
      </c>
      <c r="AX170" t="inlineStr">
        <is>
          <t>settled</t>
        </is>
      </c>
      <c r="AY170" t="inlineStr">
        <is>
          <t>2026-01-07 05:30:00</t>
        </is>
      </c>
      <c r="AZ170" t="inlineStr">
        <is>
          <t>CITIN26602720826</t>
        </is>
      </c>
      <c r="BA170" t="n">
        <v>0</v>
      </c>
      <c r="BB170" t="inlineStr">
        <is>
          <t>dfd933a056a681039a8df67c0f3ee58496247531b86724d0cc1bf2f370dacf48</t>
        </is>
      </c>
    </row>
    <row r="171">
      <c r="A171" t="inlineStr">
        <is>
          <t>281</t>
        </is>
      </c>
      <c r="B171" t="inlineStr">
        <is>
          <t>7653793101</t>
        </is>
      </c>
      <c r="C171" t="inlineStr">
        <is>
          <t>2026-01-04 14:18:15</t>
        </is>
      </c>
      <c r="D171" t="inlineStr">
        <is>
          <t>1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219</v>
      </c>
      <c r="P171" t="n">
        <v>3.5</v>
      </c>
      <c r="Q171" t="n">
        <v>0</v>
      </c>
      <c r="R171" t="n">
        <v>65.7</v>
      </c>
      <c r="S171" t="n">
        <v>0</v>
      </c>
      <c r="T171" t="n">
        <v>0</v>
      </c>
      <c r="U171" t="n">
        <v>0</v>
      </c>
      <c r="V171" t="n">
        <v>7.84</v>
      </c>
      <c r="W171" t="n">
        <v>164.64</v>
      </c>
      <c r="X171" t="n">
        <v>156.8</v>
      </c>
      <c r="Y171" t="n">
        <v>19</v>
      </c>
      <c r="Z171" t="n">
        <v>29.79</v>
      </c>
      <c r="AA171" t="n">
        <v>3.03</v>
      </c>
      <c r="AB171" t="n">
        <v>32.82</v>
      </c>
      <c r="AC171" t="n">
        <v>5.91</v>
      </c>
      <c r="AD171" t="n">
        <v>0</v>
      </c>
      <c r="AE171" t="n">
        <v>156.8</v>
      </c>
      <c r="AF171" t="n">
        <v>0</v>
      </c>
      <c r="AG171" t="n">
        <v>0</v>
      </c>
      <c r="AH171" t="n">
        <v>0.16</v>
      </c>
      <c r="AI171" t="n">
        <v>7.85</v>
      </c>
      <c r="AJ171" t="n">
        <v>-0.01</v>
      </c>
      <c r="AK171" t="n">
        <v>13.92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46.74</v>
      </c>
      <c r="AV171" t="n">
        <v>0</v>
      </c>
      <c r="AW171" t="n">
        <v>117.9</v>
      </c>
      <c r="AX171" t="inlineStr">
        <is>
          <t>settled</t>
        </is>
      </c>
      <c r="AY171" t="inlineStr">
        <is>
          <t>2026-01-07 05:30:00</t>
        </is>
      </c>
      <c r="AZ171" t="inlineStr">
        <is>
          <t>CITIN26602720826</t>
        </is>
      </c>
      <c r="BA171" t="n">
        <v>0</v>
      </c>
      <c r="BB171" t="inlineStr">
        <is>
          <t>a0eba5002ac8562f25ee853d640598e086366a0cee35aec35ce228f006b65851</t>
        </is>
      </c>
    </row>
    <row r="172">
      <c r="A172" t="inlineStr">
        <is>
          <t>282</t>
        </is>
      </c>
      <c r="B172" t="inlineStr">
        <is>
          <t>7649496227</t>
        </is>
      </c>
      <c r="C172" t="inlineStr">
        <is>
          <t>2026-01-04 14:21:41</t>
        </is>
      </c>
      <c r="D172" t="inlineStr">
        <is>
          <t>1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30% off upto ₹75 (2025-06-25 - 2031-01-01)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229</v>
      </c>
      <c r="P172" t="n">
        <v>3.5</v>
      </c>
      <c r="Q172" t="n">
        <v>0</v>
      </c>
      <c r="R172" t="n">
        <v>68.7</v>
      </c>
      <c r="S172" t="n">
        <v>0</v>
      </c>
      <c r="T172" t="n">
        <v>0</v>
      </c>
      <c r="U172" t="n">
        <v>0</v>
      </c>
      <c r="V172" t="n">
        <v>8.19</v>
      </c>
      <c r="W172" t="n">
        <v>171.99</v>
      </c>
      <c r="X172" t="n">
        <v>163.8</v>
      </c>
      <c r="Y172" t="n">
        <v>19</v>
      </c>
      <c r="Z172" t="n">
        <v>31.12</v>
      </c>
      <c r="AA172" t="n">
        <v>3.16</v>
      </c>
      <c r="AB172" t="n">
        <v>34.28</v>
      </c>
      <c r="AC172" t="n">
        <v>6.17</v>
      </c>
      <c r="AD172" t="n">
        <v>0</v>
      </c>
      <c r="AE172" t="n">
        <v>163.8</v>
      </c>
      <c r="AF172" t="n">
        <v>0</v>
      </c>
      <c r="AG172" t="n">
        <v>0</v>
      </c>
      <c r="AH172" t="n">
        <v>0.16</v>
      </c>
      <c r="AI172" t="n">
        <v>8.199999999999999</v>
      </c>
      <c r="AJ172" t="n">
        <v>-0.01</v>
      </c>
      <c r="AK172" t="n">
        <v>14.53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48.81</v>
      </c>
      <c r="AV172" t="n">
        <v>0</v>
      </c>
      <c r="AW172" t="n">
        <v>123.18</v>
      </c>
      <c r="AX172" t="inlineStr">
        <is>
          <t>settled</t>
        </is>
      </c>
      <c r="AY172" t="inlineStr">
        <is>
          <t>2026-01-07 05:30:00</t>
        </is>
      </c>
      <c r="AZ172" t="inlineStr">
        <is>
          <t>CITIN26602720826</t>
        </is>
      </c>
      <c r="BA172" t="n">
        <v>0</v>
      </c>
      <c r="BB172" t="inlineStr">
        <is>
          <t>836373133a55d6a50d26c8bc0721406013e3848e2ab91ed6e6c20f80df41dafa</t>
        </is>
      </c>
    </row>
    <row r="173">
      <c r="A173" t="inlineStr">
        <is>
          <t>283</t>
        </is>
      </c>
      <c r="B173" t="inlineStr">
        <is>
          <t>7648814889</t>
        </is>
      </c>
      <c r="C173" t="inlineStr">
        <is>
          <t>2026-01-04 15:06:35</t>
        </is>
      </c>
      <c r="D173" t="inlineStr">
        <is>
          <t>1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30% off upto ₹75 (2025-06-25 - 2031-01-01)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219</v>
      </c>
      <c r="P173" t="n">
        <v>3.5</v>
      </c>
      <c r="Q173" t="n">
        <v>0</v>
      </c>
      <c r="R173" t="n">
        <v>65.7</v>
      </c>
      <c r="S173" t="n">
        <v>0</v>
      </c>
      <c r="T173" t="n">
        <v>0</v>
      </c>
      <c r="U173" t="n">
        <v>0</v>
      </c>
      <c r="V173" t="n">
        <v>7.84</v>
      </c>
      <c r="W173" t="n">
        <v>164.64</v>
      </c>
      <c r="X173" t="n">
        <v>156.8</v>
      </c>
      <c r="Y173" t="n">
        <v>19</v>
      </c>
      <c r="Z173" t="n">
        <v>29.79</v>
      </c>
      <c r="AA173" t="n">
        <v>3.03</v>
      </c>
      <c r="AB173" t="n">
        <v>32.82</v>
      </c>
      <c r="AC173" t="n">
        <v>5.91</v>
      </c>
      <c r="AD173" t="n">
        <v>0</v>
      </c>
      <c r="AE173" t="n">
        <v>156.8</v>
      </c>
      <c r="AF173" t="n">
        <v>0</v>
      </c>
      <c r="AG173" t="n">
        <v>0</v>
      </c>
      <c r="AH173" t="n">
        <v>0.16</v>
      </c>
      <c r="AI173" t="n">
        <v>7.85</v>
      </c>
      <c r="AJ173" t="n">
        <v>-0.01</v>
      </c>
      <c r="AK173" t="n">
        <v>13.92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46.74</v>
      </c>
      <c r="AV173" t="n">
        <v>0</v>
      </c>
      <c r="AW173" t="n">
        <v>117.9</v>
      </c>
      <c r="AX173" t="inlineStr">
        <is>
          <t>settled</t>
        </is>
      </c>
      <c r="AY173" t="inlineStr">
        <is>
          <t>2026-01-07 05:30:00</t>
        </is>
      </c>
      <c r="AZ173" t="inlineStr">
        <is>
          <t>CITIN26602720826</t>
        </is>
      </c>
      <c r="BA173" t="n">
        <v>0</v>
      </c>
      <c r="BB173" t="inlineStr">
        <is>
          <t>6bc11850a83e9f9149515528244e4cab7766284978933d4553c27e78d99324cf</t>
        </is>
      </c>
    </row>
    <row r="174">
      <c r="A174" t="inlineStr">
        <is>
          <t>284</t>
        </is>
      </c>
      <c r="B174" t="inlineStr">
        <is>
          <t>7635413234</t>
        </is>
      </c>
      <c r="C174" t="inlineStr">
        <is>
          <t>2026-01-04 15:07:35</t>
        </is>
      </c>
      <c r="D174" t="inlineStr">
        <is>
          <t>1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229</v>
      </c>
      <c r="P174" t="n">
        <v>3.5</v>
      </c>
      <c r="Q174" t="n">
        <v>0</v>
      </c>
      <c r="R174" t="n">
        <v>68.7</v>
      </c>
      <c r="S174" t="n">
        <v>0</v>
      </c>
      <c r="T174" t="n">
        <v>0</v>
      </c>
      <c r="U174" t="n">
        <v>0</v>
      </c>
      <c r="V174" t="n">
        <v>8.19</v>
      </c>
      <c r="W174" t="n">
        <v>171.99</v>
      </c>
      <c r="X174" t="n">
        <v>163.8</v>
      </c>
      <c r="Y174" t="n">
        <v>19</v>
      </c>
      <c r="Z174" t="n">
        <v>31.12</v>
      </c>
      <c r="AA174" t="n">
        <v>3.16</v>
      </c>
      <c r="AB174" t="n">
        <v>34.28</v>
      </c>
      <c r="AC174" t="n">
        <v>6.17</v>
      </c>
      <c r="AD174" t="n">
        <v>0</v>
      </c>
      <c r="AE174" t="n">
        <v>163.8</v>
      </c>
      <c r="AF174" t="n">
        <v>0</v>
      </c>
      <c r="AG174" t="n">
        <v>0</v>
      </c>
      <c r="AH174" t="n">
        <v>0.16</v>
      </c>
      <c r="AI174" t="n">
        <v>8.199999999999999</v>
      </c>
      <c r="AJ174" t="n">
        <v>-0.01</v>
      </c>
      <c r="AK174" t="n">
        <v>14.53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48.81</v>
      </c>
      <c r="AV174" t="n">
        <v>0</v>
      </c>
      <c r="AW174" t="n">
        <v>123.18</v>
      </c>
      <c r="AX174" t="inlineStr">
        <is>
          <t>settled</t>
        </is>
      </c>
      <c r="AY174" t="inlineStr">
        <is>
          <t>2026-01-07 05:30:00</t>
        </is>
      </c>
      <c r="AZ174" t="inlineStr">
        <is>
          <t>CITIN26602720826</t>
        </is>
      </c>
      <c r="BA174" t="n">
        <v>0</v>
      </c>
      <c r="BB174" t="inlineStr">
        <is>
          <t>e0de046eec611107b81147c8aa6567d017a853550106e659370e352e01c78bcc</t>
        </is>
      </c>
    </row>
    <row r="175">
      <c r="A175" t="inlineStr">
        <is>
          <t>285</t>
        </is>
      </c>
      <c r="B175" t="inlineStr">
        <is>
          <t>7655965082</t>
        </is>
      </c>
      <c r="C175" t="inlineStr">
        <is>
          <t>2026-01-04 15:43:02</t>
        </is>
      </c>
      <c r="D175" t="inlineStr">
        <is>
          <t>1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229</v>
      </c>
      <c r="P175" t="n">
        <v>3.5</v>
      </c>
      <c r="Q175" t="n">
        <v>0</v>
      </c>
      <c r="R175" t="n">
        <v>68.7</v>
      </c>
      <c r="S175" t="n">
        <v>0</v>
      </c>
      <c r="T175" t="n">
        <v>0</v>
      </c>
      <c r="U175" t="n">
        <v>0</v>
      </c>
      <c r="V175" t="n">
        <v>8.19</v>
      </c>
      <c r="W175" t="n">
        <v>171.99</v>
      </c>
      <c r="X175" t="n">
        <v>163.8</v>
      </c>
      <c r="Y175" t="n">
        <v>19</v>
      </c>
      <c r="Z175" t="n">
        <v>31.12</v>
      </c>
      <c r="AA175" t="n">
        <v>3.16</v>
      </c>
      <c r="AB175" t="n">
        <v>34.28</v>
      </c>
      <c r="AC175" t="n">
        <v>6.17</v>
      </c>
      <c r="AD175" t="n">
        <v>0</v>
      </c>
      <c r="AE175" t="n">
        <v>163.8</v>
      </c>
      <c r="AF175" t="n">
        <v>0</v>
      </c>
      <c r="AG175" t="n">
        <v>0</v>
      </c>
      <c r="AH175" t="n">
        <v>0.16</v>
      </c>
      <c r="AI175" t="n">
        <v>8.199999999999999</v>
      </c>
      <c r="AJ175" t="n">
        <v>-0.01</v>
      </c>
      <c r="AK175" t="n">
        <v>14.53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48.81</v>
      </c>
      <c r="AV175" t="n">
        <v>0</v>
      </c>
      <c r="AW175" t="n">
        <v>123.18</v>
      </c>
      <c r="AX175" t="inlineStr">
        <is>
          <t>settled</t>
        </is>
      </c>
      <c r="AY175" t="inlineStr">
        <is>
          <t>2026-01-07 05:30:00</t>
        </is>
      </c>
      <c r="AZ175" t="inlineStr">
        <is>
          <t>CITIN26602720826</t>
        </is>
      </c>
      <c r="BA175" t="n">
        <v>0</v>
      </c>
      <c r="BB175" t="inlineStr">
        <is>
          <t>e9ba4ad17920e6044f99a38224f9e65b4699fd4d84cce5ae7ef04db85a500aa7</t>
        </is>
      </c>
    </row>
    <row r="176">
      <c r="A176" t="inlineStr">
        <is>
          <t>286</t>
        </is>
      </c>
      <c r="B176" t="inlineStr">
        <is>
          <t>7651278783</t>
        </is>
      </c>
      <c r="C176" t="inlineStr">
        <is>
          <t>2026-01-04 15:49:16</t>
        </is>
      </c>
      <c r="D176" t="inlineStr">
        <is>
          <t>1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NA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229</v>
      </c>
      <c r="P176" t="n">
        <v>3.5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11.63</v>
      </c>
      <c r="W176" t="n">
        <v>244.13</v>
      </c>
      <c r="X176" t="n">
        <v>232.5</v>
      </c>
      <c r="Y176" t="n">
        <v>19</v>
      </c>
      <c r="Z176" t="n">
        <v>44.18</v>
      </c>
      <c r="AA176" t="n">
        <v>4.49</v>
      </c>
      <c r="AB176" t="n">
        <v>48.67</v>
      </c>
      <c r="AC176" t="n">
        <v>8.76</v>
      </c>
      <c r="AD176" t="n">
        <v>0</v>
      </c>
      <c r="AE176" t="n">
        <v>232.5</v>
      </c>
      <c r="AF176" t="n">
        <v>0</v>
      </c>
      <c r="AG176" t="n">
        <v>0</v>
      </c>
      <c r="AH176" t="n">
        <v>0.23</v>
      </c>
      <c r="AI176" t="n">
        <v>11.63</v>
      </c>
      <c r="AJ176" t="n">
        <v>0</v>
      </c>
      <c r="AK176" t="n">
        <v>20.62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69.29000000000001</v>
      </c>
      <c r="AV176" t="n">
        <v>0</v>
      </c>
      <c r="AW176" t="n">
        <v>174.84</v>
      </c>
      <c r="AX176" t="inlineStr">
        <is>
          <t>settled</t>
        </is>
      </c>
      <c r="AY176" t="inlineStr">
        <is>
          <t>2026-01-07 05:30:00</t>
        </is>
      </c>
      <c r="AZ176" t="inlineStr">
        <is>
          <t>CITIN26602720826</t>
        </is>
      </c>
      <c r="BA176" t="n">
        <v>0</v>
      </c>
      <c r="BB176" t="inlineStr">
        <is>
          <t>61ab1e655f26a08e446efe11b868a61b6e436fc13634a23c2bb4499fc4e7a129</t>
        </is>
      </c>
    </row>
    <row r="177">
      <c r="A177" t="inlineStr">
        <is>
          <t>287</t>
        </is>
      </c>
      <c r="B177" t="inlineStr">
        <is>
          <t>7651106908</t>
        </is>
      </c>
      <c r="C177" t="inlineStr">
        <is>
          <t>2026-01-04 15:59:09</t>
        </is>
      </c>
      <c r="D177" t="inlineStr">
        <is>
          <t>1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229</v>
      </c>
      <c r="P177" t="n">
        <v>3.5</v>
      </c>
      <c r="Q177" t="n">
        <v>0</v>
      </c>
      <c r="R177" t="n">
        <v>68.7</v>
      </c>
      <c r="S177" t="n">
        <v>0</v>
      </c>
      <c r="T177" t="n">
        <v>0</v>
      </c>
      <c r="U177" t="n">
        <v>0</v>
      </c>
      <c r="V177" t="n">
        <v>8.19</v>
      </c>
      <c r="W177" t="n">
        <v>171.99</v>
      </c>
      <c r="X177" t="n">
        <v>163.8</v>
      </c>
      <c r="Y177" t="n">
        <v>19</v>
      </c>
      <c r="Z177" t="n">
        <v>31.12</v>
      </c>
      <c r="AA177" t="n">
        <v>3.16</v>
      </c>
      <c r="AB177" t="n">
        <v>34.28</v>
      </c>
      <c r="AC177" t="n">
        <v>6.17</v>
      </c>
      <c r="AD177" t="n">
        <v>0</v>
      </c>
      <c r="AE177" t="n">
        <v>163.8</v>
      </c>
      <c r="AF177" t="n">
        <v>0</v>
      </c>
      <c r="AG177" t="n">
        <v>0</v>
      </c>
      <c r="AH177" t="n">
        <v>0.16</v>
      </c>
      <c r="AI177" t="n">
        <v>8.199999999999999</v>
      </c>
      <c r="AJ177" t="n">
        <v>-0.01</v>
      </c>
      <c r="AK177" t="n">
        <v>14.53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48.81</v>
      </c>
      <c r="AV177" t="n">
        <v>0</v>
      </c>
      <c r="AW177" t="n">
        <v>123.18</v>
      </c>
      <c r="AX177" t="inlineStr">
        <is>
          <t>settled</t>
        </is>
      </c>
      <c r="AY177" t="inlineStr">
        <is>
          <t>2026-01-07 05:30:00</t>
        </is>
      </c>
      <c r="AZ177" t="inlineStr">
        <is>
          <t>CITIN26602720826</t>
        </is>
      </c>
      <c r="BA177" t="n">
        <v>0</v>
      </c>
      <c r="BB177" t="inlineStr">
        <is>
          <t>d1ae8d8443a195f068423e9937c8049ee67391f57cee67d0e913de359de6f69e</t>
        </is>
      </c>
    </row>
    <row r="178">
      <c r="A178" t="inlineStr">
        <is>
          <t>288</t>
        </is>
      </c>
      <c r="B178" t="inlineStr">
        <is>
          <t>7653279601</t>
        </is>
      </c>
      <c r="C178" t="inlineStr">
        <is>
          <t>2026-01-04 16:39:34</t>
        </is>
      </c>
      <c r="D178" t="inlineStr">
        <is>
          <t>1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229</v>
      </c>
      <c r="P178" t="n">
        <v>3.5</v>
      </c>
      <c r="Q178" t="n">
        <v>0</v>
      </c>
      <c r="R178" t="n">
        <v>68.7</v>
      </c>
      <c r="S178" t="n">
        <v>0</v>
      </c>
      <c r="T178" t="n">
        <v>0</v>
      </c>
      <c r="U178" t="n">
        <v>0</v>
      </c>
      <c r="V178" t="n">
        <v>8.19</v>
      </c>
      <c r="W178" t="n">
        <v>171.99</v>
      </c>
      <c r="X178" t="n">
        <v>163.8</v>
      </c>
      <c r="Y178" t="n">
        <v>19</v>
      </c>
      <c r="Z178" t="n">
        <v>31.12</v>
      </c>
      <c r="AA178" t="n">
        <v>3.16</v>
      </c>
      <c r="AB178" t="n">
        <v>34.28</v>
      </c>
      <c r="AC178" t="n">
        <v>6.17</v>
      </c>
      <c r="AD178" t="n">
        <v>0</v>
      </c>
      <c r="AE178" t="n">
        <v>163.8</v>
      </c>
      <c r="AF178" t="n">
        <v>0</v>
      </c>
      <c r="AG178" t="n">
        <v>0</v>
      </c>
      <c r="AH178" t="n">
        <v>0.16</v>
      </c>
      <c r="AI178" t="n">
        <v>8.199999999999999</v>
      </c>
      <c r="AJ178" t="n">
        <v>-0.01</v>
      </c>
      <c r="AK178" t="n">
        <v>14.53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48.81</v>
      </c>
      <c r="AV178" t="n">
        <v>0</v>
      </c>
      <c r="AW178" t="n">
        <v>123.18</v>
      </c>
      <c r="AX178" t="inlineStr">
        <is>
          <t>settled</t>
        </is>
      </c>
      <c r="AY178" t="inlineStr">
        <is>
          <t>2026-01-07 05:30:00</t>
        </is>
      </c>
      <c r="AZ178" t="inlineStr">
        <is>
          <t>CITIN26602720826</t>
        </is>
      </c>
      <c r="BA178" t="n">
        <v>0</v>
      </c>
      <c r="BB178" t="inlineStr">
        <is>
          <t>6ba376557be8d4662f984833aff2b251dfdeb9e9dcf775390b4e45d9d4d8b74d</t>
        </is>
      </c>
    </row>
    <row r="179">
      <c r="A179" t="inlineStr">
        <is>
          <t>289</t>
        </is>
      </c>
      <c r="B179" t="inlineStr">
        <is>
          <t>7651843776</t>
        </is>
      </c>
      <c r="C179" t="inlineStr">
        <is>
          <t>2026-01-04 17:19:13</t>
        </is>
      </c>
      <c r="D179" t="inlineStr">
        <is>
          <t>1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458</v>
      </c>
      <c r="P179" t="n">
        <v>3.5</v>
      </c>
      <c r="Q179" t="n">
        <v>0</v>
      </c>
      <c r="R179" t="n">
        <v>75</v>
      </c>
      <c r="S179" t="n">
        <v>0</v>
      </c>
      <c r="T179" t="n">
        <v>0</v>
      </c>
      <c r="U179" t="n">
        <v>0</v>
      </c>
      <c r="V179" t="n">
        <v>19.33</v>
      </c>
      <c r="W179" t="n">
        <v>405.83</v>
      </c>
      <c r="X179" t="n">
        <v>386.5</v>
      </c>
      <c r="Y179" t="n">
        <v>19</v>
      </c>
      <c r="Z179" t="n">
        <v>73.44</v>
      </c>
      <c r="AA179" t="n">
        <v>7.47</v>
      </c>
      <c r="AB179" t="n">
        <v>80.91</v>
      </c>
      <c r="AC179" t="n">
        <v>14.56</v>
      </c>
      <c r="AD179" t="n">
        <v>0</v>
      </c>
      <c r="AE179" t="n">
        <v>386.5</v>
      </c>
      <c r="AF179" t="n">
        <v>0</v>
      </c>
      <c r="AG179" t="n">
        <v>0</v>
      </c>
      <c r="AH179" t="n">
        <v>0.39</v>
      </c>
      <c r="AI179" t="n">
        <v>19.33</v>
      </c>
      <c r="AJ179" t="n">
        <v>0</v>
      </c>
      <c r="AK179" t="n">
        <v>34.28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115.19</v>
      </c>
      <c r="AV179" t="n">
        <v>0</v>
      </c>
      <c r="AW179" t="n">
        <v>290.64</v>
      </c>
      <c r="AX179" t="inlineStr">
        <is>
          <t>settled</t>
        </is>
      </c>
      <c r="AY179" t="inlineStr">
        <is>
          <t>2026-01-07 05:30:00</t>
        </is>
      </c>
      <c r="AZ179" t="inlineStr">
        <is>
          <t>CITIN26602720826</t>
        </is>
      </c>
      <c r="BA179" t="n">
        <v>0</v>
      </c>
      <c r="BB179" t="inlineStr">
        <is>
          <t>a247f1374598184f56fb4afcdc191f12c1e5be69be0dfa092b00ccc08ac29b54</t>
        </is>
      </c>
    </row>
    <row r="180">
      <c r="A180" t="inlineStr">
        <is>
          <t>290</t>
        </is>
      </c>
      <c r="B180" t="inlineStr">
        <is>
          <t>7652653828</t>
        </is>
      </c>
      <c r="C180" t="inlineStr">
        <is>
          <t>2026-01-04 17:31:53</t>
        </is>
      </c>
      <c r="D180" t="inlineStr">
        <is>
          <t>1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2026-01-07 05:30:00</t>
        </is>
      </c>
      <c r="AZ180" t="inlineStr">
        <is>
          <t>CITIN26602720826</t>
        </is>
      </c>
      <c r="BA180" t="n">
        <v>0</v>
      </c>
      <c r="BB180" t="inlineStr">
        <is>
          <t>baca0c3362e4795a999b22fabc5a2c0d0b56a0a7d29864e663ec927d2b2caa70</t>
        </is>
      </c>
    </row>
    <row r="181">
      <c r="A181" t="inlineStr">
        <is>
          <t>291</t>
        </is>
      </c>
      <c r="B181" t="inlineStr">
        <is>
          <t>7649788053</t>
        </is>
      </c>
      <c r="C181" t="inlineStr">
        <is>
          <t>2026-01-04 17:45:31</t>
        </is>
      </c>
      <c r="D181" t="inlineStr">
        <is>
          <t>1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268</v>
      </c>
      <c r="P181" t="n">
        <v>3.5</v>
      </c>
      <c r="Q181" t="n">
        <v>0</v>
      </c>
      <c r="R181" t="n">
        <v>75</v>
      </c>
      <c r="S181" t="n">
        <v>0</v>
      </c>
      <c r="T181" t="n">
        <v>0</v>
      </c>
      <c r="U181" t="n">
        <v>0</v>
      </c>
      <c r="V181" t="n">
        <v>9.83</v>
      </c>
      <c r="W181" t="n">
        <v>206.33</v>
      </c>
      <c r="X181" t="n">
        <v>196.5</v>
      </c>
      <c r="Y181" t="n">
        <v>19</v>
      </c>
      <c r="Z181" t="n">
        <v>37.34</v>
      </c>
      <c r="AA181" t="n">
        <v>3.8</v>
      </c>
      <c r="AB181" t="n">
        <v>41.14</v>
      </c>
      <c r="AC181" t="n">
        <v>7.4</v>
      </c>
      <c r="AD181" t="n">
        <v>0</v>
      </c>
      <c r="AE181" t="n">
        <v>196.5</v>
      </c>
      <c r="AF181" t="n">
        <v>0</v>
      </c>
      <c r="AG181" t="n">
        <v>0</v>
      </c>
      <c r="AH181" t="n">
        <v>0.2</v>
      </c>
      <c r="AI181" t="n">
        <v>9.83</v>
      </c>
      <c r="AJ181" t="n">
        <v>0</v>
      </c>
      <c r="AK181" t="n">
        <v>17.43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58.57</v>
      </c>
      <c r="AV181" t="n">
        <v>0</v>
      </c>
      <c r="AW181" t="n">
        <v>147.76</v>
      </c>
      <c r="AX181" t="inlineStr">
        <is>
          <t>settled</t>
        </is>
      </c>
      <c r="AY181" t="inlineStr">
        <is>
          <t>2026-01-07 05:30:00</t>
        </is>
      </c>
      <c r="AZ181" t="inlineStr">
        <is>
          <t>CITIN26602720826</t>
        </is>
      </c>
      <c r="BA181" t="n">
        <v>0</v>
      </c>
      <c r="BB181" t="inlineStr">
        <is>
          <t>c7bbf42fcbac1b8da44d666143f7adcb52e50d69af16bbb9de50784afc7db1a8</t>
        </is>
      </c>
    </row>
    <row r="182">
      <c r="A182" t="inlineStr">
        <is>
          <t>292</t>
        </is>
      </c>
      <c r="B182" t="inlineStr">
        <is>
          <t>7651808453</t>
        </is>
      </c>
      <c r="C182" t="inlineStr">
        <is>
          <t>2026-01-04 18:13:13</t>
        </is>
      </c>
      <c r="D182" t="inlineStr">
        <is>
          <t>1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30% off upto ₹75 (2025-06-25 - 2031-01-01)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916</v>
      </c>
      <c r="P182" t="n">
        <v>3.5</v>
      </c>
      <c r="Q182" t="n">
        <v>0</v>
      </c>
      <c r="R182" t="n">
        <v>75</v>
      </c>
      <c r="S182" t="n">
        <v>0</v>
      </c>
      <c r="T182" t="n">
        <v>0</v>
      </c>
      <c r="U182" t="n">
        <v>0</v>
      </c>
      <c r="V182" t="n">
        <v>42.23</v>
      </c>
      <c r="W182" t="n">
        <v>886.73</v>
      </c>
      <c r="X182" t="n">
        <v>844.5</v>
      </c>
      <c r="Y182" t="n">
        <v>19</v>
      </c>
      <c r="Z182" t="n">
        <v>160.46</v>
      </c>
      <c r="AA182" t="n">
        <v>16.32</v>
      </c>
      <c r="AB182" t="n">
        <v>176.78</v>
      </c>
      <c r="AC182" t="n">
        <v>31.82</v>
      </c>
      <c r="AD182" t="n">
        <v>0</v>
      </c>
      <c r="AE182" t="n">
        <v>844.5</v>
      </c>
      <c r="AF182" t="n">
        <v>0</v>
      </c>
      <c r="AG182" t="n">
        <v>0</v>
      </c>
      <c r="AH182" t="n">
        <v>0.84</v>
      </c>
      <c r="AI182" t="n">
        <v>42.23</v>
      </c>
      <c r="AJ182" t="n">
        <v>0</v>
      </c>
      <c r="AK182" t="n">
        <v>74.89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251.67</v>
      </c>
      <c r="AV182" t="n">
        <v>0</v>
      </c>
      <c r="AW182" t="n">
        <v>635.0599999999999</v>
      </c>
      <c r="AX182" t="inlineStr">
        <is>
          <t>settled</t>
        </is>
      </c>
      <c r="AY182" t="inlineStr">
        <is>
          <t>2026-01-07 05:30:00</t>
        </is>
      </c>
      <c r="AZ182" t="inlineStr">
        <is>
          <t>CITIN26602720826</t>
        </is>
      </c>
      <c r="BA182" t="n">
        <v>0</v>
      </c>
      <c r="BB182" t="inlineStr">
        <is>
          <t>33f22e8d16f5898888e0ea0586952a406db0a4165ee3c72d50c479315a6dc276</t>
        </is>
      </c>
    </row>
    <row r="183">
      <c r="A183" t="inlineStr">
        <is>
          <t>293</t>
        </is>
      </c>
      <c r="B183" t="inlineStr">
        <is>
          <t>7639582917</t>
        </is>
      </c>
      <c r="C183" t="inlineStr">
        <is>
          <t>2026-01-04 18:15:15</t>
        </is>
      </c>
      <c r="D183" t="inlineStr">
        <is>
          <t>1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219</v>
      </c>
      <c r="P183" t="n">
        <v>3.5</v>
      </c>
      <c r="Q183" t="n">
        <v>0</v>
      </c>
      <c r="R183" t="n">
        <v>65.7</v>
      </c>
      <c r="S183" t="n">
        <v>0</v>
      </c>
      <c r="T183" t="n">
        <v>0</v>
      </c>
      <c r="U183" t="n">
        <v>0</v>
      </c>
      <c r="V183" t="n">
        <v>7.84</v>
      </c>
      <c r="W183" t="n">
        <v>164.64</v>
      </c>
      <c r="X183" t="n">
        <v>156.8</v>
      </c>
      <c r="Y183" t="n">
        <v>19</v>
      </c>
      <c r="Z183" t="n">
        <v>29.79</v>
      </c>
      <c r="AA183" t="n">
        <v>3.03</v>
      </c>
      <c r="AB183" t="n">
        <v>32.82</v>
      </c>
      <c r="AC183" t="n">
        <v>5.91</v>
      </c>
      <c r="AD183" t="n">
        <v>0</v>
      </c>
      <c r="AE183" t="n">
        <v>156.8</v>
      </c>
      <c r="AF183" t="n">
        <v>0</v>
      </c>
      <c r="AG183" t="n">
        <v>0</v>
      </c>
      <c r="AH183" t="n">
        <v>0.16</v>
      </c>
      <c r="AI183" t="n">
        <v>7.85</v>
      </c>
      <c r="AJ183" t="n">
        <v>-0.01</v>
      </c>
      <c r="AK183" t="n">
        <v>13.92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46.74</v>
      </c>
      <c r="AV183" t="n">
        <v>0</v>
      </c>
      <c r="AW183" t="n">
        <v>117.9</v>
      </c>
      <c r="AX183" t="inlineStr">
        <is>
          <t>settled</t>
        </is>
      </c>
      <c r="AY183" t="inlineStr">
        <is>
          <t>2026-01-07 05:30:00</t>
        </is>
      </c>
      <c r="AZ183" t="inlineStr">
        <is>
          <t>CITIN26602720826</t>
        </is>
      </c>
      <c r="BA183" t="n">
        <v>0</v>
      </c>
      <c r="BB183" t="inlineStr">
        <is>
          <t>e8273e244586fcc6ae30c19d042d1f4e98f1d179ea72c17f2e8a88d938a0f6e9</t>
        </is>
      </c>
    </row>
    <row r="184">
      <c r="A184" t="inlineStr">
        <is>
          <t>294</t>
        </is>
      </c>
      <c r="B184" t="inlineStr">
        <is>
          <t>7652202127</t>
        </is>
      </c>
      <c r="C184" t="inlineStr">
        <is>
          <t>2026-01-04 18:36:21</t>
        </is>
      </c>
      <c r="D184" t="inlineStr">
        <is>
          <t>1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NA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229</v>
      </c>
      <c r="P184" t="n">
        <v>3.5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11.63</v>
      </c>
      <c r="W184" t="n">
        <v>244.13</v>
      </c>
      <c r="X184" t="n">
        <v>232.5</v>
      </c>
      <c r="Y184" t="n">
        <v>19</v>
      </c>
      <c r="Z184" t="n">
        <v>44.18</v>
      </c>
      <c r="AA184" t="n">
        <v>4.49</v>
      </c>
      <c r="AB184" t="n">
        <v>48.67</v>
      </c>
      <c r="AC184" t="n">
        <v>8.76</v>
      </c>
      <c r="AD184" t="n">
        <v>0</v>
      </c>
      <c r="AE184" t="n">
        <v>232.5</v>
      </c>
      <c r="AF184" t="n">
        <v>0</v>
      </c>
      <c r="AG184" t="n">
        <v>0</v>
      </c>
      <c r="AH184" t="n">
        <v>0.23</v>
      </c>
      <c r="AI184" t="n">
        <v>11.63</v>
      </c>
      <c r="AJ184" t="n">
        <v>0</v>
      </c>
      <c r="AK184" t="n">
        <v>20.62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69.29000000000001</v>
      </c>
      <c r="AV184" t="n">
        <v>0</v>
      </c>
      <c r="AW184" t="n">
        <v>174.84</v>
      </c>
      <c r="AX184" t="inlineStr">
        <is>
          <t>settled</t>
        </is>
      </c>
      <c r="AY184" t="inlineStr">
        <is>
          <t>2026-01-07 05:30:00</t>
        </is>
      </c>
      <c r="AZ184" t="inlineStr">
        <is>
          <t>CITIN26602720826</t>
        </is>
      </c>
      <c r="BA184" t="n">
        <v>0</v>
      </c>
      <c r="BB184" t="inlineStr">
        <is>
          <t>51211e07dafcd91391c909c3aaa14b4425700a4e696fd98b7215b8b6204cf369</t>
        </is>
      </c>
    </row>
    <row r="185">
      <c r="A185" t="inlineStr">
        <is>
          <t>295</t>
        </is>
      </c>
      <c r="B185" t="inlineStr">
        <is>
          <t>7654871647</t>
        </is>
      </c>
      <c r="C185" t="inlineStr">
        <is>
          <t>2026-01-04 18:38:51</t>
        </is>
      </c>
      <c r="D185" t="inlineStr">
        <is>
          <t>1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219</v>
      </c>
      <c r="P185" t="n">
        <v>3.5</v>
      </c>
      <c r="Q185" t="n">
        <v>0</v>
      </c>
      <c r="R185" t="n">
        <v>65.7</v>
      </c>
      <c r="S185" t="n">
        <v>0</v>
      </c>
      <c r="T185" t="n">
        <v>0</v>
      </c>
      <c r="U185" t="n">
        <v>0</v>
      </c>
      <c r="V185" t="n">
        <v>7.84</v>
      </c>
      <c r="W185" t="n">
        <v>164.64</v>
      </c>
      <c r="X185" t="n">
        <v>156.8</v>
      </c>
      <c r="Y185" t="n">
        <v>19</v>
      </c>
      <c r="Z185" t="n">
        <v>29.79</v>
      </c>
      <c r="AA185" t="n">
        <v>3.03</v>
      </c>
      <c r="AB185" t="n">
        <v>32.82</v>
      </c>
      <c r="AC185" t="n">
        <v>5.91</v>
      </c>
      <c r="AD185" t="n">
        <v>0</v>
      </c>
      <c r="AE185" t="n">
        <v>156.8</v>
      </c>
      <c r="AF185" t="n">
        <v>0</v>
      </c>
      <c r="AG185" t="n">
        <v>0</v>
      </c>
      <c r="AH185" t="n">
        <v>0.16</v>
      </c>
      <c r="AI185" t="n">
        <v>7.85</v>
      </c>
      <c r="AJ185" t="n">
        <v>-0.01</v>
      </c>
      <c r="AK185" t="n">
        <v>13.92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46.74</v>
      </c>
      <c r="AV185" t="n">
        <v>0</v>
      </c>
      <c r="AW185" t="n">
        <v>117.9</v>
      </c>
      <c r="AX185" t="inlineStr">
        <is>
          <t>settled</t>
        </is>
      </c>
      <c r="AY185" t="inlineStr">
        <is>
          <t>2026-01-07 05:30:00</t>
        </is>
      </c>
      <c r="AZ185" t="inlineStr">
        <is>
          <t>CITIN26602720826</t>
        </is>
      </c>
      <c r="BA185" t="n">
        <v>0</v>
      </c>
      <c r="BB185" t="inlineStr">
        <is>
          <t>bf517b081194123eac9b3d47b3baa1786e5a8fba1c1e29a19af754803d660d1f</t>
        </is>
      </c>
    </row>
    <row r="186">
      <c r="A186" t="inlineStr">
        <is>
          <t>296</t>
        </is>
      </c>
      <c r="B186" t="inlineStr">
        <is>
          <t>7653196292</t>
        </is>
      </c>
      <c r="C186" t="inlineStr">
        <is>
          <t>2026-01-04 19:08:31</t>
        </is>
      </c>
      <c r="D186" t="inlineStr">
        <is>
          <t>1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NA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229</v>
      </c>
      <c r="P186" t="n">
        <v>3.5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11.63</v>
      </c>
      <c r="W186" t="n">
        <v>244.13</v>
      </c>
      <c r="X186" t="n">
        <v>232.5</v>
      </c>
      <c r="Y186" t="n">
        <v>19</v>
      </c>
      <c r="Z186" t="n">
        <v>44.18</v>
      </c>
      <c r="AA186" t="n">
        <v>4.49</v>
      </c>
      <c r="AB186" t="n">
        <v>48.67</v>
      </c>
      <c r="AC186" t="n">
        <v>8.76</v>
      </c>
      <c r="AD186" t="n">
        <v>0</v>
      </c>
      <c r="AE186" t="n">
        <v>232.5</v>
      </c>
      <c r="AF186" t="n">
        <v>0</v>
      </c>
      <c r="AG186" t="n">
        <v>0</v>
      </c>
      <c r="AH186" t="n">
        <v>0.23</v>
      </c>
      <c r="AI186" t="n">
        <v>11.63</v>
      </c>
      <c r="AJ186" t="n">
        <v>0</v>
      </c>
      <c r="AK186" t="n">
        <v>20.62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69.29000000000001</v>
      </c>
      <c r="AV186" t="n">
        <v>0</v>
      </c>
      <c r="AW186" t="n">
        <v>174.84</v>
      </c>
      <c r="AX186" t="inlineStr">
        <is>
          <t>settled</t>
        </is>
      </c>
      <c r="AY186" t="inlineStr">
        <is>
          <t>2026-01-07 05:30:00</t>
        </is>
      </c>
      <c r="AZ186" t="inlineStr">
        <is>
          <t>CITIN26602720826</t>
        </is>
      </c>
      <c r="BA186" t="n">
        <v>0</v>
      </c>
      <c r="BB186" t="inlineStr">
        <is>
          <t>67b0426938e2e7795e5ef4233a138b2fadaf0d073c2a636e9ba266550c2b8baa</t>
        </is>
      </c>
    </row>
    <row r="187">
      <c r="A187" t="inlineStr">
        <is>
          <t>297</t>
        </is>
      </c>
      <c r="B187" t="inlineStr">
        <is>
          <t>7646128025</t>
        </is>
      </c>
      <c r="C187" t="inlineStr">
        <is>
          <t>2026-01-04 19:21:55</t>
        </is>
      </c>
      <c r="D187" t="inlineStr">
        <is>
          <t>1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30% off upto ₹75 (2025-06-25 - 2031-01-01)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229</v>
      </c>
      <c r="P187" t="n">
        <v>3.5</v>
      </c>
      <c r="Q187" t="n">
        <v>0</v>
      </c>
      <c r="R187" t="n">
        <v>68.7</v>
      </c>
      <c r="S187" t="n">
        <v>0</v>
      </c>
      <c r="T187" t="n">
        <v>0</v>
      </c>
      <c r="U187" t="n">
        <v>0</v>
      </c>
      <c r="V187" t="n">
        <v>8.19</v>
      </c>
      <c r="W187" t="n">
        <v>171.99</v>
      </c>
      <c r="X187" t="n">
        <v>163.8</v>
      </c>
      <c r="Y187" t="n">
        <v>19</v>
      </c>
      <c r="Z187" t="n">
        <v>31.12</v>
      </c>
      <c r="AA187" t="n">
        <v>3.16</v>
      </c>
      <c r="AB187" t="n">
        <v>34.28</v>
      </c>
      <c r="AC187" t="n">
        <v>6.17</v>
      </c>
      <c r="AD187" t="n">
        <v>0</v>
      </c>
      <c r="AE187" t="n">
        <v>163.8</v>
      </c>
      <c r="AF187" t="n">
        <v>0</v>
      </c>
      <c r="AG187" t="n">
        <v>0</v>
      </c>
      <c r="AH187" t="n">
        <v>0.16</v>
      </c>
      <c r="AI187" t="n">
        <v>8.199999999999999</v>
      </c>
      <c r="AJ187" t="n">
        <v>-0.01</v>
      </c>
      <c r="AK187" t="n">
        <v>14.53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48.81</v>
      </c>
      <c r="AV187" t="n">
        <v>0</v>
      </c>
      <c r="AW187" t="n">
        <v>123.18</v>
      </c>
      <c r="AX187" t="inlineStr">
        <is>
          <t>settled</t>
        </is>
      </c>
      <c r="AY187" t="inlineStr">
        <is>
          <t>2026-01-07 05:30:00</t>
        </is>
      </c>
      <c r="AZ187" t="inlineStr">
        <is>
          <t>CITIN26602720826</t>
        </is>
      </c>
      <c r="BA187" t="n">
        <v>0</v>
      </c>
      <c r="BB187" t="inlineStr">
        <is>
          <t>f7a91538b6e160e978697426c05313337932f2407dc5a32123be1330469cbe93</t>
        </is>
      </c>
    </row>
    <row r="188">
      <c r="A188" t="inlineStr">
        <is>
          <t>298</t>
        </is>
      </c>
      <c r="B188" t="inlineStr">
        <is>
          <t>7651716756</t>
        </is>
      </c>
      <c r="C188" t="inlineStr">
        <is>
          <t>2026-01-04 19:39:31</t>
        </is>
      </c>
      <c r="D188" t="inlineStr">
        <is>
          <t>1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229</v>
      </c>
      <c r="P188" t="n">
        <v>3.5</v>
      </c>
      <c r="Q188" t="n">
        <v>0</v>
      </c>
      <c r="R188" t="n">
        <v>68.7</v>
      </c>
      <c r="S188" t="n">
        <v>0</v>
      </c>
      <c r="T188" t="n">
        <v>0</v>
      </c>
      <c r="U188" t="n">
        <v>0</v>
      </c>
      <c r="V188" t="n">
        <v>8.19</v>
      </c>
      <c r="W188" t="n">
        <v>171.99</v>
      </c>
      <c r="X188" t="n">
        <v>163.8</v>
      </c>
      <c r="Y188" t="n">
        <v>19</v>
      </c>
      <c r="Z188" t="n">
        <v>31.12</v>
      </c>
      <c r="AA188" t="n">
        <v>3.16</v>
      </c>
      <c r="AB188" t="n">
        <v>34.28</v>
      </c>
      <c r="AC188" t="n">
        <v>6.17</v>
      </c>
      <c r="AD188" t="n">
        <v>0</v>
      </c>
      <c r="AE188" t="n">
        <v>163.8</v>
      </c>
      <c r="AF188" t="n">
        <v>0</v>
      </c>
      <c r="AG188" t="n">
        <v>0</v>
      </c>
      <c r="AH188" t="n">
        <v>0.16</v>
      </c>
      <c r="AI188" t="n">
        <v>8.199999999999999</v>
      </c>
      <c r="AJ188" t="n">
        <v>-0.01</v>
      </c>
      <c r="AK188" t="n">
        <v>14.53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48.81</v>
      </c>
      <c r="AV188" t="n">
        <v>0</v>
      </c>
      <c r="AW188" t="n">
        <v>123.18</v>
      </c>
      <c r="AX188" t="inlineStr">
        <is>
          <t>settled</t>
        </is>
      </c>
      <c r="AY188" t="inlineStr">
        <is>
          <t>2026-01-07 05:30:00</t>
        </is>
      </c>
      <c r="AZ188" t="inlineStr">
        <is>
          <t>CITIN26602720826</t>
        </is>
      </c>
      <c r="BA188" t="n">
        <v>0</v>
      </c>
      <c r="BB188" t="inlineStr">
        <is>
          <t>e9b318c3501b4a2297c6bc3a2490d85afab860b5a6d825c5bd525576791e7ae2</t>
        </is>
      </c>
    </row>
    <row r="189">
      <c r="A189" t="inlineStr">
        <is>
          <t>299</t>
        </is>
      </c>
      <c r="B189" t="inlineStr">
        <is>
          <t>7643411498</t>
        </is>
      </c>
      <c r="C189" t="inlineStr">
        <is>
          <t>2026-01-04 20:14:24</t>
        </is>
      </c>
      <c r="D189" t="inlineStr">
        <is>
          <t>1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229</v>
      </c>
      <c r="P189" t="n">
        <v>3.5</v>
      </c>
      <c r="Q189" t="n">
        <v>0</v>
      </c>
      <c r="R189" t="n">
        <v>68.7</v>
      </c>
      <c r="S189" t="n">
        <v>0</v>
      </c>
      <c r="T189" t="n">
        <v>0</v>
      </c>
      <c r="U189" t="n">
        <v>0</v>
      </c>
      <c r="V189" t="n">
        <v>8.19</v>
      </c>
      <c r="W189" t="n">
        <v>171.99</v>
      </c>
      <c r="X189" t="n">
        <v>163.8</v>
      </c>
      <c r="Y189" t="n">
        <v>19</v>
      </c>
      <c r="Z189" t="n">
        <v>31.12</v>
      </c>
      <c r="AA189" t="n">
        <v>3.16</v>
      </c>
      <c r="AB189" t="n">
        <v>34.28</v>
      </c>
      <c r="AC189" t="n">
        <v>6.17</v>
      </c>
      <c r="AD189" t="n">
        <v>0</v>
      </c>
      <c r="AE189" t="n">
        <v>163.8</v>
      </c>
      <c r="AF189" t="n">
        <v>0</v>
      </c>
      <c r="AG189" t="n">
        <v>0</v>
      </c>
      <c r="AH189" t="n">
        <v>0.16</v>
      </c>
      <c r="AI189" t="n">
        <v>8.199999999999999</v>
      </c>
      <c r="AJ189" t="n">
        <v>-0.01</v>
      </c>
      <c r="AK189" t="n">
        <v>14.53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48.81</v>
      </c>
      <c r="AV189" t="n">
        <v>0</v>
      </c>
      <c r="AW189" t="n">
        <v>123.18</v>
      </c>
      <c r="AX189" t="inlineStr">
        <is>
          <t>settled</t>
        </is>
      </c>
      <c r="AY189" t="inlineStr">
        <is>
          <t>2026-01-07 05:30:00</t>
        </is>
      </c>
      <c r="AZ189" t="inlineStr">
        <is>
          <t>CITIN26602720826</t>
        </is>
      </c>
      <c r="BA189" t="n">
        <v>0</v>
      </c>
      <c r="BB189" t="inlineStr">
        <is>
          <t>f1339f3347a4e48f5dee94810f52ba2f00be89a1868cb65eba811ce5edd64d4d</t>
        </is>
      </c>
    </row>
    <row r="190">
      <c r="A190" t="inlineStr">
        <is>
          <t>300</t>
        </is>
      </c>
      <c r="B190" t="inlineStr">
        <is>
          <t>7655009754</t>
        </is>
      </c>
      <c r="C190" t="inlineStr">
        <is>
          <t>2026-01-04 20:22:23</t>
        </is>
      </c>
      <c r="D190" t="inlineStr">
        <is>
          <t>1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229</v>
      </c>
      <c r="P190" t="n">
        <v>3.5</v>
      </c>
      <c r="Q190" t="n">
        <v>0</v>
      </c>
      <c r="R190" t="n">
        <v>68.7</v>
      </c>
      <c r="S190" t="n">
        <v>0</v>
      </c>
      <c r="T190" t="n">
        <v>0</v>
      </c>
      <c r="U190" t="n">
        <v>0</v>
      </c>
      <c r="V190" t="n">
        <v>8.19</v>
      </c>
      <c r="W190" t="n">
        <v>171.99</v>
      </c>
      <c r="X190" t="n">
        <v>163.8</v>
      </c>
      <c r="Y190" t="n">
        <v>19</v>
      </c>
      <c r="Z190" t="n">
        <v>31.12</v>
      </c>
      <c r="AA190" t="n">
        <v>3.16</v>
      </c>
      <c r="AB190" t="n">
        <v>34.28</v>
      </c>
      <c r="AC190" t="n">
        <v>6.17</v>
      </c>
      <c r="AD190" t="n">
        <v>0</v>
      </c>
      <c r="AE190" t="n">
        <v>163.8</v>
      </c>
      <c r="AF190" t="n">
        <v>0</v>
      </c>
      <c r="AG190" t="n">
        <v>0</v>
      </c>
      <c r="AH190" t="n">
        <v>0.16</v>
      </c>
      <c r="AI190" t="n">
        <v>8.199999999999999</v>
      </c>
      <c r="AJ190" t="n">
        <v>-0.01</v>
      </c>
      <c r="AK190" t="n">
        <v>14.53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48.81</v>
      </c>
      <c r="AV190" t="n">
        <v>0</v>
      </c>
      <c r="AW190" t="n">
        <v>123.18</v>
      </c>
      <c r="AX190" t="inlineStr">
        <is>
          <t>settled</t>
        </is>
      </c>
      <c r="AY190" t="inlineStr">
        <is>
          <t>2026-01-07 05:30:00</t>
        </is>
      </c>
      <c r="AZ190" t="inlineStr">
        <is>
          <t>CITIN26602720826</t>
        </is>
      </c>
      <c r="BA190" t="n">
        <v>0</v>
      </c>
      <c r="BB190" t="inlineStr">
        <is>
          <t>66576a0b1b1668be23652332e12a2ca0665569d93d7deadfff2c07c0be5c7821</t>
        </is>
      </c>
    </row>
    <row r="191">
      <c r="A191" t="inlineStr">
        <is>
          <t>301</t>
        </is>
      </c>
      <c r="B191" t="inlineStr">
        <is>
          <t>7653556328</t>
        </is>
      </c>
      <c r="C191" t="inlineStr">
        <is>
          <t>2026-01-04 20:36:19</t>
        </is>
      </c>
      <c r="D191" t="inlineStr">
        <is>
          <t>1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68.7</v>
      </c>
      <c r="S191" t="n">
        <v>0</v>
      </c>
      <c r="T191" t="n">
        <v>0</v>
      </c>
      <c r="U191" t="n">
        <v>0</v>
      </c>
      <c r="V191" t="n">
        <v>8.19</v>
      </c>
      <c r="W191" t="n">
        <v>171.99</v>
      </c>
      <c r="X191" t="n">
        <v>163.8</v>
      </c>
      <c r="Y191" t="n">
        <v>19</v>
      </c>
      <c r="Z191" t="n">
        <v>31.12</v>
      </c>
      <c r="AA191" t="n">
        <v>3.16</v>
      </c>
      <c r="AB191" t="n">
        <v>34.28</v>
      </c>
      <c r="AC191" t="n">
        <v>6.17</v>
      </c>
      <c r="AD191" t="n">
        <v>0</v>
      </c>
      <c r="AE191" t="n">
        <v>163.8</v>
      </c>
      <c r="AF191" t="n">
        <v>0</v>
      </c>
      <c r="AG191" t="n">
        <v>0</v>
      </c>
      <c r="AH191" t="n">
        <v>0.16</v>
      </c>
      <c r="AI191" t="n">
        <v>8.199999999999999</v>
      </c>
      <c r="AJ191" t="n">
        <v>-0.01</v>
      </c>
      <c r="AK191" t="n">
        <v>14.53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48.81</v>
      </c>
      <c r="AV191" t="n">
        <v>0</v>
      </c>
      <c r="AW191" t="n">
        <v>123.18</v>
      </c>
      <c r="AX191" t="inlineStr">
        <is>
          <t>settled</t>
        </is>
      </c>
      <c r="AY191" t="inlineStr">
        <is>
          <t>2026-01-07 05:30:00</t>
        </is>
      </c>
      <c r="AZ191" t="inlineStr">
        <is>
          <t>CITIN26602720826</t>
        </is>
      </c>
      <c r="BA191" t="n">
        <v>0</v>
      </c>
      <c r="BB191" t="inlineStr">
        <is>
          <t>51939cafd140c77376601ab3fd9359838d2b86be44adc153d5b4b39991a0e005</t>
        </is>
      </c>
    </row>
    <row r="192">
      <c r="A192" t="inlineStr">
        <is>
          <t>302</t>
        </is>
      </c>
      <c r="B192" t="inlineStr">
        <is>
          <t>7651290259</t>
        </is>
      </c>
      <c r="C192" t="inlineStr">
        <is>
          <t>2026-01-04 20:43:15</t>
        </is>
      </c>
      <c r="D192" t="inlineStr">
        <is>
          <t>1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229</v>
      </c>
      <c r="P192" t="n">
        <v>3.5</v>
      </c>
      <c r="Q192" t="n">
        <v>0</v>
      </c>
      <c r="R192" t="n">
        <v>68.7</v>
      </c>
      <c r="S192" t="n">
        <v>0</v>
      </c>
      <c r="T192" t="n">
        <v>0</v>
      </c>
      <c r="U192" t="n">
        <v>0</v>
      </c>
      <c r="V192" t="n">
        <v>8.19</v>
      </c>
      <c r="W192" t="n">
        <v>171.99</v>
      </c>
      <c r="X192" t="n">
        <v>163.8</v>
      </c>
      <c r="Y192" t="n">
        <v>19</v>
      </c>
      <c r="Z192" t="n">
        <v>31.12</v>
      </c>
      <c r="AA192" t="n">
        <v>3.16</v>
      </c>
      <c r="AB192" t="n">
        <v>34.28</v>
      </c>
      <c r="AC192" t="n">
        <v>6.17</v>
      </c>
      <c r="AD192" t="n">
        <v>0</v>
      </c>
      <c r="AE192" t="n">
        <v>163.8</v>
      </c>
      <c r="AF192" t="n">
        <v>0</v>
      </c>
      <c r="AG192" t="n">
        <v>0</v>
      </c>
      <c r="AH192" t="n">
        <v>0.16</v>
      </c>
      <c r="AI192" t="n">
        <v>8.199999999999999</v>
      </c>
      <c r="AJ192" t="n">
        <v>-0.01</v>
      </c>
      <c r="AK192" t="n">
        <v>14.53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48.81</v>
      </c>
      <c r="AV192" t="n">
        <v>0</v>
      </c>
      <c r="AW192" t="n">
        <v>123.18</v>
      </c>
      <c r="AX192" t="inlineStr">
        <is>
          <t>settled</t>
        </is>
      </c>
      <c r="AY192" t="inlineStr">
        <is>
          <t>2026-01-07 05:30:00</t>
        </is>
      </c>
      <c r="AZ192" t="inlineStr">
        <is>
          <t>CITIN26602720826</t>
        </is>
      </c>
      <c r="BA192" t="n">
        <v>0</v>
      </c>
      <c r="BB192" t="inlineStr">
        <is>
          <t>f9927fffb68d8d1a8b49dfc04e2938ad26e63fe3d88369cfcc670e86a8aa1264</t>
        </is>
      </c>
    </row>
    <row r="193">
      <c r="A193" t="inlineStr">
        <is>
          <t>303</t>
        </is>
      </c>
      <c r="B193" t="inlineStr">
        <is>
          <t>7648860717</t>
        </is>
      </c>
      <c r="C193" t="inlineStr">
        <is>
          <t>2026-01-04 21:43:23</t>
        </is>
      </c>
      <c r="D193" t="inlineStr">
        <is>
          <t>1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219</v>
      </c>
      <c r="P193" t="n">
        <v>3.5</v>
      </c>
      <c r="Q193" t="n">
        <v>0</v>
      </c>
      <c r="R193" t="n">
        <v>65.7</v>
      </c>
      <c r="S193" t="n">
        <v>0</v>
      </c>
      <c r="T193" t="n">
        <v>0</v>
      </c>
      <c r="U193" t="n">
        <v>0</v>
      </c>
      <c r="V193" t="n">
        <v>7.84</v>
      </c>
      <c r="W193" t="n">
        <v>164.64</v>
      </c>
      <c r="X193" t="n">
        <v>156.8</v>
      </c>
      <c r="Y193" t="n">
        <v>19</v>
      </c>
      <c r="Z193" t="n">
        <v>29.79</v>
      </c>
      <c r="AA193" t="n">
        <v>3.03</v>
      </c>
      <c r="AB193" t="n">
        <v>32.82</v>
      </c>
      <c r="AC193" t="n">
        <v>5.91</v>
      </c>
      <c r="AD193" t="n">
        <v>0</v>
      </c>
      <c r="AE193" t="n">
        <v>156.8</v>
      </c>
      <c r="AF193" t="n">
        <v>0</v>
      </c>
      <c r="AG193" t="n">
        <v>0</v>
      </c>
      <c r="AH193" t="n">
        <v>0.16</v>
      </c>
      <c r="AI193" t="n">
        <v>7.85</v>
      </c>
      <c r="AJ193" t="n">
        <v>-0.01</v>
      </c>
      <c r="AK193" t="n">
        <v>13.92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46.74</v>
      </c>
      <c r="AV193" t="n">
        <v>0</v>
      </c>
      <c r="AW193" t="n">
        <v>117.9</v>
      </c>
      <c r="AX193" t="inlineStr">
        <is>
          <t>settled</t>
        </is>
      </c>
      <c r="AY193" t="inlineStr">
        <is>
          <t>2026-01-07 05:30:00</t>
        </is>
      </c>
      <c r="AZ193" t="inlineStr">
        <is>
          <t>CITIN26602720826</t>
        </is>
      </c>
      <c r="BA193" t="n">
        <v>0</v>
      </c>
      <c r="BB193" t="inlineStr">
        <is>
          <t>1c515f4d87b4dadf1324bb759b2981cb54412eab898ccf0e80c453e3c747b500</t>
        </is>
      </c>
    </row>
    <row r="194">
      <c r="A194" t="inlineStr">
        <is>
          <t>304</t>
        </is>
      </c>
      <c r="B194" t="inlineStr">
        <is>
          <t>7658274102</t>
        </is>
      </c>
      <c r="C194" t="inlineStr">
        <is>
          <t>2026-01-04 21:55:43</t>
        </is>
      </c>
      <c r="D194" t="inlineStr">
        <is>
          <t>1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229</v>
      </c>
      <c r="P194" t="n">
        <v>3.5</v>
      </c>
      <c r="Q194" t="n">
        <v>0</v>
      </c>
      <c r="R194" t="n">
        <v>68.7</v>
      </c>
      <c r="S194" t="n">
        <v>0</v>
      </c>
      <c r="T194" t="n">
        <v>0</v>
      </c>
      <c r="U194" t="n">
        <v>0</v>
      </c>
      <c r="V194" t="n">
        <v>8.19</v>
      </c>
      <c r="W194" t="n">
        <v>171.99</v>
      </c>
      <c r="X194" t="n">
        <v>163.8</v>
      </c>
      <c r="Y194" t="n">
        <v>19</v>
      </c>
      <c r="Z194" t="n">
        <v>31.12</v>
      </c>
      <c r="AA194" t="n">
        <v>3.16</v>
      </c>
      <c r="AB194" t="n">
        <v>34.28</v>
      </c>
      <c r="AC194" t="n">
        <v>6.17</v>
      </c>
      <c r="AD194" t="n">
        <v>0</v>
      </c>
      <c r="AE194" t="n">
        <v>163.8</v>
      </c>
      <c r="AF194" t="n">
        <v>0</v>
      </c>
      <c r="AG194" t="n">
        <v>0</v>
      </c>
      <c r="AH194" t="n">
        <v>0.16</v>
      </c>
      <c r="AI194" t="n">
        <v>8.199999999999999</v>
      </c>
      <c r="AJ194" t="n">
        <v>-0.01</v>
      </c>
      <c r="AK194" t="n">
        <v>14.53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48.81</v>
      </c>
      <c r="AV194" t="n">
        <v>0</v>
      </c>
      <c r="AW194" t="n">
        <v>123.18</v>
      </c>
      <c r="AX194" t="inlineStr">
        <is>
          <t>settled</t>
        </is>
      </c>
      <c r="AY194" t="inlineStr">
        <is>
          <t>2026-01-07 05:30:00</t>
        </is>
      </c>
      <c r="AZ194" t="inlineStr">
        <is>
          <t>CITIN26602720826</t>
        </is>
      </c>
      <c r="BA194" t="n">
        <v>0</v>
      </c>
      <c r="BB194" t="inlineStr">
        <is>
          <t>f8f4ec5d6a400c6f56db6743b8187f2a11926909ee2ff7edfdded721e1f9c016</t>
        </is>
      </c>
    </row>
    <row r="195">
      <c r="A195" t="inlineStr">
        <is>
          <t>305</t>
        </is>
      </c>
      <c r="B195" t="inlineStr">
        <is>
          <t>7645321416</t>
        </is>
      </c>
      <c r="C195" t="inlineStr">
        <is>
          <t>2026-01-04 22:07:29</t>
        </is>
      </c>
      <c r="D195" t="inlineStr">
        <is>
          <t>1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448</v>
      </c>
      <c r="P195" t="n">
        <v>3.5</v>
      </c>
      <c r="Q195" t="n">
        <v>0</v>
      </c>
      <c r="R195" t="n">
        <v>75</v>
      </c>
      <c r="S195" t="n">
        <v>0</v>
      </c>
      <c r="T195" t="n">
        <v>0</v>
      </c>
      <c r="U195" t="n">
        <v>0</v>
      </c>
      <c r="V195" t="n">
        <v>18.83</v>
      </c>
      <c r="W195" t="n">
        <v>395.33</v>
      </c>
      <c r="X195" t="n">
        <v>376.5</v>
      </c>
      <c r="Y195" t="n">
        <v>19</v>
      </c>
      <c r="Z195" t="n">
        <v>71.54000000000001</v>
      </c>
      <c r="AA195" t="n">
        <v>7.27</v>
      </c>
      <c r="AB195" t="n">
        <v>78.81</v>
      </c>
      <c r="AC195" t="n">
        <v>14.19</v>
      </c>
      <c r="AD195" t="n">
        <v>0</v>
      </c>
      <c r="AE195" t="n">
        <v>376.5</v>
      </c>
      <c r="AF195" t="n">
        <v>0</v>
      </c>
      <c r="AG195" t="n">
        <v>0</v>
      </c>
      <c r="AH195" t="n">
        <v>0.38</v>
      </c>
      <c r="AI195" t="n">
        <v>18.83</v>
      </c>
      <c r="AJ195" t="n">
        <v>0</v>
      </c>
      <c r="AK195" t="n">
        <v>33.4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112.21</v>
      </c>
      <c r="AV195" t="n">
        <v>0</v>
      </c>
      <c r="AW195" t="n">
        <v>283.12</v>
      </c>
      <c r="AX195" t="inlineStr">
        <is>
          <t>settled</t>
        </is>
      </c>
      <c r="AY195" t="inlineStr">
        <is>
          <t>2026-01-07 05:30:00</t>
        </is>
      </c>
      <c r="AZ195" t="inlineStr">
        <is>
          <t>CITIN26602720826</t>
        </is>
      </c>
      <c r="BA195" t="n">
        <v>0</v>
      </c>
      <c r="BB195" t="inlineStr">
        <is>
          <t>219ea31bdc99462bcea88ae7b4723ace95e2dc32228373e7e0fcad4bc956d33b</t>
        </is>
      </c>
    </row>
    <row r="196">
      <c r="A196" t="inlineStr">
        <is>
          <t>306</t>
        </is>
      </c>
      <c r="B196" t="inlineStr">
        <is>
          <t>7657161232</t>
        </is>
      </c>
      <c r="C196" t="inlineStr">
        <is>
          <t>2026-01-04 22:17:44</t>
        </is>
      </c>
      <c r="D196" t="inlineStr">
        <is>
          <t>1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30% off upto ₹75 (2025-06-25 - 2031-01-01)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229</v>
      </c>
      <c r="P196" t="n">
        <v>3.5</v>
      </c>
      <c r="Q196" t="n">
        <v>0</v>
      </c>
      <c r="R196" t="n">
        <v>68.7</v>
      </c>
      <c r="S196" t="n">
        <v>0</v>
      </c>
      <c r="T196" t="n">
        <v>0</v>
      </c>
      <c r="U196" t="n">
        <v>0</v>
      </c>
      <c r="V196" t="n">
        <v>8.19</v>
      </c>
      <c r="W196" t="n">
        <v>171.99</v>
      </c>
      <c r="X196" t="n">
        <v>163.8</v>
      </c>
      <c r="Y196" t="n">
        <v>19</v>
      </c>
      <c r="Z196" t="n">
        <v>31.12</v>
      </c>
      <c r="AA196" t="n">
        <v>3.16</v>
      </c>
      <c r="AB196" t="n">
        <v>34.28</v>
      </c>
      <c r="AC196" t="n">
        <v>6.17</v>
      </c>
      <c r="AD196" t="n">
        <v>0</v>
      </c>
      <c r="AE196" t="n">
        <v>163.8</v>
      </c>
      <c r="AF196" t="n">
        <v>0</v>
      </c>
      <c r="AG196" t="n">
        <v>0</v>
      </c>
      <c r="AH196" t="n">
        <v>0.16</v>
      </c>
      <c r="AI196" t="n">
        <v>8.199999999999999</v>
      </c>
      <c r="AJ196" t="n">
        <v>-0.01</v>
      </c>
      <c r="AK196" t="n">
        <v>14.53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48.81</v>
      </c>
      <c r="AV196" t="n">
        <v>0</v>
      </c>
      <c r="AW196" t="n">
        <v>123.18</v>
      </c>
      <c r="AX196" t="inlineStr">
        <is>
          <t>settled</t>
        </is>
      </c>
      <c r="AY196" t="inlineStr">
        <is>
          <t>2026-01-07 05:30:00</t>
        </is>
      </c>
      <c r="AZ196" t="inlineStr">
        <is>
          <t>CITIN26602720826</t>
        </is>
      </c>
      <c r="BA196" t="n">
        <v>0</v>
      </c>
      <c r="BB196" t="inlineStr">
        <is>
          <t>6e3b18a9aead2d817ab1521b98fc0b147fb9601ce06907495279437f6ed995e6</t>
        </is>
      </c>
    </row>
    <row r="197">
      <c r="A197" t="inlineStr">
        <is>
          <t>307</t>
        </is>
      </c>
      <c r="B197" t="inlineStr">
        <is>
          <t>7655879707</t>
        </is>
      </c>
      <c r="C197" t="inlineStr">
        <is>
          <t>2026-01-04 22:50:31</t>
        </is>
      </c>
      <c r="D197" t="inlineStr">
        <is>
          <t>1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30% off upto ₹75 (2025-06-25 - 2031-01-01)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229</v>
      </c>
      <c r="P197" t="n">
        <v>3.5</v>
      </c>
      <c r="Q197" t="n">
        <v>0</v>
      </c>
      <c r="R197" t="n">
        <v>68.7</v>
      </c>
      <c r="S197" t="n">
        <v>0</v>
      </c>
      <c r="T197" t="n">
        <v>0</v>
      </c>
      <c r="U197" t="n">
        <v>0</v>
      </c>
      <c r="V197" t="n">
        <v>8.19</v>
      </c>
      <c r="W197" t="n">
        <v>171.99</v>
      </c>
      <c r="X197" t="n">
        <v>163.8</v>
      </c>
      <c r="Y197" t="n">
        <v>19</v>
      </c>
      <c r="Z197" t="n">
        <v>31.12</v>
      </c>
      <c r="AA197" t="n">
        <v>3.16</v>
      </c>
      <c r="AB197" t="n">
        <v>34.28</v>
      </c>
      <c r="AC197" t="n">
        <v>6.17</v>
      </c>
      <c r="AD197" t="n">
        <v>0</v>
      </c>
      <c r="AE197" t="n">
        <v>163.8</v>
      </c>
      <c r="AF197" t="n">
        <v>0</v>
      </c>
      <c r="AG197" t="n">
        <v>0</v>
      </c>
      <c r="AH197" t="n">
        <v>0.16</v>
      </c>
      <c r="AI197" t="n">
        <v>8.199999999999999</v>
      </c>
      <c r="AJ197" t="n">
        <v>-0.01</v>
      </c>
      <c r="AK197" t="n">
        <v>14.53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48.81</v>
      </c>
      <c r="AV197" t="n">
        <v>0</v>
      </c>
      <c r="AW197" t="n">
        <v>123.18</v>
      </c>
      <c r="AX197" t="inlineStr">
        <is>
          <t>settled</t>
        </is>
      </c>
      <c r="AY197" t="inlineStr">
        <is>
          <t>2026-01-07 05:30:00</t>
        </is>
      </c>
      <c r="AZ197" t="inlineStr">
        <is>
          <t>CITIN26602720826</t>
        </is>
      </c>
      <c r="BA197" t="n">
        <v>0</v>
      </c>
      <c r="BB197" t="inlineStr">
        <is>
          <t>0f1826b6d3cb4885c573bde9e0528ffcd0dade25c163021204ea56cc6c0cc44a</t>
        </is>
      </c>
    </row>
    <row r="198">
      <c r="A198" t="inlineStr">
        <is>
          <t>308</t>
        </is>
      </c>
      <c r="B198" t="inlineStr">
        <is>
          <t>7657036570</t>
        </is>
      </c>
      <c r="C198" t="inlineStr">
        <is>
          <t>2026-01-04 22:53:51</t>
        </is>
      </c>
      <c r="D198" t="inlineStr">
        <is>
          <t>1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30% off upto ₹75 (2025-06-25 - 2031-01-01)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229</v>
      </c>
      <c r="P198" t="n">
        <v>3.5</v>
      </c>
      <c r="Q198" t="n">
        <v>0</v>
      </c>
      <c r="R198" t="n">
        <v>68.7</v>
      </c>
      <c r="S198" t="n">
        <v>0</v>
      </c>
      <c r="T198" t="n">
        <v>0</v>
      </c>
      <c r="U198" t="n">
        <v>0</v>
      </c>
      <c r="V198" t="n">
        <v>8.19</v>
      </c>
      <c r="W198" t="n">
        <v>171.99</v>
      </c>
      <c r="X198" t="n">
        <v>163.8</v>
      </c>
      <c r="Y198" t="n">
        <v>19</v>
      </c>
      <c r="Z198" t="n">
        <v>31.12</v>
      </c>
      <c r="AA198" t="n">
        <v>3.16</v>
      </c>
      <c r="AB198" t="n">
        <v>34.28</v>
      </c>
      <c r="AC198" t="n">
        <v>6.17</v>
      </c>
      <c r="AD198" t="n">
        <v>0</v>
      </c>
      <c r="AE198" t="n">
        <v>163.8</v>
      </c>
      <c r="AF198" t="n">
        <v>0</v>
      </c>
      <c r="AG198" t="n">
        <v>0</v>
      </c>
      <c r="AH198" t="n">
        <v>0.16</v>
      </c>
      <c r="AI198" t="n">
        <v>8.199999999999999</v>
      </c>
      <c r="AJ198" t="n">
        <v>-0.01</v>
      </c>
      <c r="AK198" t="n">
        <v>14.53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48.81</v>
      </c>
      <c r="AV198" t="n">
        <v>0</v>
      </c>
      <c r="AW198" t="n">
        <v>123.18</v>
      </c>
      <c r="AX198" t="inlineStr">
        <is>
          <t>settled</t>
        </is>
      </c>
      <c r="AY198" t="inlineStr">
        <is>
          <t>2026-01-07 05:30:00</t>
        </is>
      </c>
      <c r="AZ198" t="inlineStr">
        <is>
          <t>CITIN26602720826</t>
        </is>
      </c>
      <c r="BA198" t="n">
        <v>0</v>
      </c>
      <c r="BB198" t="inlineStr">
        <is>
          <t>c4654c7ed41d0a73b0537496c0f0ec78a9e4d2f736de676b2f3bb472d85254af</t>
        </is>
      </c>
    </row>
    <row r="199">
      <c r="A199" t="inlineStr">
        <is>
          <t>309</t>
        </is>
      </c>
      <c r="B199" t="inlineStr">
        <is>
          <t>7658117187</t>
        </is>
      </c>
      <c r="C199" t="inlineStr">
        <is>
          <t>2026-01-04 23:02:07</t>
        </is>
      </c>
      <c r="D199" t="inlineStr">
        <is>
          <t>1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30% off upto ₹75 (2025-06-25 - 2031-01-01)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355</v>
      </c>
      <c r="P199" t="n">
        <v>3.5</v>
      </c>
      <c r="Q199" t="n">
        <v>0</v>
      </c>
      <c r="R199" t="n">
        <v>75</v>
      </c>
      <c r="S199" t="n">
        <v>0</v>
      </c>
      <c r="T199" t="n">
        <v>0</v>
      </c>
      <c r="U199" t="n">
        <v>0</v>
      </c>
      <c r="V199" t="n">
        <v>14.18</v>
      </c>
      <c r="W199" t="n">
        <v>297.68</v>
      </c>
      <c r="X199" t="n">
        <v>283.5</v>
      </c>
      <c r="Y199" t="n">
        <v>19</v>
      </c>
      <c r="Z199" t="n">
        <v>53.86</v>
      </c>
      <c r="AA199" t="n">
        <v>5.48</v>
      </c>
      <c r="AB199" t="n">
        <v>59.34</v>
      </c>
      <c r="AC199" t="n">
        <v>10.68</v>
      </c>
      <c r="AD199" t="n">
        <v>0</v>
      </c>
      <c r="AE199" t="n">
        <v>283.5</v>
      </c>
      <c r="AF199" t="n">
        <v>0</v>
      </c>
      <c r="AG199" t="n">
        <v>0</v>
      </c>
      <c r="AH199" t="n">
        <v>0.28</v>
      </c>
      <c r="AI199" t="n">
        <v>14.18</v>
      </c>
      <c r="AJ199" t="n">
        <v>0</v>
      </c>
      <c r="AK199" t="n">
        <v>25.14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84.48</v>
      </c>
      <c r="AV199" t="n">
        <v>0</v>
      </c>
      <c r="AW199" t="n">
        <v>213.2</v>
      </c>
      <c r="AX199" t="inlineStr">
        <is>
          <t>settled</t>
        </is>
      </c>
      <c r="AY199" t="inlineStr">
        <is>
          <t>2026-01-07 05:30:00</t>
        </is>
      </c>
      <c r="AZ199" t="inlineStr">
        <is>
          <t>CITIN26602720826</t>
        </is>
      </c>
      <c r="BA199" t="n">
        <v>0</v>
      </c>
      <c r="BB199" t="inlineStr">
        <is>
          <t>df4dec4077a226b1dd7b92df9c67f5a60ca21c19002a2dfdeb6afb9d1ed3a601</t>
        </is>
      </c>
    </row>
    <row r="200">
      <c r="A200" t="inlineStr">
        <is>
          <t>310</t>
        </is>
      </c>
      <c r="B200" t="inlineStr">
        <is>
          <t>7655270732</t>
        </is>
      </c>
      <c r="C200" t="inlineStr">
        <is>
          <t>2026-01-04 23:10:27</t>
        </is>
      </c>
      <c r="D200" t="inlineStr">
        <is>
          <t>1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NA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229</v>
      </c>
      <c r="P200" t="n">
        <v>3.5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11.63</v>
      </c>
      <c r="W200" t="n">
        <v>244.13</v>
      </c>
      <c r="X200" t="n">
        <v>232.5</v>
      </c>
      <c r="Y200" t="n">
        <v>19</v>
      </c>
      <c r="Z200" t="n">
        <v>44.18</v>
      </c>
      <c r="AA200" t="n">
        <v>4.49</v>
      </c>
      <c r="AB200" t="n">
        <v>48.67</v>
      </c>
      <c r="AC200" t="n">
        <v>8.76</v>
      </c>
      <c r="AD200" t="n">
        <v>0</v>
      </c>
      <c r="AE200" t="n">
        <v>232.5</v>
      </c>
      <c r="AF200" t="n">
        <v>0</v>
      </c>
      <c r="AG200" t="n">
        <v>0</v>
      </c>
      <c r="AH200" t="n">
        <v>0.23</v>
      </c>
      <c r="AI200" t="n">
        <v>11.63</v>
      </c>
      <c r="AJ200" t="n">
        <v>0</v>
      </c>
      <c r="AK200" t="n">
        <v>20.62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69.29000000000001</v>
      </c>
      <c r="AV200" t="n">
        <v>0</v>
      </c>
      <c r="AW200" t="n">
        <v>174.84</v>
      </c>
      <c r="AX200" t="inlineStr">
        <is>
          <t>settled</t>
        </is>
      </c>
      <c r="AY200" t="inlineStr">
        <is>
          <t>2026-01-07 05:30:00</t>
        </is>
      </c>
      <c r="AZ200" t="inlineStr">
        <is>
          <t>CITIN26602720826</t>
        </is>
      </c>
      <c r="BA200" t="n">
        <v>0</v>
      </c>
      <c r="BB200" t="inlineStr">
        <is>
          <t>7b0c09711ad694683fb283dc70528cd512994ca1031203d23aa8526dd94ef2f4</t>
        </is>
      </c>
    </row>
    <row r="201">
      <c r="A201" t="inlineStr">
        <is>
          <t>311</t>
        </is>
      </c>
      <c r="B201" t="inlineStr">
        <is>
          <t>7654486597</t>
        </is>
      </c>
      <c r="C201" t="inlineStr">
        <is>
          <t>2026-01-04 23:27:34</t>
        </is>
      </c>
      <c r="D201" t="inlineStr">
        <is>
          <t>1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229</v>
      </c>
      <c r="P201" t="n">
        <v>3.5</v>
      </c>
      <c r="Q201" t="n">
        <v>0</v>
      </c>
      <c r="R201" t="n">
        <v>68.7</v>
      </c>
      <c r="S201" t="n">
        <v>0</v>
      </c>
      <c r="T201" t="n">
        <v>0</v>
      </c>
      <c r="U201" t="n">
        <v>0</v>
      </c>
      <c r="V201" t="n">
        <v>8.19</v>
      </c>
      <c r="W201" t="n">
        <v>171.99</v>
      </c>
      <c r="X201" t="n">
        <v>163.8</v>
      </c>
      <c r="Y201" t="n">
        <v>19</v>
      </c>
      <c r="Z201" t="n">
        <v>31.12</v>
      </c>
      <c r="AA201" t="n">
        <v>3.16</v>
      </c>
      <c r="AB201" t="n">
        <v>34.28</v>
      </c>
      <c r="AC201" t="n">
        <v>6.17</v>
      </c>
      <c r="AD201" t="n">
        <v>0</v>
      </c>
      <c r="AE201" t="n">
        <v>163.8</v>
      </c>
      <c r="AF201" t="n">
        <v>0</v>
      </c>
      <c r="AG201" t="n">
        <v>0</v>
      </c>
      <c r="AH201" t="n">
        <v>0.16</v>
      </c>
      <c r="AI201" t="n">
        <v>8.199999999999999</v>
      </c>
      <c r="AJ201" t="n">
        <v>-0.01</v>
      </c>
      <c r="AK201" t="n">
        <v>14.53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48.81</v>
      </c>
      <c r="AV201" t="n">
        <v>0</v>
      </c>
      <c r="AW201" t="n">
        <v>123.18</v>
      </c>
      <c r="AX201" t="inlineStr">
        <is>
          <t>settled</t>
        </is>
      </c>
      <c r="AY201" t="inlineStr">
        <is>
          <t>2026-01-07 05:30:00</t>
        </is>
      </c>
      <c r="AZ201" t="inlineStr">
        <is>
          <t>CITIN26602720826</t>
        </is>
      </c>
      <c r="BA201" t="n">
        <v>0</v>
      </c>
      <c r="BB201" t="inlineStr">
        <is>
          <t>b9a618ec20a51eb66aa2da79b2ffa9af7fb5fd4fd3e999ffea40f34bfe2d107c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33001818</t>
        </is>
      </c>
      <c r="E13" t="inlineStr">
        <is>
          <t>02 January 26 - 04 January 26</t>
        </is>
      </c>
      <c r="F13" t="inlineStr">
        <is>
          <t>settled</t>
        </is>
      </c>
      <c r="G13" t="n">
        <v>4065.33</v>
      </c>
      <c r="H13" t="n">
        <v>4065.33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32733983</t>
        </is>
      </c>
      <c r="E14" t="inlineStr">
        <is>
          <t>02 January 26 - 02 January 26</t>
        </is>
      </c>
      <c r="F14" t="inlineStr">
        <is>
          <t>settled</t>
        </is>
      </c>
      <c r="G14" t="n">
        <v>4537.03</v>
      </c>
      <c r="H14" t="n">
        <v>4537.03</v>
      </c>
      <c r="I14" t="n">
        <v>0</v>
      </c>
    </row>
    <row r="15">
      <c r="B15" t="inlineStr">
        <is>
          <t>Total Ads &amp; miscellaneous services</t>
        </is>
      </c>
      <c r="G15" t="n">
        <v>8602.360000000001</v>
      </c>
      <c r="H15" t="n">
        <v>8602.360000000001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Hyperpure</t>
        </is>
      </c>
      <c r="C19" t="inlineStr">
        <is>
          <t>18557902</t>
        </is>
      </c>
      <c r="D19" t="inlineStr">
        <is>
          <t>22408890</t>
        </is>
      </c>
      <c r="E19" t="inlineStr">
        <is>
          <t>29 December 25 - 29 December 25</t>
        </is>
      </c>
      <c r="F19" t="inlineStr">
        <is>
          <t>settled</t>
        </is>
      </c>
      <c r="G19" t="n">
        <v>33494.44</v>
      </c>
      <c r="H19" t="n">
        <v>33494.44</v>
      </c>
      <c r="I19" t="n">
        <v>0</v>
      </c>
    </row>
    <row r="20">
      <c r="B20" t="inlineStr">
        <is>
          <t>Total Hyperpure</t>
        </is>
      </c>
      <c r="G20" t="n">
        <v>33494.44</v>
      </c>
      <c r="H20" t="n">
        <v>33494.44</v>
      </c>
      <c r="I20" t="n">
        <v>0</v>
      </c>
    </row>
    <row r="21"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B22" t="inlineStr">
        <is>
          <t>C) Other deductions</t>
        </is>
      </c>
    </row>
    <row r="23">
      <c r="B23" t="inlineStr">
        <is>
          <t>D) Adjustments from previous weeks</t>
        </is>
      </c>
    </row>
    <row r="24">
      <c r="B24" t="inlineStr">
        <is>
          <t>Total Deductions (A) + (B) + (C)</t>
        </is>
      </c>
      <c r="C24" t="inlineStr"/>
      <c r="D24" t="inlineStr"/>
      <c r="E24" t="inlineStr"/>
      <c r="F24" t="inlineStr"/>
      <c r="G24" t="n">
        <v>42096.8</v>
      </c>
      <c r="H24" t="n">
        <v>42096.8</v>
      </c>
      <c r="I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331"/>
  <sheetViews>
    <sheetView workbookViewId="0">
      <selection activeCell="A1" sqref="A1"/>
    </sheetView>
  </sheetViews>
  <sheetFormatPr baseColWidth="8" defaultRowHeight="15"/>
  <sheetData>
    <row r="1">
      <c r="O1" t="n">
        <v>448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448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117.9</v>
      </c>
      <c r="AW1" t="n">
        <v>117.9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95656</v>
      </c>
      <c r="P2" t="n">
        <v>1130.5</v>
      </c>
      <c r="Q2" t="n">
        <v>0</v>
      </c>
      <c r="R2" t="n">
        <v>19066.80000000006</v>
      </c>
      <c r="S2" t="n">
        <v>0</v>
      </c>
      <c r="T2" t="n">
        <v>0</v>
      </c>
      <c r="U2" t="n">
        <v>76.65000000000001</v>
      </c>
      <c r="V2" t="n">
        <v>3882.850000000009</v>
      </c>
      <c r="W2" t="n">
        <v>81525.9000000001</v>
      </c>
      <c r="X2" t="n">
        <v>77643.05000000025</v>
      </c>
      <c r="Y2" t="n">
        <v>6211.34</v>
      </c>
      <c r="Z2" t="n">
        <v>14830.92000000005</v>
      </c>
      <c r="AA2" t="n">
        <v>1499.500000000002</v>
      </c>
      <c r="AB2" t="n">
        <v>16330.42000000002</v>
      </c>
      <c r="AC2" t="n">
        <v>2939.410000000005</v>
      </c>
      <c r="AD2" t="n">
        <v>0</v>
      </c>
      <c r="AE2" t="n">
        <v>77643.05000000025</v>
      </c>
      <c r="AF2" t="n">
        <v>0</v>
      </c>
      <c r="AG2" t="n">
        <v>0</v>
      </c>
      <c r="AH2" t="n">
        <v>77.32999999999967</v>
      </c>
      <c r="AI2" t="n">
        <v>3884.689999999991</v>
      </c>
      <c r="AJ2" t="n">
        <v>-1.840000000000001</v>
      </c>
      <c r="AK2" t="n">
        <v>6901.429999999998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23231.85000000004</v>
      </c>
      <c r="AV2" t="n">
        <v>0</v>
      </c>
      <c r="AW2" t="n">
        <v>58294.05000000002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112874.08</v>
      </c>
      <c r="P3" t="n">
        <v>1333.99</v>
      </c>
      <c r="Q3" t="n">
        <v>0</v>
      </c>
      <c r="R3" t="n">
        <v>22498.82400000007</v>
      </c>
      <c r="S3" t="n">
        <v>0</v>
      </c>
      <c r="T3" t="n">
        <v>0</v>
      </c>
      <c r="U3" t="n">
        <v>90.447</v>
      </c>
      <c r="V3" t="n">
        <v>4581.76300000001</v>
      </c>
      <c r="W3" t="n">
        <v>96200.56200000011</v>
      </c>
      <c r="X3" t="n">
        <v>91618.79900000029</v>
      </c>
      <c r="Y3" t="n">
        <v>7329.3812</v>
      </c>
      <c r="Z3" t="n">
        <v>17500.48560000006</v>
      </c>
      <c r="AA3" t="n">
        <v>1769.410000000002</v>
      </c>
      <c r="AB3" t="n">
        <v>19269.89560000003</v>
      </c>
      <c r="AC3" t="n">
        <v>3468.503800000005</v>
      </c>
      <c r="AD3" t="n">
        <v>0</v>
      </c>
      <c r="AE3" t="n">
        <v>91618.79900000029</v>
      </c>
      <c r="AF3" t="n">
        <v>0</v>
      </c>
      <c r="AG3" t="n">
        <v>0</v>
      </c>
      <c r="AH3" t="n">
        <v>91.24939999999961</v>
      </c>
      <c r="AI3" t="n">
        <v>4583.934199999989</v>
      </c>
      <c r="AJ3" t="n">
        <v>-2.171200000000002</v>
      </c>
      <c r="AK3" t="n">
        <v>8143.687399999998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27413.58300000005</v>
      </c>
      <c r="AV3" t="n">
        <v>0</v>
      </c>
      <c r="AW3" t="n">
        <v>68786.97900000002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96104</v>
      </c>
      <c r="P4" t="n">
        <v>1130.5</v>
      </c>
      <c r="Q4" t="n">
        <v>0</v>
      </c>
      <c r="R4" t="n">
        <v>19066.80000000006</v>
      </c>
      <c r="S4" t="n">
        <v>0</v>
      </c>
      <c r="T4" t="n">
        <v>0</v>
      </c>
      <c r="U4" t="n">
        <v>76.65000000000001</v>
      </c>
      <c r="V4" t="n">
        <v>3882.850000000009</v>
      </c>
      <c r="W4" t="n">
        <v>81973.9000000001</v>
      </c>
      <c r="X4" t="n">
        <v>77643.05000000025</v>
      </c>
      <c r="Y4" t="n">
        <v>6211.34</v>
      </c>
      <c r="Z4" t="n">
        <v>14830.92000000005</v>
      </c>
      <c r="AA4" t="n">
        <v>1499.500000000002</v>
      </c>
      <c r="AB4" t="n">
        <v>16330.42000000002</v>
      </c>
      <c r="AC4" t="n">
        <v>2939.410000000005</v>
      </c>
      <c r="AD4" t="n">
        <v>0</v>
      </c>
      <c r="AE4" t="n">
        <v>77643.05000000025</v>
      </c>
      <c r="AF4" t="n">
        <v>0</v>
      </c>
      <c r="AG4" t="n">
        <v>0</v>
      </c>
      <c r="AH4" t="n">
        <v>77.32999999999967</v>
      </c>
      <c r="AI4" t="n">
        <v>3884.689999999991</v>
      </c>
      <c r="AJ4" t="n">
        <v>-1.840000000000001</v>
      </c>
      <c r="AK4" t="n">
        <v>6901.429999999998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23231.85000000004</v>
      </c>
      <c r="AV4" t="n">
        <v>117.9</v>
      </c>
      <c r="AW4" t="n">
        <v>58411.95000000003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</t>
        </is>
      </c>
      <c r="B6" t="inlineStr">
        <is>
          <t>7657603214</t>
        </is>
      </c>
      <c r="C6" t="inlineStr">
        <is>
          <t>2026-01-05 00:19:37</t>
        </is>
      </c>
      <c r="D6" t="inlineStr">
        <is>
          <t>2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219</v>
      </c>
      <c r="P6" t="n">
        <v>3.5</v>
      </c>
      <c r="Q6" t="n">
        <v>0</v>
      </c>
      <c r="R6" t="n">
        <v>65.7</v>
      </c>
      <c r="S6" t="n">
        <v>0</v>
      </c>
      <c r="T6" t="n">
        <v>0</v>
      </c>
      <c r="U6" t="n">
        <v>0</v>
      </c>
      <c r="V6" t="n">
        <v>7.84</v>
      </c>
      <c r="W6" t="n">
        <v>164.64</v>
      </c>
      <c r="X6" t="n">
        <v>156.8</v>
      </c>
      <c r="Y6" t="n">
        <v>19</v>
      </c>
      <c r="Z6" t="n">
        <v>29.79</v>
      </c>
      <c r="AA6" t="n">
        <v>3.03</v>
      </c>
      <c r="AB6" t="n">
        <v>32.82</v>
      </c>
      <c r="AC6" t="n">
        <v>5.91</v>
      </c>
      <c r="AD6" t="n">
        <v>0</v>
      </c>
      <c r="AE6" t="n">
        <v>156.8</v>
      </c>
      <c r="AF6" t="n">
        <v>0</v>
      </c>
      <c r="AG6" t="n">
        <v>0</v>
      </c>
      <c r="AH6" t="n">
        <v>0.16</v>
      </c>
      <c r="AI6" t="n">
        <v>7.85</v>
      </c>
      <c r="AJ6" t="n">
        <v>-0.01</v>
      </c>
      <c r="AK6" t="n">
        <v>13.92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46.74</v>
      </c>
      <c r="AV6" t="n">
        <v>0</v>
      </c>
      <c r="AW6" t="n">
        <v>117.9</v>
      </c>
      <c r="AX6" t="inlineStr">
        <is>
          <t>settled</t>
        </is>
      </c>
      <c r="AY6" t="inlineStr">
        <is>
          <t>2026-01-14 05:30:00</t>
        </is>
      </c>
      <c r="AZ6" t="inlineStr">
        <is>
          <t>CITIN26605478364</t>
        </is>
      </c>
      <c r="BA6" t="n">
        <v>0</v>
      </c>
      <c r="BB6" t="inlineStr">
        <is>
          <t>01eda247c91ac4cf8f27829406308b863d03f3bbf700241275c2cfc635e5f8a6</t>
        </is>
      </c>
    </row>
    <row r="7">
      <c r="A7" t="inlineStr">
        <is>
          <t>2</t>
        </is>
      </c>
      <c r="B7" t="inlineStr">
        <is>
          <t>7657619062</t>
        </is>
      </c>
      <c r="C7" t="inlineStr">
        <is>
          <t>2026-01-05 00:40:12</t>
        </is>
      </c>
      <c r="D7" t="inlineStr">
        <is>
          <t>2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30% off upto ₹75 (2025-06-25 - 2031-01-01)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219</v>
      </c>
      <c r="P7" t="n">
        <v>3.5</v>
      </c>
      <c r="Q7" t="n">
        <v>0</v>
      </c>
      <c r="R7" t="n">
        <v>65.7</v>
      </c>
      <c r="S7" t="n">
        <v>0</v>
      </c>
      <c r="T7" t="n">
        <v>0</v>
      </c>
      <c r="U7" t="n">
        <v>0</v>
      </c>
      <c r="V7" t="n">
        <v>7.84</v>
      </c>
      <c r="W7" t="n">
        <v>164.64</v>
      </c>
      <c r="X7" t="n">
        <v>156.8</v>
      </c>
      <c r="Y7" t="n">
        <v>19</v>
      </c>
      <c r="Z7" t="n">
        <v>29.79</v>
      </c>
      <c r="AA7" t="n">
        <v>3.03</v>
      </c>
      <c r="AB7" t="n">
        <v>32.82</v>
      </c>
      <c r="AC7" t="n">
        <v>5.91</v>
      </c>
      <c r="AD7" t="n">
        <v>0</v>
      </c>
      <c r="AE7" t="n">
        <v>156.8</v>
      </c>
      <c r="AF7" t="n">
        <v>0</v>
      </c>
      <c r="AG7" t="n">
        <v>0</v>
      </c>
      <c r="AH7" t="n">
        <v>0.16</v>
      </c>
      <c r="AI7" t="n">
        <v>7.85</v>
      </c>
      <c r="AJ7" t="n">
        <v>-0.01</v>
      </c>
      <c r="AK7" t="n">
        <v>13.92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46.74</v>
      </c>
      <c r="AV7" t="n">
        <v>0</v>
      </c>
      <c r="AW7" t="n">
        <v>117.9</v>
      </c>
      <c r="AX7" t="inlineStr">
        <is>
          <t>settled</t>
        </is>
      </c>
      <c r="AY7" t="inlineStr">
        <is>
          <t>2026-01-14 05:30:00</t>
        </is>
      </c>
      <c r="AZ7" t="inlineStr">
        <is>
          <t>CITIN26605478364</t>
        </is>
      </c>
      <c r="BA7" t="n">
        <v>0</v>
      </c>
      <c r="BB7" t="inlineStr">
        <is>
          <t>68743d4a0441ee782d9aa00a3be3b5a92fecae5633bd0cd7a2fb851b43fce4ee</t>
        </is>
      </c>
    </row>
    <row r="8">
      <c r="A8" t="inlineStr">
        <is>
          <t>3</t>
        </is>
      </c>
      <c r="B8" t="inlineStr">
        <is>
          <t>7657561046</t>
        </is>
      </c>
      <c r="C8" t="inlineStr">
        <is>
          <t>2026-01-05 01:15:48</t>
        </is>
      </c>
      <c r="D8" t="inlineStr">
        <is>
          <t>2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30% off upto ₹75 (2025-06-25 - 2031-01-01)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229</v>
      </c>
      <c r="P8" t="n">
        <v>3.5</v>
      </c>
      <c r="Q8" t="n">
        <v>0</v>
      </c>
      <c r="R8" t="n">
        <v>68.7</v>
      </c>
      <c r="S8" t="n">
        <v>0</v>
      </c>
      <c r="T8" t="n">
        <v>0</v>
      </c>
      <c r="U8" t="n">
        <v>0</v>
      </c>
      <c r="V8" t="n">
        <v>8.19</v>
      </c>
      <c r="W8" t="n">
        <v>171.99</v>
      </c>
      <c r="X8" t="n">
        <v>163.8</v>
      </c>
      <c r="Y8" t="n">
        <v>19</v>
      </c>
      <c r="Z8" t="n">
        <v>31.12</v>
      </c>
      <c r="AA8" t="n">
        <v>3.16</v>
      </c>
      <c r="AB8" t="n">
        <v>34.28</v>
      </c>
      <c r="AC8" t="n">
        <v>6.17</v>
      </c>
      <c r="AD8" t="n">
        <v>0</v>
      </c>
      <c r="AE8" t="n">
        <v>163.8</v>
      </c>
      <c r="AF8" t="n">
        <v>0</v>
      </c>
      <c r="AG8" t="n">
        <v>0</v>
      </c>
      <c r="AH8" t="n">
        <v>0.16</v>
      </c>
      <c r="AI8" t="n">
        <v>8.199999999999999</v>
      </c>
      <c r="AJ8" t="n">
        <v>-0.01</v>
      </c>
      <c r="AK8" t="n">
        <v>14.53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48.81</v>
      </c>
      <c r="AV8" t="n">
        <v>0</v>
      </c>
      <c r="AW8" t="n">
        <v>123.18</v>
      </c>
      <c r="AX8" t="inlineStr">
        <is>
          <t>settled</t>
        </is>
      </c>
      <c r="AY8" t="inlineStr">
        <is>
          <t>2026-01-14 05:30:00</t>
        </is>
      </c>
      <c r="AZ8" t="inlineStr">
        <is>
          <t>CITIN26605478364</t>
        </is>
      </c>
      <c r="BA8" t="n">
        <v>0</v>
      </c>
      <c r="BB8" t="inlineStr">
        <is>
          <t>0524ed78c59e8e395a74c3ad8d19e605d3bc31b30196f1ccfb68526861a6b8d0</t>
        </is>
      </c>
    </row>
    <row r="9">
      <c r="A9" t="inlineStr">
        <is>
          <t>4</t>
        </is>
      </c>
      <c r="B9" t="inlineStr">
        <is>
          <t>7655084808</t>
        </is>
      </c>
      <c r="C9" t="inlineStr">
        <is>
          <t>2026-01-05 01:33:42</t>
        </is>
      </c>
      <c r="D9" t="inlineStr">
        <is>
          <t>2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448</v>
      </c>
      <c r="P9" t="n">
        <v>3.5</v>
      </c>
      <c r="Q9" t="n">
        <v>0</v>
      </c>
      <c r="R9" t="n">
        <v>75</v>
      </c>
      <c r="S9" t="n">
        <v>0</v>
      </c>
      <c r="T9" t="n">
        <v>0</v>
      </c>
      <c r="U9" t="n">
        <v>0</v>
      </c>
      <c r="V9" t="n">
        <v>18.83</v>
      </c>
      <c r="W9" t="n">
        <v>395.33</v>
      </c>
      <c r="X9" t="n">
        <v>376.5</v>
      </c>
      <c r="Y9" t="n">
        <v>19</v>
      </c>
      <c r="Z9" t="n">
        <v>71.54000000000001</v>
      </c>
      <c r="AA9" t="n">
        <v>7.27</v>
      </c>
      <c r="AB9" t="n">
        <v>78.81</v>
      </c>
      <c r="AC9" t="n">
        <v>14.19</v>
      </c>
      <c r="AD9" t="n">
        <v>0</v>
      </c>
      <c r="AE9" t="n">
        <v>376.5</v>
      </c>
      <c r="AF9" t="n">
        <v>0</v>
      </c>
      <c r="AG9" t="n">
        <v>0</v>
      </c>
      <c r="AH9" t="n">
        <v>0.38</v>
      </c>
      <c r="AI9" t="n">
        <v>18.83</v>
      </c>
      <c r="AJ9" t="n">
        <v>0</v>
      </c>
      <c r="AK9" t="n">
        <v>33.4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112.21</v>
      </c>
      <c r="AV9" t="n">
        <v>0</v>
      </c>
      <c r="AW9" t="n">
        <v>283.12</v>
      </c>
      <c r="AX9" t="inlineStr">
        <is>
          <t>settled</t>
        </is>
      </c>
      <c r="AY9" t="inlineStr">
        <is>
          <t>2026-01-14 05:30:00</t>
        </is>
      </c>
      <c r="AZ9" t="inlineStr">
        <is>
          <t>CITIN26605478364</t>
        </is>
      </c>
      <c r="BA9" t="n">
        <v>0</v>
      </c>
      <c r="BB9" t="inlineStr">
        <is>
          <t>f0f17bcf6ca603facafc47c0dfd328fbc5a6d4a33754dd8acd09a6a25991f377</t>
        </is>
      </c>
    </row>
    <row r="10">
      <c r="A10" t="inlineStr">
        <is>
          <t>5</t>
        </is>
      </c>
      <c r="B10" t="inlineStr">
        <is>
          <t>7654698024</t>
        </is>
      </c>
      <c r="C10" t="inlineStr">
        <is>
          <t>2026-01-05 01:38:56</t>
        </is>
      </c>
      <c r="D10" t="inlineStr">
        <is>
          <t>2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407</v>
      </c>
      <c r="P10" t="n">
        <v>3.5</v>
      </c>
      <c r="Q10" t="n">
        <v>0</v>
      </c>
      <c r="R10" t="n">
        <v>75</v>
      </c>
      <c r="S10" t="n">
        <v>0</v>
      </c>
      <c r="T10" t="n">
        <v>0</v>
      </c>
      <c r="U10" t="n">
        <v>0</v>
      </c>
      <c r="V10" t="n">
        <v>16.78</v>
      </c>
      <c r="W10" t="n">
        <v>352.28</v>
      </c>
      <c r="X10" t="n">
        <v>335.5</v>
      </c>
      <c r="Y10" t="n">
        <v>19</v>
      </c>
      <c r="Z10" t="n">
        <v>63.74</v>
      </c>
      <c r="AA10" t="n">
        <v>6.48</v>
      </c>
      <c r="AB10" t="n">
        <v>70.22</v>
      </c>
      <c r="AC10" t="n">
        <v>12.64</v>
      </c>
      <c r="AD10" t="n">
        <v>0</v>
      </c>
      <c r="AE10" t="n">
        <v>335.5</v>
      </c>
      <c r="AF10" t="n">
        <v>0</v>
      </c>
      <c r="AG10" t="n">
        <v>0</v>
      </c>
      <c r="AH10" t="n">
        <v>0.34</v>
      </c>
      <c r="AI10" t="n">
        <v>16.78</v>
      </c>
      <c r="AJ10" t="n">
        <v>0</v>
      </c>
      <c r="AK10" t="n">
        <v>29.76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99.98</v>
      </c>
      <c r="AV10" t="n">
        <v>0</v>
      </c>
      <c r="AW10" t="n">
        <v>252.3</v>
      </c>
      <c r="AX10" t="inlineStr">
        <is>
          <t>settled</t>
        </is>
      </c>
      <c r="AY10" t="inlineStr">
        <is>
          <t>2026-01-14 05:30:00</t>
        </is>
      </c>
      <c r="AZ10" t="inlineStr">
        <is>
          <t>CITIN26605478364</t>
        </is>
      </c>
      <c r="BA10" t="n">
        <v>0</v>
      </c>
      <c r="BB10" t="inlineStr">
        <is>
          <t>dbd80cefdeb5f2da5f059128189ab8f47285a7cfa808eb5a16a83f163541aeed</t>
        </is>
      </c>
    </row>
    <row r="11">
      <c r="A11" t="inlineStr">
        <is>
          <t>6</t>
        </is>
      </c>
      <c r="B11" t="inlineStr">
        <is>
          <t>7658019089</t>
        </is>
      </c>
      <c r="C11" t="inlineStr">
        <is>
          <t>2026-01-05 01:55:56</t>
        </is>
      </c>
      <c r="D11" t="inlineStr">
        <is>
          <t>2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30% off upto ₹75 (2025-06-25 - 2031-01-01)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219</v>
      </c>
      <c r="P11" t="n">
        <v>3.5</v>
      </c>
      <c r="Q11" t="n">
        <v>0</v>
      </c>
      <c r="R11" t="n">
        <v>65.7</v>
      </c>
      <c r="S11" t="n">
        <v>0</v>
      </c>
      <c r="T11" t="n">
        <v>0</v>
      </c>
      <c r="U11" t="n">
        <v>0</v>
      </c>
      <c r="V11" t="n">
        <v>7.84</v>
      </c>
      <c r="W11" t="n">
        <v>164.64</v>
      </c>
      <c r="X11" t="n">
        <v>156.8</v>
      </c>
      <c r="Y11" t="n">
        <v>19</v>
      </c>
      <c r="Z11" t="n">
        <v>29.79</v>
      </c>
      <c r="AA11" t="n">
        <v>3.03</v>
      </c>
      <c r="AB11" t="n">
        <v>32.82</v>
      </c>
      <c r="AC11" t="n">
        <v>5.91</v>
      </c>
      <c r="AD11" t="n">
        <v>0</v>
      </c>
      <c r="AE11" t="n">
        <v>156.8</v>
      </c>
      <c r="AF11" t="n">
        <v>0</v>
      </c>
      <c r="AG11" t="n">
        <v>0</v>
      </c>
      <c r="AH11" t="n">
        <v>0.16</v>
      </c>
      <c r="AI11" t="n">
        <v>7.85</v>
      </c>
      <c r="AJ11" t="n">
        <v>-0.01</v>
      </c>
      <c r="AK11" t="n">
        <v>13.92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46.74</v>
      </c>
      <c r="AV11" t="n">
        <v>0</v>
      </c>
      <c r="AW11" t="n">
        <v>117.9</v>
      </c>
      <c r="AX11" t="inlineStr">
        <is>
          <t>settled</t>
        </is>
      </c>
      <c r="AY11" t="inlineStr">
        <is>
          <t>2026-01-14 05:30:00</t>
        </is>
      </c>
      <c r="AZ11" t="inlineStr">
        <is>
          <t>CITIN26605478364</t>
        </is>
      </c>
      <c r="BA11" t="n">
        <v>0</v>
      </c>
      <c r="BB11" t="inlineStr">
        <is>
          <t>3958f504484044e07c5b9b184ef6fac4fc52a41c65e7355772eb73ff02d58fba</t>
        </is>
      </c>
    </row>
    <row r="12">
      <c r="A12" t="inlineStr">
        <is>
          <t>7</t>
        </is>
      </c>
      <c r="B12" t="inlineStr">
        <is>
          <t>7655438186</t>
        </is>
      </c>
      <c r="C12" t="inlineStr">
        <is>
          <t>2026-01-05 02:04:45</t>
        </is>
      </c>
      <c r="D12" t="inlineStr">
        <is>
          <t>2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229</v>
      </c>
      <c r="P12" t="n">
        <v>3.5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11.63</v>
      </c>
      <c r="W12" t="n">
        <v>244.13</v>
      </c>
      <c r="X12" t="n">
        <v>232.5</v>
      </c>
      <c r="Y12" t="n">
        <v>19</v>
      </c>
      <c r="Z12" t="n">
        <v>44.18</v>
      </c>
      <c r="AA12" t="n">
        <v>4.49</v>
      </c>
      <c r="AB12" t="n">
        <v>48.67</v>
      </c>
      <c r="AC12" t="n">
        <v>8.76</v>
      </c>
      <c r="AD12" t="n">
        <v>0</v>
      </c>
      <c r="AE12" t="n">
        <v>232.5</v>
      </c>
      <c r="AF12" t="n">
        <v>0</v>
      </c>
      <c r="AG12" t="n">
        <v>0</v>
      </c>
      <c r="AH12" t="n">
        <v>0.23</v>
      </c>
      <c r="AI12" t="n">
        <v>11.63</v>
      </c>
      <c r="AJ12" t="n">
        <v>0</v>
      </c>
      <c r="AK12" t="n">
        <v>20.62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69.29000000000001</v>
      </c>
      <c r="AV12" t="n">
        <v>0</v>
      </c>
      <c r="AW12" t="n">
        <v>174.84</v>
      </c>
      <c r="AX12" t="inlineStr">
        <is>
          <t>settled</t>
        </is>
      </c>
      <c r="AY12" t="inlineStr">
        <is>
          <t>2026-01-14 05:30:00</t>
        </is>
      </c>
      <c r="AZ12" t="inlineStr">
        <is>
          <t>CITIN26605478364</t>
        </is>
      </c>
      <c r="BA12" t="n">
        <v>0</v>
      </c>
      <c r="BB12" t="inlineStr">
        <is>
          <t>047f9570e5ca0b39ca277e4fe8265b2590f14c34430672b43ffff400d369a324</t>
        </is>
      </c>
    </row>
    <row r="13">
      <c r="A13" t="inlineStr">
        <is>
          <t>8</t>
        </is>
      </c>
      <c r="B13" t="inlineStr">
        <is>
          <t>7650988873</t>
        </is>
      </c>
      <c r="C13" t="inlineStr">
        <is>
          <t>2026-01-05 02:25:14</t>
        </is>
      </c>
      <c r="D13" t="inlineStr">
        <is>
          <t>2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219</v>
      </c>
      <c r="P13" t="n">
        <v>3.5</v>
      </c>
      <c r="Q13" t="n">
        <v>0</v>
      </c>
      <c r="R13" t="n">
        <v>65.7</v>
      </c>
      <c r="S13" t="n">
        <v>0</v>
      </c>
      <c r="T13" t="n">
        <v>0</v>
      </c>
      <c r="U13" t="n">
        <v>0</v>
      </c>
      <c r="V13" t="n">
        <v>7.84</v>
      </c>
      <c r="W13" t="n">
        <v>164.64</v>
      </c>
      <c r="X13" t="n">
        <v>156.8</v>
      </c>
      <c r="Y13" t="n">
        <v>19</v>
      </c>
      <c r="Z13" t="n">
        <v>29.79</v>
      </c>
      <c r="AA13" t="n">
        <v>3.03</v>
      </c>
      <c r="AB13" t="n">
        <v>32.82</v>
      </c>
      <c r="AC13" t="n">
        <v>5.91</v>
      </c>
      <c r="AD13" t="n">
        <v>0</v>
      </c>
      <c r="AE13" t="n">
        <v>156.8</v>
      </c>
      <c r="AF13" t="n">
        <v>0</v>
      </c>
      <c r="AG13" t="n">
        <v>0</v>
      </c>
      <c r="AH13" t="n">
        <v>0.16</v>
      </c>
      <c r="AI13" t="n">
        <v>7.85</v>
      </c>
      <c r="AJ13" t="n">
        <v>-0.01</v>
      </c>
      <c r="AK13" t="n">
        <v>13.92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46.74</v>
      </c>
      <c r="AV13" t="n">
        <v>0</v>
      </c>
      <c r="AW13" t="n">
        <v>117.9</v>
      </c>
      <c r="AX13" t="inlineStr">
        <is>
          <t>settled</t>
        </is>
      </c>
      <c r="AY13" t="inlineStr">
        <is>
          <t>2026-01-14 05:30:00</t>
        </is>
      </c>
      <c r="AZ13" t="inlineStr">
        <is>
          <t>CITIN26605478364</t>
        </is>
      </c>
      <c r="BA13" t="n">
        <v>0</v>
      </c>
      <c r="BB13" t="inlineStr">
        <is>
          <t>cf4e82bbc041c0b2270c64de5571ce343e8a3ff2d9c5d9737136939f49c59b72</t>
        </is>
      </c>
    </row>
    <row r="14">
      <c r="A14" t="inlineStr">
        <is>
          <t>9</t>
        </is>
      </c>
      <c r="B14" t="inlineStr">
        <is>
          <t>7654388859</t>
        </is>
      </c>
      <c r="C14" t="inlineStr">
        <is>
          <t>2026-01-05 02:27:42</t>
        </is>
      </c>
      <c r="D14" t="inlineStr">
        <is>
          <t>2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2026-01-14 05:30:00</t>
        </is>
      </c>
      <c r="AZ14" t="inlineStr">
        <is>
          <t>CITIN26605478364</t>
        </is>
      </c>
      <c r="BA14" t="n">
        <v>0</v>
      </c>
      <c r="BB14" t="inlineStr">
        <is>
          <t>283295ca7113c41973cf12fa3a4a16efd65bcad191f9a4688318d79ad577295a</t>
        </is>
      </c>
    </row>
    <row r="15">
      <c r="A15" t="inlineStr">
        <is>
          <t>10</t>
        </is>
      </c>
      <c r="B15" t="inlineStr">
        <is>
          <t>7651882840</t>
        </is>
      </c>
      <c r="C15" t="inlineStr">
        <is>
          <t>2026-01-05 03:21:41</t>
        </is>
      </c>
      <c r="D15" t="inlineStr">
        <is>
          <t>2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30% off upto ₹75 (2025-06-25 - 2031-01-01)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268</v>
      </c>
      <c r="P15" t="n">
        <v>3.5</v>
      </c>
      <c r="Q15" t="n">
        <v>0</v>
      </c>
      <c r="R15" t="n">
        <v>75</v>
      </c>
      <c r="S15" t="n">
        <v>0</v>
      </c>
      <c r="T15" t="n">
        <v>0</v>
      </c>
      <c r="U15" t="n">
        <v>0</v>
      </c>
      <c r="V15" t="n">
        <v>9.83</v>
      </c>
      <c r="W15" t="n">
        <v>206.33</v>
      </c>
      <c r="X15" t="n">
        <v>196.5</v>
      </c>
      <c r="Y15" t="n">
        <v>19</v>
      </c>
      <c r="Z15" t="n">
        <v>37.34</v>
      </c>
      <c r="AA15" t="n">
        <v>3.8</v>
      </c>
      <c r="AB15" t="n">
        <v>41.14</v>
      </c>
      <c r="AC15" t="n">
        <v>7.4</v>
      </c>
      <c r="AD15" t="n">
        <v>0</v>
      </c>
      <c r="AE15" t="n">
        <v>196.5</v>
      </c>
      <c r="AF15" t="n">
        <v>0</v>
      </c>
      <c r="AG15" t="n">
        <v>0</v>
      </c>
      <c r="AH15" t="n">
        <v>0.2</v>
      </c>
      <c r="AI15" t="n">
        <v>9.83</v>
      </c>
      <c r="AJ15" t="n">
        <v>0</v>
      </c>
      <c r="AK15" t="n">
        <v>17.43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58.57</v>
      </c>
      <c r="AV15" t="n">
        <v>0</v>
      </c>
      <c r="AW15" t="n">
        <v>147.76</v>
      </c>
      <c r="AX15" t="inlineStr">
        <is>
          <t>settled</t>
        </is>
      </c>
      <c r="AY15" t="inlineStr">
        <is>
          <t>2026-01-14 05:30:00</t>
        </is>
      </c>
      <c r="AZ15" t="inlineStr">
        <is>
          <t>CITIN26605478364</t>
        </is>
      </c>
      <c r="BA15" t="n">
        <v>0</v>
      </c>
      <c r="BB15" t="inlineStr">
        <is>
          <t>471e44d7671e66b504536185091a2e71f7e277da399310243ad4cde959a881c8</t>
        </is>
      </c>
    </row>
    <row r="16">
      <c r="A16" t="inlineStr">
        <is>
          <t>11</t>
        </is>
      </c>
      <c r="B16" t="inlineStr">
        <is>
          <t>7655255352</t>
        </is>
      </c>
      <c r="C16" t="inlineStr">
        <is>
          <t>2026-01-05 03:24:47</t>
        </is>
      </c>
      <c r="D16" t="inlineStr">
        <is>
          <t>2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219</v>
      </c>
      <c r="P16" t="n">
        <v>3.5</v>
      </c>
      <c r="Q16" t="n">
        <v>0</v>
      </c>
      <c r="R16" t="n">
        <v>65.7</v>
      </c>
      <c r="S16" t="n">
        <v>0</v>
      </c>
      <c r="T16" t="n">
        <v>0</v>
      </c>
      <c r="U16" t="n">
        <v>0</v>
      </c>
      <c r="V16" t="n">
        <v>7.84</v>
      </c>
      <c r="W16" t="n">
        <v>164.64</v>
      </c>
      <c r="X16" t="n">
        <v>156.8</v>
      </c>
      <c r="Y16" t="n">
        <v>19</v>
      </c>
      <c r="Z16" t="n">
        <v>29.79</v>
      </c>
      <c r="AA16" t="n">
        <v>3.03</v>
      </c>
      <c r="AB16" t="n">
        <v>32.82</v>
      </c>
      <c r="AC16" t="n">
        <v>5.91</v>
      </c>
      <c r="AD16" t="n">
        <v>0</v>
      </c>
      <c r="AE16" t="n">
        <v>156.8</v>
      </c>
      <c r="AF16" t="n">
        <v>0</v>
      </c>
      <c r="AG16" t="n">
        <v>0</v>
      </c>
      <c r="AH16" t="n">
        <v>0.16</v>
      </c>
      <c r="AI16" t="n">
        <v>7.85</v>
      </c>
      <c r="AJ16" t="n">
        <v>-0.01</v>
      </c>
      <c r="AK16" t="n">
        <v>13.92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46.74</v>
      </c>
      <c r="AV16" t="n">
        <v>0</v>
      </c>
      <c r="AW16" t="n">
        <v>117.9</v>
      </c>
      <c r="AX16" t="inlineStr">
        <is>
          <t>settled</t>
        </is>
      </c>
      <c r="AY16" t="inlineStr">
        <is>
          <t>2026-01-14 05:30:00</t>
        </is>
      </c>
      <c r="AZ16" t="inlineStr">
        <is>
          <t>CITIN26605478364</t>
        </is>
      </c>
      <c r="BA16" t="n">
        <v>0</v>
      </c>
      <c r="BB16" t="inlineStr">
        <is>
          <t>262e921dd159c062df7876d77e41d5cbd90a0b3eddebbbb26b147cf99f9ccbb7</t>
        </is>
      </c>
    </row>
    <row r="17">
      <c r="A17" t="inlineStr">
        <is>
          <t>12</t>
        </is>
      </c>
      <c r="B17" t="inlineStr">
        <is>
          <t>7653935930</t>
        </is>
      </c>
      <c r="C17" t="inlineStr">
        <is>
          <t>2026-01-05 03:44:03</t>
        </is>
      </c>
      <c r="D17" t="inlineStr">
        <is>
          <t>2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229</v>
      </c>
      <c r="P17" t="n">
        <v>3.5</v>
      </c>
      <c r="Q17" t="n">
        <v>0</v>
      </c>
      <c r="R17" t="n">
        <v>68.7</v>
      </c>
      <c r="S17" t="n">
        <v>0</v>
      </c>
      <c r="T17" t="n">
        <v>0</v>
      </c>
      <c r="U17" t="n">
        <v>0</v>
      </c>
      <c r="V17" t="n">
        <v>8.19</v>
      </c>
      <c r="W17" t="n">
        <v>171.99</v>
      </c>
      <c r="X17" t="n">
        <v>163.8</v>
      </c>
      <c r="Y17" t="n">
        <v>19</v>
      </c>
      <c r="Z17" t="n">
        <v>31.12</v>
      </c>
      <c r="AA17" t="n">
        <v>3.16</v>
      </c>
      <c r="AB17" t="n">
        <v>34.28</v>
      </c>
      <c r="AC17" t="n">
        <v>6.17</v>
      </c>
      <c r="AD17" t="n">
        <v>0</v>
      </c>
      <c r="AE17" t="n">
        <v>163.8</v>
      </c>
      <c r="AF17" t="n">
        <v>0</v>
      </c>
      <c r="AG17" t="n">
        <v>0</v>
      </c>
      <c r="AH17" t="n">
        <v>0.16</v>
      </c>
      <c r="AI17" t="n">
        <v>8.199999999999999</v>
      </c>
      <c r="AJ17" t="n">
        <v>-0.01</v>
      </c>
      <c r="AK17" t="n">
        <v>14.53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48.81</v>
      </c>
      <c r="AV17" t="n">
        <v>0</v>
      </c>
      <c r="AW17" t="n">
        <v>123.18</v>
      </c>
      <c r="AX17" t="inlineStr">
        <is>
          <t>settled</t>
        </is>
      </c>
      <c r="AY17" t="inlineStr">
        <is>
          <t>2026-01-14 05:30:00</t>
        </is>
      </c>
      <c r="AZ17" t="inlineStr">
        <is>
          <t>CITIN26605478364</t>
        </is>
      </c>
      <c r="BA17" t="n">
        <v>0</v>
      </c>
      <c r="BB17" t="inlineStr">
        <is>
          <t>42ba7bcede19cb228ac1b9b7f3a6410a78610aaae747ae2731c6c66fb6709154</t>
        </is>
      </c>
    </row>
    <row r="18">
      <c r="A18" t="inlineStr">
        <is>
          <t>13</t>
        </is>
      </c>
      <c r="B18" t="inlineStr">
        <is>
          <t>7642221276</t>
        </is>
      </c>
      <c r="C18" t="inlineStr">
        <is>
          <t>2026-01-05 03:51:21</t>
        </is>
      </c>
      <c r="D18" t="inlineStr">
        <is>
          <t>2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1095</v>
      </c>
      <c r="P18" t="n">
        <v>3.5</v>
      </c>
      <c r="Q18" t="n">
        <v>0</v>
      </c>
      <c r="R18" t="n">
        <v>75</v>
      </c>
      <c r="S18" t="n">
        <v>0</v>
      </c>
      <c r="T18" t="n">
        <v>0</v>
      </c>
      <c r="U18" t="n">
        <v>0</v>
      </c>
      <c r="V18" t="n">
        <v>51.18</v>
      </c>
      <c r="W18" t="n">
        <v>1074.68</v>
      </c>
      <c r="X18" t="n">
        <v>1023.5</v>
      </c>
      <c r="Y18" t="n">
        <v>19</v>
      </c>
      <c r="Z18" t="n">
        <v>194.46</v>
      </c>
      <c r="AA18" t="n">
        <v>19.77</v>
      </c>
      <c r="AB18" t="n">
        <v>214.23</v>
      </c>
      <c r="AC18" t="n">
        <v>38.56</v>
      </c>
      <c r="AD18" t="n">
        <v>0</v>
      </c>
      <c r="AE18" t="n">
        <v>1023.5</v>
      </c>
      <c r="AF18" t="n">
        <v>0</v>
      </c>
      <c r="AG18" t="n">
        <v>0</v>
      </c>
      <c r="AH18" t="n">
        <v>1.02</v>
      </c>
      <c r="AI18" t="n">
        <v>51.18</v>
      </c>
      <c r="AJ18" t="n">
        <v>0</v>
      </c>
      <c r="AK18" t="n">
        <v>90.76000000000001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304.99</v>
      </c>
      <c r="AV18" t="n">
        <v>0</v>
      </c>
      <c r="AW18" t="n">
        <v>769.6900000000001</v>
      </c>
      <c r="AX18" t="inlineStr">
        <is>
          <t>settled</t>
        </is>
      </c>
      <c r="AY18" t="inlineStr">
        <is>
          <t>2026-01-14 05:30:00</t>
        </is>
      </c>
      <c r="AZ18" t="inlineStr">
        <is>
          <t>CITIN26605478364</t>
        </is>
      </c>
      <c r="BA18" t="n">
        <v>0</v>
      </c>
      <c r="BB18" t="inlineStr">
        <is>
          <t>38f95464f2f2df661443293355e5ce8c99d8d90a27ec0b500f6503da5898f39d</t>
        </is>
      </c>
    </row>
    <row r="19">
      <c r="A19" t="inlineStr">
        <is>
          <t>14</t>
        </is>
      </c>
      <c r="B19" t="inlineStr">
        <is>
          <t>7655706479</t>
        </is>
      </c>
      <c r="C19" t="inlineStr">
        <is>
          <t>2026-01-05 12:38:26</t>
        </is>
      </c>
      <c r="D19" t="inlineStr">
        <is>
          <t>2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328</v>
      </c>
      <c r="P19" t="n">
        <v>3.5</v>
      </c>
      <c r="Q19" t="n">
        <v>0</v>
      </c>
      <c r="R19" t="n">
        <v>75</v>
      </c>
      <c r="S19" t="n">
        <v>0</v>
      </c>
      <c r="T19" t="n">
        <v>0</v>
      </c>
      <c r="U19" t="n">
        <v>0</v>
      </c>
      <c r="V19" t="n">
        <v>12.83</v>
      </c>
      <c r="W19" t="n">
        <v>269.33</v>
      </c>
      <c r="X19" t="n">
        <v>256.5</v>
      </c>
      <c r="Y19" t="n">
        <v>19</v>
      </c>
      <c r="Z19" t="n">
        <v>48.74</v>
      </c>
      <c r="AA19" t="n">
        <v>4.96</v>
      </c>
      <c r="AB19" t="n">
        <v>53.7</v>
      </c>
      <c r="AC19" t="n">
        <v>9.66</v>
      </c>
      <c r="AD19" t="n">
        <v>0</v>
      </c>
      <c r="AE19" t="n">
        <v>256.5</v>
      </c>
      <c r="AF19" t="n">
        <v>0</v>
      </c>
      <c r="AG19" t="n">
        <v>0</v>
      </c>
      <c r="AH19" t="n">
        <v>0.26</v>
      </c>
      <c r="AI19" t="n">
        <v>12.83</v>
      </c>
      <c r="AJ19" t="n">
        <v>0</v>
      </c>
      <c r="AK19" t="n">
        <v>22.75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76.45</v>
      </c>
      <c r="AV19" t="n">
        <v>0</v>
      </c>
      <c r="AW19" t="n">
        <v>192.88</v>
      </c>
      <c r="AX19" t="inlineStr">
        <is>
          <t>settled</t>
        </is>
      </c>
      <c r="AY19" t="inlineStr">
        <is>
          <t>2026-01-14 05:30:00</t>
        </is>
      </c>
      <c r="AZ19" t="inlineStr">
        <is>
          <t>CITIN26605478364</t>
        </is>
      </c>
      <c r="BA19" t="n">
        <v>0</v>
      </c>
      <c r="BB19" t="inlineStr">
        <is>
          <t>370d2737735e16d1a618ff956f3baf00c7d410f4db1d5dc989c86dc1c0f52646</t>
        </is>
      </c>
    </row>
    <row r="20">
      <c r="A20" t="inlineStr">
        <is>
          <t>15</t>
        </is>
      </c>
      <c r="B20" t="inlineStr">
        <is>
          <t>7655264853</t>
        </is>
      </c>
      <c r="C20" t="inlineStr">
        <is>
          <t>2026-01-05 12:45:33</t>
        </is>
      </c>
      <c r="D20" t="inlineStr">
        <is>
          <t>2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199</v>
      </c>
      <c r="P20" t="n">
        <v>3.5</v>
      </c>
      <c r="Q20" t="n">
        <v>0</v>
      </c>
      <c r="R20" t="n">
        <v>59.7</v>
      </c>
      <c r="S20" t="n">
        <v>0</v>
      </c>
      <c r="T20" t="n">
        <v>0</v>
      </c>
      <c r="U20" t="n">
        <v>0</v>
      </c>
      <c r="V20" t="n">
        <v>7.14</v>
      </c>
      <c r="W20" t="n">
        <v>149.94</v>
      </c>
      <c r="X20" t="n">
        <v>142.8</v>
      </c>
      <c r="Y20" t="n">
        <v>19</v>
      </c>
      <c r="Z20" t="n">
        <v>27.13</v>
      </c>
      <c r="AA20" t="n">
        <v>2.76</v>
      </c>
      <c r="AB20" t="n">
        <v>29.89</v>
      </c>
      <c r="AC20" t="n">
        <v>5.38</v>
      </c>
      <c r="AD20" t="n">
        <v>0</v>
      </c>
      <c r="AE20" t="n">
        <v>142.8</v>
      </c>
      <c r="AF20" t="n">
        <v>0</v>
      </c>
      <c r="AG20" t="n">
        <v>0</v>
      </c>
      <c r="AH20" t="n">
        <v>0.14</v>
      </c>
      <c r="AI20" t="n">
        <v>7.15</v>
      </c>
      <c r="AJ20" t="n">
        <v>-0.01</v>
      </c>
      <c r="AK20" t="n">
        <v>12.67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42.56</v>
      </c>
      <c r="AV20" t="n">
        <v>0</v>
      </c>
      <c r="AW20" t="n">
        <v>107.38</v>
      </c>
      <c r="AX20" t="inlineStr">
        <is>
          <t>settled</t>
        </is>
      </c>
      <c r="AY20" t="inlineStr">
        <is>
          <t>2026-01-14 05:30:00</t>
        </is>
      </c>
      <c r="AZ20" t="inlineStr">
        <is>
          <t>CITIN26605478364</t>
        </is>
      </c>
      <c r="BA20" t="n">
        <v>0</v>
      </c>
      <c r="BB20" t="inlineStr">
        <is>
          <t>eb446abdfe0a8d32ccfa1794a75686996c0c55a44edeee294941c98649651896</t>
        </is>
      </c>
    </row>
    <row r="21">
      <c r="A21" t="inlineStr">
        <is>
          <t>16</t>
        </is>
      </c>
      <c r="B21" t="inlineStr">
        <is>
          <t>7643356708</t>
        </is>
      </c>
      <c r="C21" t="inlineStr">
        <is>
          <t>2026-01-05 13:15:25</t>
        </is>
      </c>
      <c r="D21" t="inlineStr">
        <is>
          <t>2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30% off upto ₹75 (2025-06-25 - 2031-01-01)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229</v>
      </c>
      <c r="P21" t="n">
        <v>3.5</v>
      </c>
      <c r="Q21" t="n">
        <v>0</v>
      </c>
      <c r="R21" t="n">
        <v>68.7</v>
      </c>
      <c r="S21" t="n">
        <v>0</v>
      </c>
      <c r="T21" t="n">
        <v>0</v>
      </c>
      <c r="U21" t="n">
        <v>0</v>
      </c>
      <c r="V21" t="n">
        <v>8.19</v>
      </c>
      <c r="W21" t="n">
        <v>171.99</v>
      </c>
      <c r="X21" t="n">
        <v>163.8</v>
      </c>
      <c r="Y21" t="n">
        <v>19</v>
      </c>
      <c r="Z21" t="n">
        <v>31.12</v>
      </c>
      <c r="AA21" t="n">
        <v>3.16</v>
      </c>
      <c r="AB21" t="n">
        <v>34.28</v>
      </c>
      <c r="AC21" t="n">
        <v>6.17</v>
      </c>
      <c r="AD21" t="n">
        <v>0</v>
      </c>
      <c r="AE21" t="n">
        <v>163.8</v>
      </c>
      <c r="AF21" t="n">
        <v>0</v>
      </c>
      <c r="AG21" t="n">
        <v>0</v>
      </c>
      <c r="AH21" t="n">
        <v>0.16</v>
      </c>
      <c r="AI21" t="n">
        <v>8.199999999999999</v>
      </c>
      <c r="AJ21" t="n">
        <v>-0.01</v>
      </c>
      <c r="AK21" t="n">
        <v>14.53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48.81</v>
      </c>
      <c r="AV21" t="n">
        <v>0</v>
      </c>
      <c r="AW21" t="n">
        <v>123.18</v>
      </c>
      <c r="AX21" t="inlineStr">
        <is>
          <t>settled</t>
        </is>
      </c>
      <c r="AY21" t="inlineStr">
        <is>
          <t>2026-01-14 05:30:00</t>
        </is>
      </c>
      <c r="AZ21" t="inlineStr">
        <is>
          <t>CITIN26605478364</t>
        </is>
      </c>
      <c r="BA21" t="n">
        <v>0</v>
      </c>
      <c r="BB21" t="inlineStr">
        <is>
          <t>c6524ae3f972271b9608a99122d6be7515c6b3ed52837e890e5dbd0679b4412f</t>
        </is>
      </c>
    </row>
    <row r="22">
      <c r="A22" t="inlineStr">
        <is>
          <t>17</t>
        </is>
      </c>
      <c r="B22" t="inlineStr">
        <is>
          <t>7654373039</t>
        </is>
      </c>
      <c r="C22" t="inlineStr">
        <is>
          <t>2026-01-05 14:03:00</t>
        </is>
      </c>
      <c r="D22" t="inlineStr">
        <is>
          <t>2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458</v>
      </c>
      <c r="P22" t="n">
        <v>3.5</v>
      </c>
      <c r="Q22" t="n">
        <v>0</v>
      </c>
      <c r="R22" t="n">
        <v>75</v>
      </c>
      <c r="S22" t="n">
        <v>0</v>
      </c>
      <c r="T22" t="n">
        <v>0</v>
      </c>
      <c r="U22" t="n">
        <v>0</v>
      </c>
      <c r="V22" t="n">
        <v>19.33</v>
      </c>
      <c r="W22" t="n">
        <v>405.83</v>
      </c>
      <c r="X22" t="n">
        <v>386.5</v>
      </c>
      <c r="Y22" t="n">
        <v>19</v>
      </c>
      <c r="Z22" t="n">
        <v>73.44</v>
      </c>
      <c r="AA22" t="n">
        <v>7.47</v>
      </c>
      <c r="AB22" t="n">
        <v>80.91</v>
      </c>
      <c r="AC22" t="n">
        <v>14.56</v>
      </c>
      <c r="AD22" t="n">
        <v>0</v>
      </c>
      <c r="AE22" t="n">
        <v>386.5</v>
      </c>
      <c r="AF22" t="n">
        <v>0</v>
      </c>
      <c r="AG22" t="n">
        <v>0</v>
      </c>
      <c r="AH22" t="n">
        <v>0.39</v>
      </c>
      <c r="AI22" t="n">
        <v>19.33</v>
      </c>
      <c r="AJ22" t="n">
        <v>0</v>
      </c>
      <c r="AK22" t="n">
        <v>34.28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115.19</v>
      </c>
      <c r="AV22" t="n">
        <v>0</v>
      </c>
      <c r="AW22" t="n">
        <v>290.64</v>
      </c>
      <c r="AX22" t="inlineStr">
        <is>
          <t>settled</t>
        </is>
      </c>
      <c r="AY22" t="inlineStr">
        <is>
          <t>2026-01-14 05:30:00</t>
        </is>
      </c>
      <c r="AZ22" t="inlineStr">
        <is>
          <t>CITIN26605478364</t>
        </is>
      </c>
      <c r="BA22" t="n">
        <v>0</v>
      </c>
      <c r="BB22" t="inlineStr">
        <is>
          <t>57860c1eaa64926882fbe18df55d3b254078ba3a87a570fbd4e075f8b04e4574</t>
        </is>
      </c>
    </row>
    <row r="23">
      <c r="A23" t="inlineStr">
        <is>
          <t>18</t>
        </is>
      </c>
      <c r="B23" t="inlineStr">
        <is>
          <t>7656396019</t>
        </is>
      </c>
      <c r="C23" t="inlineStr">
        <is>
          <t>2026-01-05 14:06:17</t>
        </is>
      </c>
      <c r="D23" t="inlineStr">
        <is>
          <t>2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219</v>
      </c>
      <c r="P23" t="n">
        <v>3.5</v>
      </c>
      <c r="Q23" t="n">
        <v>0</v>
      </c>
      <c r="R23" t="n">
        <v>65.7</v>
      </c>
      <c r="S23" t="n">
        <v>0</v>
      </c>
      <c r="T23" t="n">
        <v>0</v>
      </c>
      <c r="U23" t="n">
        <v>0</v>
      </c>
      <c r="V23" t="n">
        <v>7.84</v>
      </c>
      <c r="W23" t="n">
        <v>164.64</v>
      </c>
      <c r="X23" t="n">
        <v>156.8</v>
      </c>
      <c r="Y23" t="n">
        <v>19</v>
      </c>
      <c r="Z23" t="n">
        <v>29.79</v>
      </c>
      <c r="AA23" t="n">
        <v>3.03</v>
      </c>
      <c r="AB23" t="n">
        <v>32.82</v>
      </c>
      <c r="AC23" t="n">
        <v>5.91</v>
      </c>
      <c r="AD23" t="n">
        <v>0</v>
      </c>
      <c r="AE23" t="n">
        <v>156.8</v>
      </c>
      <c r="AF23" t="n">
        <v>0</v>
      </c>
      <c r="AG23" t="n">
        <v>0</v>
      </c>
      <c r="AH23" t="n">
        <v>0.16</v>
      </c>
      <c r="AI23" t="n">
        <v>7.85</v>
      </c>
      <c r="AJ23" t="n">
        <v>-0.01</v>
      </c>
      <c r="AK23" t="n">
        <v>13.92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46.74</v>
      </c>
      <c r="AV23" t="n">
        <v>0</v>
      </c>
      <c r="AW23" t="n">
        <v>117.9</v>
      </c>
      <c r="AX23" t="inlineStr">
        <is>
          <t>settled</t>
        </is>
      </c>
      <c r="AY23" t="inlineStr">
        <is>
          <t>2026-01-14 05:30:00</t>
        </is>
      </c>
      <c r="AZ23" t="inlineStr">
        <is>
          <t>CITIN26605478364</t>
        </is>
      </c>
      <c r="BA23" t="n">
        <v>0</v>
      </c>
      <c r="BB23" t="inlineStr">
        <is>
          <t>90408f5c603c98737b9713287317c93fd10e655f702b82f6800784bc17592d5f</t>
        </is>
      </c>
    </row>
    <row r="24">
      <c r="A24" t="inlineStr">
        <is>
          <t>19</t>
        </is>
      </c>
      <c r="B24" t="inlineStr">
        <is>
          <t>7657144045</t>
        </is>
      </c>
      <c r="C24" t="inlineStr">
        <is>
          <t>2026-01-05 14:53:26</t>
        </is>
      </c>
      <c r="D24" t="inlineStr">
        <is>
          <t>2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229</v>
      </c>
      <c r="P24" t="n">
        <v>3.5</v>
      </c>
      <c r="Q24" t="n">
        <v>0</v>
      </c>
      <c r="R24" t="n">
        <v>68.7</v>
      </c>
      <c r="S24" t="n">
        <v>0</v>
      </c>
      <c r="T24" t="n">
        <v>0</v>
      </c>
      <c r="U24" t="n">
        <v>0</v>
      </c>
      <c r="V24" t="n">
        <v>8.19</v>
      </c>
      <c r="W24" t="n">
        <v>171.99</v>
      </c>
      <c r="X24" t="n">
        <v>163.8</v>
      </c>
      <c r="Y24" t="n">
        <v>19</v>
      </c>
      <c r="Z24" t="n">
        <v>31.12</v>
      </c>
      <c r="AA24" t="n">
        <v>3.16</v>
      </c>
      <c r="AB24" t="n">
        <v>34.28</v>
      </c>
      <c r="AC24" t="n">
        <v>6.17</v>
      </c>
      <c r="AD24" t="n">
        <v>0</v>
      </c>
      <c r="AE24" t="n">
        <v>163.8</v>
      </c>
      <c r="AF24" t="n">
        <v>0</v>
      </c>
      <c r="AG24" t="n">
        <v>0</v>
      </c>
      <c r="AH24" t="n">
        <v>0.16</v>
      </c>
      <c r="AI24" t="n">
        <v>8.199999999999999</v>
      </c>
      <c r="AJ24" t="n">
        <v>-0.01</v>
      </c>
      <c r="AK24" t="n">
        <v>14.53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48.81</v>
      </c>
      <c r="AV24" t="n">
        <v>0</v>
      </c>
      <c r="AW24" t="n">
        <v>123.18</v>
      </c>
      <c r="AX24" t="inlineStr">
        <is>
          <t>settled</t>
        </is>
      </c>
      <c r="AY24" t="inlineStr">
        <is>
          <t>2026-01-14 05:30:00</t>
        </is>
      </c>
      <c r="AZ24" t="inlineStr">
        <is>
          <t>CITIN26605478364</t>
        </is>
      </c>
      <c r="BA24" t="n">
        <v>0</v>
      </c>
      <c r="BB24" t="inlineStr">
        <is>
          <t>f57a69833aa5fd20debd206207b24a02acf99f12dcdb7c0c2139dac55cb8031e</t>
        </is>
      </c>
    </row>
    <row r="25">
      <c r="A25" t="inlineStr">
        <is>
          <t>20</t>
        </is>
      </c>
      <c r="B25" t="inlineStr">
        <is>
          <t>7652330276</t>
        </is>
      </c>
      <c r="C25" t="inlineStr">
        <is>
          <t>2026-01-05 15:12:48</t>
        </is>
      </c>
      <c r="D25" t="inlineStr">
        <is>
          <t>2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229</v>
      </c>
      <c r="P25" t="n">
        <v>3.5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11.63</v>
      </c>
      <c r="W25" t="n">
        <v>244.13</v>
      </c>
      <c r="X25" t="n">
        <v>232.5</v>
      </c>
      <c r="Y25" t="n">
        <v>19</v>
      </c>
      <c r="Z25" t="n">
        <v>44.18</v>
      </c>
      <c r="AA25" t="n">
        <v>4.49</v>
      </c>
      <c r="AB25" t="n">
        <v>48.67</v>
      </c>
      <c r="AC25" t="n">
        <v>8.76</v>
      </c>
      <c r="AD25" t="n">
        <v>0</v>
      </c>
      <c r="AE25" t="n">
        <v>232.5</v>
      </c>
      <c r="AF25" t="n">
        <v>0</v>
      </c>
      <c r="AG25" t="n">
        <v>0</v>
      </c>
      <c r="AH25" t="n">
        <v>0.23</v>
      </c>
      <c r="AI25" t="n">
        <v>11.63</v>
      </c>
      <c r="AJ25" t="n">
        <v>0</v>
      </c>
      <c r="AK25" t="n">
        <v>20.62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69.29000000000001</v>
      </c>
      <c r="AV25" t="n">
        <v>0</v>
      </c>
      <c r="AW25" t="n">
        <v>174.84</v>
      </c>
      <c r="AX25" t="inlineStr">
        <is>
          <t>settled</t>
        </is>
      </c>
      <c r="AY25" t="inlineStr">
        <is>
          <t>2026-01-14 05:30:00</t>
        </is>
      </c>
      <c r="AZ25" t="inlineStr">
        <is>
          <t>CITIN26605478364</t>
        </is>
      </c>
      <c r="BA25" t="n">
        <v>0</v>
      </c>
      <c r="BB25" t="inlineStr">
        <is>
          <t>8e5f126be333fb4484566c6e56f82277808626b2e52753f511711990ea65e6ac</t>
        </is>
      </c>
    </row>
    <row r="26">
      <c r="A26" t="inlineStr">
        <is>
          <t>21</t>
        </is>
      </c>
      <c r="B26" t="inlineStr">
        <is>
          <t>7655427021</t>
        </is>
      </c>
      <c r="C26" t="inlineStr">
        <is>
          <t>2026-01-05 16:12:16</t>
        </is>
      </c>
      <c r="D26" t="inlineStr">
        <is>
          <t>2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219</v>
      </c>
      <c r="P26" t="n">
        <v>3.5</v>
      </c>
      <c r="Q26" t="n">
        <v>0</v>
      </c>
      <c r="R26" t="n">
        <v>65.7</v>
      </c>
      <c r="S26" t="n">
        <v>0</v>
      </c>
      <c r="T26" t="n">
        <v>0</v>
      </c>
      <c r="U26" t="n">
        <v>0</v>
      </c>
      <c r="V26" t="n">
        <v>7.84</v>
      </c>
      <c r="W26" t="n">
        <v>164.64</v>
      </c>
      <c r="X26" t="n">
        <v>156.8</v>
      </c>
      <c r="Y26" t="n">
        <v>19</v>
      </c>
      <c r="Z26" t="n">
        <v>29.79</v>
      </c>
      <c r="AA26" t="n">
        <v>3.03</v>
      </c>
      <c r="AB26" t="n">
        <v>32.82</v>
      </c>
      <c r="AC26" t="n">
        <v>5.91</v>
      </c>
      <c r="AD26" t="n">
        <v>0</v>
      </c>
      <c r="AE26" t="n">
        <v>156.8</v>
      </c>
      <c r="AF26" t="n">
        <v>0</v>
      </c>
      <c r="AG26" t="n">
        <v>0</v>
      </c>
      <c r="AH26" t="n">
        <v>0.16</v>
      </c>
      <c r="AI26" t="n">
        <v>7.85</v>
      </c>
      <c r="AJ26" t="n">
        <v>-0.01</v>
      </c>
      <c r="AK26" t="n">
        <v>13.92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46.74</v>
      </c>
      <c r="AV26" t="n">
        <v>0</v>
      </c>
      <c r="AW26" t="n">
        <v>117.9</v>
      </c>
      <c r="AX26" t="inlineStr">
        <is>
          <t>settled</t>
        </is>
      </c>
      <c r="AY26" t="inlineStr">
        <is>
          <t>2026-01-14 05:30:00</t>
        </is>
      </c>
      <c r="AZ26" t="inlineStr">
        <is>
          <t>CITIN26605478364</t>
        </is>
      </c>
      <c r="BA26" t="n">
        <v>0</v>
      </c>
      <c r="BB26" t="inlineStr">
        <is>
          <t>d2e24bc4ff8349867d82c7de17cba61f87e3ff811b15cef9855c255665349a8b</t>
        </is>
      </c>
    </row>
    <row r="27">
      <c r="A27" t="inlineStr">
        <is>
          <t>22</t>
        </is>
      </c>
      <c r="B27" t="inlineStr">
        <is>
          <t>7657246609</t>
        </is>
      </c>
      <c r="C27" t="inlineStr">
        <is>
          <t>2026-01-05 16:38:22</t>
        </is>
      </c>
      <c r="D27" t="inlineStr">
        <is>
          <t>2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30% off upto ₹75 (2025-06-25 - 2031-01-01)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229</v>
      </c>
      <c r="P27" t="n">
        <v>3.5</v>
      </c>
      <c r="Q27" t="n">
        <v>0</v>
      </c>
      <c r="R27" t="n">
        <v>68.7</v>
      </c>
      <c r="S27" t="n">
        <v>0</v>
      </c>
      <c r="T27" t="n">
        <v>0</v>
      </c>
      <c r="U27" t="n">
        <v>0</v>
      </c>
      <c r="V27" t="n">
        <v>8.19</v>
      </c>
      <c r="W27" t="n">
        <v>171.99</v>
      </c>
      <c r="X27" t="n">
        <v>163.8</v>
      </c>
      <c r="Y27" t="n">
        <v>19</v>
      </c>
      <c r="Z27" t="n">
        <v>31.12</v>
      </c>
      <c r="AA27" t="n">
        <v>3.16</v>
      </c>
      <c r="AB27" t="n">
        <v>34.28</v>
      </c>
      <c r="AC27" t="n">
        <v>6.17</v>
      </c>
      <c r="AD27" t="n">
        <v>0</v>
      </c>
      <c r="AE27" t="n">
        <v>163.8</v>
      </c>
      <c r="AF27" t="n">
        <v>0</v>
      </c>
      <c r="AG27" t="n">
        <v>0</v>
      </c>
      <c r="AH27" t="n">
        <v>0.16</v>
      </c>
      <c r="AI27" t="n">
        <v>8.199999999999999</v>
      </c>
      <c r="AJ27" t="n">
        <v>-0.01</v>
      </c>
      <c r="AK27" t="n">
        <v>14.53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48.81</v>
      </c>
      <c r="AV27" t="n">
        <v>0</v>
      </c>
      <c r="AW27" t="n">
        <v>123.18</v>
      </c>
      <c r="AX27" t="inlineStr">
        <is>
          <t>settled</t>
        </is>
      </c>
      <c r="AY27" t="inlineStr">
        <is>
          <t>2026-01-14 05:30:00</t>
        </is>
      </c>
      <c r="AZ27" t="inlineStr">
        <is>
          <t>CITIN26605478364</t>
        </is>
      </c>
      <c r="BA27" t="n">
        <v>0</v>
      </c>
      <c r="BB27" t="inlineStr">
        <is>
          <t>ebaa2439aa4ab1098557d4558e89ce52452c0ac59489daa8adcb378ab43745f4</t>
        </is>
      </c>
    </row>
    <row r="28">
      <c r="A28" t="inlineStr">
        <is>
          <t>23</t>
        </is>
      </c>
      <c r="B28" t="inlineStr">
        <is>
          <t>7660015498</t>
        </is>
      </c>
      <c r="C28" t="inlineStr">
        <is>
          <t>2026-01-05 17:49:42</t>
        </is>
      </c>
      <c r="D28" t="inlineStr">
        <is>
          <t>2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NA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229</v>
      </c>
      <c r="P28" t="n">
        <v>3.5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11.63</v>
      </c>
      <c r="W28" t="n">
        <v>244.13</v>
      </c>
      <c r="X28" t="n">
        <v>232.5</v>
      </c>
      <c r="Y28" t="n">
        <v>19</v>
      </c>
      <c r="Z28" t="n">
        <v>44.18</v>
      </c>
      <c r="AA28" t="n">
        <v>4.49</v>
      </c>
      <c r="AB28" t="n">
        <v>48.67</v>
      </c>
      <c r="AC28" t="n">
        <v>8.76</v>
      </c>
      <c r="AD28" t="n">
        <v>0</v>
      </c>
      <c r="AE28" t="n">
        <v>232.5</v>
      </c>
      <c r="AF28" t="n">
        <v>0</v>
      </c>
      <c r="AG28" t="n">
        <v>0</v>
      </c>
      <c r="AH28" t="n">
        <v>0.23</v>
      </c>
      <c r="AI28" t="n">
        <v>11.63</v>
      </c>
      <c r="AJ28" t="n">
        <v>0</v>
      </c>
      <c r="AK28" t="n">
        <v>20.62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69.29000000000001</v>
      </c>
      <c r="AV28" t="n">
        <v>0</v>
      </c>
      <c r="AW28" t="n">
        <v>174.84</v>
      </c>
      <c r="AX28" t="inlineStr">
        <is>
          <t>settled</t>
        </is>
      </c>
      <c r="AY28" t="inlineStr">
        <is>
          <t>2026-01-14 05:30:00</t>
        </is>
      </c>
      <c r="AZ28" t="inlineStr">
        <is>
          <t>CITIN26605478364</t>
        </is>
      </c>
      <c r="BA28" t="n">
        <v>0</v>
      </c>
      <c r="BB28" t="inlineStr">
        <is>
          <t>477da8ad03704c04c5694133c80831da8d16703aca8f01397f9af78faa2c3d2c</t>
        </is>
      </c>
    </row>
    <row r="29">
      <c r="A29" t="inlineStr">
        <is>
          <t>24</t>
        </is>
      </c>
      <c r="B29" t="inlineStr">
        <is>
          <t>7655838437</t>
        </is>
      </c>
      <c r="C29" t="inlineStr">
        <is>
          <t>2026-01-05 17:54:09</t>
        </is>
      </c>
      <c r="D29" t="inlineStr">
        <is>
          <t>2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219</v>
      </c>
      <c r="P29" t="n">
        <v>3.5</v>
      </c>
      <c r="Q29" t="n">
        <v>0</v>
      </c>
      <c r="R29" t="n">
        <v>65.7</v>
      </c>
      <c r="S29" t="n">
        <v>0</v>
      </c>
      <c r="T29" t="n">
        <v>0</v>
      </c>
      <c r="U29" t="n">
        <v>0</v>
      </c>
      <c r="V29" t="n">
        <v>7.84</v>
      </c>
      <c r="W29" t="n">
        <v>164.64</v>
      </c>
      <c r="X29" t="n">
        <v>156.8</v>
      </c>
      <c r="Y29" t="n">
        <v>19</v>
      </c>
      <c r="Z29" t="n">
        <v>29.79</v>
      </c>
      <c r="AA29" t="n">
        <v>3.03</v>
      </c>
      <c r="AB29" t="n">
        <v>32.82</v>
      </c>
      <c r="AC29" t="n">
        <v>5.91</v>
      </c>
      <c r="AD29" t="n">
        <v>0</v>
      </c>
      <c r="AE29" t="n">
        <v>156.8</v>
      </c>
      <c r="AF29" t="n">
        <v>0</v>
      </c>
      <c r="AG29" t="n">
        <v>0</v>
      </c>
      <c r="AH29" t="n">
        <v>0.16</v>
      </c>
      <c r="AI29" t="n">
        <v>7.85</v>
      </c>
      <c r="AJ29" t="n">
        <v>-0.01</v>
      </c>
      <c r="AK29" t="n">
        <v>13.92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46.74</v>
      </c>
      <c r="AV29" t="n">
        <v>0</v>
      </c>
      <c r="AW29" t="n">
        <v>117.9</v>
      </c>
      <c r="AX29" t="inlineStr">
        <is>
          <t>settled</t>
        </is>
      </c>
      <c r="AY29" t="inlineStr">
        <is>
          <t>2026-01-14 05:30:00</t>
        </is>
      </c>
      <c r="AZ29" t="inlineStr">
        <is>
          <t>CITIN26605478364</t>
        </is>
      </c>
      <c r="BA29" t="n">
        <v>0</v>
      </c>
      <c r="BB29" t="inlineStr">
        <is>
          <t>994c71818e76074263a71a9075be01f4c5941ee9b2a2280ddd505b3396512e8c</t>
        </is>
      </c>
    </row>
    <row r="30">
      <c r="A30" t="inlineStr">
        <is>
          <t>25</t>
        </is>
      </c>
      <c r="B30" t="inlineStr">
        <is>
          <t>7657355822</t>
        </is>
      </c>
      <c r="C30" t="inlineStr">
        <is>
          <t>2026-01-05 20:00:45</t>
        </is>
      </c>
      <c r="D30" t="inlineStr">
        <is>
          <t>2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229</v>
      </c>
      <c r="P30" t="n">
        <v>3.5</v>
      </c>
      <c r="Q30" t="n">
        <v>0</v>
      </c>
      <c r="R30" t="n">
        <v>68.7</v>
      </c>
      <c r="S30" t="n">
        <v>0</v>
      </c>
      <c r="T30" t="n">
        <v>0</v>
      </c>
      <c r="U30" t="n">
        <v>0</v>
      </c>
      <c r="V30" t="n">
        <v>8.19</v>
      </c>
      <c r="W30" t="n">
        <v>171.99</v>
      </c>
      <c r="X30" t="n">
        <v>163.8</v>
      </c>
      <c r="Y30" t="n">
        <v>19</v>
      </c>
      <c r="Z30" t="n">
        <v>31.12</v>
      </c>
      <c r="AA30" t="n">
        <v>3.16</v>
      </c>
      <c r="AB30" t="n">
        <v>34.28</v>
      </c>
      <c r="AC30" t="n">
        <v>6.17</v>
      </c>
      <c r="AD30" t="n">
        <v>0</v>
      </c>
      <c r="AE30" t="n">
        <v>163.8</v>
      </c>
      <c r="AF30" t="n">
        <v>0</v>
      </c>
      <c r="AG30" t="n">
        <v>0</v>
      </c>
      <c r="AH30" t="n">
        <v>0.16</v>
      </c>
      <c r="AI30" t="n">
        <v>8.199999999999999</v>
      </c>
      <c r="AJ30" t="n">
        <v>-0.01</v>
      </c>
      <c r="AK30" t="n">
        <v>14.53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48.81</v>
      </c>
      <c r="AV30" t="n">
        <v>0</v>
      </c>
      <c r="AW30" t="n">
        <v>123.18</v>
      </c>
      <c r="AX30" t="inlineStr">
        <is>
          <t>settled</t>
        </is>
      </c>
      <c r="AY30" t="inlineStr">
        <is>
          <t>2026-01-14 05:30:00</t>
        </is>
      </c>
      <c r="AZ30" t="inlineStr">
        <is>
          <t>CITIN26605478364</t>
        </is>
      </c>
      <c r="BA30" t="n">
        <v>0</v>
      </c>
      <c r="BB30" t="inlineStr">
        <is>
          <t>cbd5e802808a19877c4f02dc2b56d7276f52c24b88ca4b5fd841949d9b7e6d7e</t>
        </is>
      </c>
    </row>
    <row r="31">
      <c r="A31" t="inlineStr">
        <is>
          <t>26</t>
        </is>
      </c>
      <c r="B31" t="inlineStr">
        <is>
          <t>7654744849</t>
        </is>
      </c>
      <c r="C31" t="inlineStr">
        <is>
          <t>2026-01-05 21:19:38</t>
        </is>
      </c>
      <c r="D31" t="inlineStr">
        <is>
          <t>2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30% off upto ₹75 (2025-06-25 - 2031-01-01)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229</v>
      </c>
      <c r="P31" t="n">
        <v>3.5</v>
      </c>
      <c r="Q31" t="n">
        <v>0</v>
      </c>
      <c r="R31" t="n">
        <v>68.7</v>
      </c>
      <c r="S31" t="n">
        <v>0</v>
      </c>
      <c r="T31" t="n">
        <v>0</v>
      </c>
      <c r="U31" t="n">
        <v>0</v>
      </c>
      <c r="V31" t="n">
        <v>8.19</v>
      </c>
      <c r="W31" t="n">
        <v>171.99</v>
      </c>
      <c r="X31" t="n">
        <v>163.8</v>
      </c>
      <c r="Y31" t="n">
        <v>19</v>
      </c>
      <c r="Z31" t="n">
        <v>31.12</v>
      </c>
      <c r="AA31" t="n">
        <v>3.16</v>
      </c>
      <c r="AB31" t="n">
        <v>34.28</v>
      </c>
      <c r="AC31" t="n">
        <v>6.17</v>
      </c>
      <c r="AD31" t="n">
        <v>0</v>
      </c>
      <c r="AE31" t="n">
        <v>163.8</v>
      </c>
      <c r="AF31" t="n">
        <v>0</v>
      </c>
      <c r="AG31" t="n">
        <v>0</v>
      </c>
      <c r="AH31" t="n">
        <v>0.16</v>
      </c>
      <c r="AI31" t="n">
        <v>8.199999999999999</v>
      </c>
      <c r="AJ31" t="n">
        <v>-0.01</v>
      </c>
      <c r="AK31" t="n">
        <v>14.53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48.81</v>
      </c>
      <c r="AV31" t="n">
        <v>0</v>
      </c>
      <c r="AW31" t="n">
        <v>123.18</v>
      </c>
      <c r="AX31" t="inlineStr">
        <is>
          <t>settled</t>
        </is>
      </c>
      <c r="AY31" t="inlineStr">
        <is>
          <t>2026-01-14 05:30:00</t>
        </is>
      </c>
      <c r="AZ31" t="inlineStr">
        <is>
          <t>CITIN26605478364</t>
        </is>
      </c>
      <c r="BA31" t="n">
        <v>0</v>
      </c>
      <c r="BB31" t="inlineStr">
        <is>
          <t>ae4ea7d3a40af9abbf2d064b79aca12513bf919e074844ca05debe38fa841775</t>
        </is>
      </c>
    </row>
    <row r="32">
      <c r="A32" t="inlineStr">
        <is>
          <t>27</t>
        </is>
      </c>
      <c r="B32" t="inlineStr">
        <is>
          <t>7661090852</t>
        </is>
      </c>
      <c r="C32" t="inlineStr">
        <is>
          <t>2026-01-05 22:12:02</t>
        </is>
      </c>
      <c r="D32" t="inlineStr">
        <is>
          <t>2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219</v>
      </c>
      <c r="P32" t="n">
        <v>3.5</v>
      </c>
      <c r="Q32" t="n">
        <v>0</v>
      </c>
      <c r="R32" t="n">
        <v>65.7</v>
      </c>
      <c r="S32" t="n">
        <v>0</v>
      </c>
      <c r="T32" t="n">
        <v>0</v>
      </c>
      <c r="U32" t="n">
        <v>0</v>
      </c>
      <c r="V32" t="n">
        <v>7.84</v>
      </c>
      <c r="W32" t="n">
        <v>164.64</v>
      </c>
      <c r="X32" t="n">
        <v>156.8</v>
      </c>
      <c r="Y32" t="n">
        <v>19</v>
      </c>
      <c r="Z32" t="n">
        <v>29.79</v>
      </c>
      <c r="AA32" t="n">
        <v>3.03</v>
      </c>
      <c r="AB32" t="n">
        <v>32.82</v>
      </c>
      <c r="AC32" t="n">
        <v>5.91</v>
      </c>
      <c r="AD32" t="n">
        <v>0</v>
      </c>
      <c r="AE32" t="n">
        <v>156.8</v>
      </c>
      <c r="AF32" t="n">
        <v>0</v>
      </c>
      <c r="AG32" t="n">
        <v>0</v>
      </c>
      <c r="AH32" t="n">
        <v>0.16</v>
      </c>
      <c r="AI32" t="n">
        <v>7.85</v>
      </c>
      <c r="AJ32" t="n">
        <v>-0.01</v>
      </c>
      <c r="AK32" t="n">
        <v>13.92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46.74</v>
      </c>
      <c r="AV32" t="n">
        <v>0</v>
      </c>
      <c r="AW32" t="n">
        <v>117.9</v>
      </c>
      <c r="AX32" t="inlineStr">
        <is>
          <t>settled</t>
        </is>
      </c>
      <c r="AY32" t="inlineStr">
        <is>
          <t>2026-01-14 05:30:00</t>
        </is>
      </c>
      <c r="AZ32" t="inlineStr">
        <is>
          <t>CITIN26605478364</t>
        </is>
      </c>
      <c r="BA32" t="n">
        <v>0</v>
      </c>
      <c r="BB32" t="inlineStr">
        <is>
          <t>eef952e311297c399d5a3392b6938240a7ceb5abf8fe78db6d08e987e2035ee2</t>
        </is>
      </c>
    </row>
    <row r="33">
      <c r="A33" t="inlineStr">
        <is>
          <t>28</t>
        </is>
      </c>
      <c r="B33" t="inlineStr">
        <is>
          <t>7640588823</t>
        </is>
      </c>
      <c r="C33" t="inlineStr">
        <is>
          <t>2026-01-05 22:13:37</t>
        </is>
      </c>
      <c r="D33" t="inlineStr">
        <is>
          <t>2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30% off upto ₹75 (2025-06-25 - 2031-01-01)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229</v>
      </c>
      <c r="P33" t="n">
        <v>3.5</v>
      </c>
      <c r="Q33" t="n">
        <v>0</v>
      </c>
      <c r="R33" t="n">
        <v>68.7</v>
      </c>
      <c r="S33" t="n">
        <v>0</v>
      </c>
      <c r="T33" t="n">
        <v>0</v>
      </c>
      <c r="U33" t="n">
        <v>0</v>
      </c>
      <c r="V33" t="n">
        <v>8.19</v>
      </c>
      <c r="W33" t="n">
        <v>171.99</v>
      </c>
      <c r="X33" t="n">
        <v>163.8</v>
      </c>
      <c r="Y33" t="n">
        <v>19</v>
      </c>
      <c r="Z33" t="n">
        <v>31.12</v>
      </c>
      <c r="AA33" t="n">
        <v>3.16</v>
      </c>
      <c r="AB33" t="n">
        <v>34.28</v>
      </c>
      <c r="AC33" t="n">
        <v>6.17</v>
      </c>
      <c r="AD33" t="n">
        <v>0</v>
      </c>
      <c r="AE33" t="n">
        <v>163.8</v>
      </c>
      <c r="AF33" t="n">
        <v>0</v>
      </c>
      <c r="AG33" t="n">
        <v>0</v>
      </c>
      <c r="AH33" t="n">
        <v>0.16</v>
      </c>
      <c r="AI33" t="n">
        <v>8.199999999999999</v>
      </c>
      <c r="AJ33" t="n">
        <v>-0.01</v>
      </c>
      <c r="AK33" t="n">
        <v>14.53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48.81</v>
      </c>
      <c r="AV33" t="n">
        <v>0</v>
      </c>
      <c r="AW33" t="n">
        <v>123.18</v>
      </c>
      <c r="AX33" t="inlineStr">
        <is>
          <t>settled</t>
        </is>
      </c>
      <c r="AY33" t="inlineStr">
        <is>
          <t>2026-01-14 05:30:00</t>
        </is>
      </c>
      <c r="AZ33" t="inlineStr">
        <is>
          <t>CITIN26605478364</t>
        </is>
      </c>
      <c r="BA33" t="n">
        <v>0</v>
      </c>
      <c r="BB33" t="inlineStr">
        <is>
          <t>ab07d4e2fc6e717bb941020475cc54af6a3082fdc3d128a888121c3c244ffb24</t>
        </is>
      </c>
    </row>
    <row r="34">
      <c r="A34" t="inlineStr">
        <is>
          <t>29</t>
        </is>
      </c>
      <c r="B34" t="inlineStr">
        <is>
          <t>7659492053</t>
        </is>
      </c>
      <c r="C34" t="inlineStr">
        <is>
          <t>2026-01-05 22:29:53</t>
        </is>
      </c>
      <c r="D34" t="inlineStr">
        <is>
          <t>2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229</v>
      </c>
      <c r="P34" t="n">
        <v>3.5</v>
      </c>
      <c r="Q34" t="n">
        <v>0</v>
      </c>
      <c r="R34" t="n">
        <v>68.7</v>
      </c>
      <c r="S34" t="n">
        <v>0</v>
      </c>
      <c r="T34" t="n">
        <v>0</v>
      </c>
      <c r="U34" t="n">
        <v>0</v>
      </c>
      <c r="V34" t="n">
        <v>8.19</v>
      </c>
      <c r="W34" t="n">
        <v>171.99</v>
      </c>
      <c r="X34" t="n">
        <v>163.8</v>
      </c>
      <c r="Y34" t="n">
        <v>19</v>
      </c>
      <c r="Z34" t="n">
        <v>31.12</v>
      </c>
      <c r="AA34" t="n">
        <v>3.16</v>
      </c>
      <c r="AB34" t="n">
        <v>34.28</v>
      </c>
      <c r="AC34" t="n">
        <v>6.17</v>
      </c>
      <c r="AD34" t="n">
        <v>0</v>
      </c>
      <c r="AE34" t="n">
        <v>163.8</v>
      </c>
      <c r="AF34" t="n">
        <v>0</v>
      </c>
      <c r="AG34" t="n">
        <v>0</v>
      </c>
      <c r="AH34" t="n">
        <v>0.16</v>
      </c>
      <c r="AI34" t="n">
        <v>8.199999999999999</v>
      </c>
      <c r="AJ34" t="n">
        <v>-0.01</v>
      </c>
      <c r="AK34" t="n">
        <v>14.53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48.81</v>
      </c>
      <c r="AV34" t="n">
        <v>0</v>
      </c>
      <c r="AW34" t="n">
        <v>123.18</v>
      </c>
      <c r="AX34" t="inlineStr">
        <is>
          <t>settled</t>
        </is>
      </c>
      <c r="AY34" t="inlineStr">
        <is>
          <t>2026-01-14 05:30:00</t>
        </is>
      </c>
      <c r="AZ34" t="inlineStr">
        <is>
          <t>CITIN26605478364</t>
        </is>
      </c>
      <c r="BA34" t="n">
        <v>0</v>
      </c>
      <c r="BB34" t="inlineStr">
        <is>
          <t>a42bc6cbb7581fcb6819a44f0650a7af09afe0a88e148337187831e0f8242dc1</t>
        </is>
      </c>
    </row>
    <row r="35">
      <c r="A35" t="inlineStr">
        <is>
          <t>30</t>
        </is>
      </c>
      <c r="B35" t="inlineStr">
        <is>
          <t>7660719041</t>
        </is>
      </c>
      <c r="C35" t="inlineStr">
        <is>
          <t>2026-01-05 22:40:37</t>
        </is>
      </c>
      <c r="D35" t="inlineStr">
        <is>
          <t>2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30% off upto ₹75 (2025-06-25 - 2031-01-01)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229</v>
      </c>
      <c r="P35" t="n">
        <v>3.5</v>
      </c>
      <c r="Q35" t="n">
        <v>0</v>
      </c>
      <c r="R35" t="n">
        <v>68.7</v>
      </c>
      <c r="S35" t="n">
        <v>0</v>
      </c>
      <c r="T35" t="n">
        <v>0</v>
      </c>
      <c r="U35" t="n">
        <v>0</v>
      </c>
      <c r="V35" t="n">
        <v>8.19</v>
      </c>
      <c r="W35" t="n">
        <v>171.99</v>
      </c>
      <c r="X35" t="n">
        <v>163.8</v>
      </c>
      <c r="Y35" t="n">
        <v>19</v>
      </c>
      <c r="Z35" t="n">
        <v>31.12</v>
      </c>
      <c r="AA35" t="n">
        <v>3.16</v>
      </c>
      <c r="AB35" t="n">
        <v>34.28</v>
      </c>
      <c r="AC35" t="n">
        <v>6.17</v>
      </c>
      <c r="AD35" t="n">
        <v>0</v>
      </c>
      <c r="AE35" t="n">
        <v>163.8</v>
      </c>
      <c r="AF35" t="n">
        <v>0</v>
      </c>
      <c r="AG35" t="n">
        <v>0</v>
      </c>
      <c r="AH35" t="n">
        <v>0.16</v>
      </c>
      <c r="AI35" t="n">
        <v>8.199999999999999</v>
      </c>
      <c r="AJ35" t="n">
        <v>-0.01</v>
      </c>
      <c r="AK35" t="n">
        <v>14.53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48.81</v>
      </c>
      <c r="AV35" t="n">
        <v>0</v>
      </c>
      <c r="AW35" t="n">
        <v>123.18</v>
      </c>
      <c r="AX35" t="inlineStr">
        <is>
          <t>settled</t>
        </is>
      </c>
      <c r="AY35" t="inlineStr">
        <is>
          <t>2026-01-14 05:30:00</t>
        </is>
      </c>
      <c r="AZ35" t="inlineStr">
        <is>
          <t>CITIN26605478364</t>
        </is>
      </c>
      <c r="BA35" t="n">
        <v>0</v>
      </c>
      <c r="BB35" t="inlineStr">
        <is>
          <t>cf7d9b21cfc4c4fd22e9372c1495c5318e893144b6c3ed1880ce33cba73b1a2c</t>
        </is>
      </c>
    </row>
    <row r="36">
      <c r="A36" t="inlineStr">
        <is>
          <t>31</t>
        </is>
      </c>
      <c r="B36" t="inlineStr">
        <is>
          <t>7639747097</t>
        </is>
      </c>
      <c r="C36" t="inlineStr">
        <is>
          <t>2026-01-05 22:45:17</t>
        </is>
      </c>
      <c r="D36" t="inlineStr">
        <is>
          <t>2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229</v>
      </c>
      <c r="P36" t="n">
        <v>3.5</v>
      </c>
      <c r="Q36" t="n">
        <v>0</v>
      </c>
      <c r="R36" t="n">
        <v>68.7</v>
      </c>
      <c r="S36" t="n">
        <v>0</v>
      </c>
      <c r="T36" t="n">
        <v>0</v>
      </c>
      <c r="U36" t="n">
        <v>0</v>
      </c>
      <c r="V36" t="n">
        <v>8.19</v>
      </c>
      <c r="W36" t="n">
        <v>171.99</v>
      </c>
      <c r="X36" t="n">
        <v>163.8</v>
      </c>
      <c r="Y36" t="n">
        <v>19</v>
      </c>
      <c r="Z36" t="n">
        <v>31.12</v>
      </c>
      <c r="AA36" t="n">
        <v>3.16</v>
      </c>
      <c r="AB36" t="n">
        <v>34.28</v>
      </c>
      <c r="AC36" t="n">
        <v>6.17</v>
      </c>
      <c r="AD36" t="n">
        <v>0</v>
      </c>
      <c r="AE36" t="n">
        <v>163.8</v>
      </c>
      <c r="AF36" t="n">
        <v>0</v>
      </c>
      <c r="AG36" t="n">
        <v>0</v>
      </c>
      <c r="AH36" t="n">
        <v>0.16</v>
      </c>
      <c r="AI36" t="n">
        <v>8.199999999999999</v>
      </c>
      <c r="AJ36" t="n">
        <v>-0.01</v>
      </c>
      <c r="AK36" t="n">
        <v>14.53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48.81</v>
      </c>
      <c r="AV36" t="n">
        <v>0</v>
      </c>
      <c r="AW36" t="n">
        <v>123.18</v>
      </c>
      <c r="AX36" t="inlineStr">
        <is>
          <t>settled</t>
        </is>
      </c>
      <c r="AY36" t="inlineStr">
        <is>
          <t>2026-01-14 05:30:00</t>
        </is>
      </c>
      <c r="AZ36" t="inlineStr">
        <is>
          <t>CITIN26605478364</t>
        </is>
      </c>
      <c r="BA36" t="n">
        <v>0</v>
      </c>
      <c r="BB36" t="inlineStr">
        <is>
          <t>2bbc31bbec3c0a4ea4e924d4aa7ad19ddbf6c65db21b0eb4fe8b54287e1a55ad</t>
        </is>
      </c>
    </row>
    <row r="37">
      <c r="A37" t="inlineStr">
        <is>
          <t>32</t>
        </is>
      </c>
      <c r="B37" t="inlineStr">
        <is>
          <t>7661028742</t>
        </is>
      </c>
      <c r="C37" t="inlineStr">
        <is>
          <t>2026-01-05 22:51:16</t>
        </is>
      </c>
      <c r="D37" t="inlineStr">
        <is>
          <t>2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219</v>
      </c>
      <c r="P37" t="n">
        <v>3.5</v>
      </c>
      <c r="Q37" t="n">
        <v>0</v>
      </c>
      <c r="R37" t="n">
        <v>65.7</v>
      </c>
      <c r="S37" t="n">
        <v>0</v>
      </c>
      <c r="T37" t="n">
        <v>0</v>
      </c>
      <c r="U37" t="n">
        <v>0</v>
      </c>
      <c r="V37" t="n">
        <v>7.84</v>
      </c>
      <c r="W37" t="n">
        <v>164.64</v>
      </c>
      <c r="X37" t="n">
        <v>156.8</v>
      </c>
      <c r="Y37" t="n">
        <v>19</v>
      </c>
      <c r="Z37" t="n">
        <v>29.79</v>
      </c>
      <c r="AA37" t="n">
        <v>3.03</v>
      </c>
      <c r="AB37" t="n">
        <v>32.82</v>
      </c>
      <c r="AC37" t="n">
        <v>5.91</v>
      </c>
      <c r="AD37" t="n">
        <v>0</v>
      </c>
      <c r="AE37" t="n">
        <v>156.8</v>
      </c>
      <c r="AF37" t="n">
        <v>0</v>
      </c>
      <c r="AG37" t="n">
        <v>0</v>
      </c>
      <c r="AH37" t="n">
        <v>0.16</v>
      </c>
      <c r="AI37" t="n">
        <v>7.85</v>
      </c>
      <c r="AJ37" t="n">
        <v>-0.01</v>
      </c>
      <c r="AK37" t="n">
        <v>13.92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46.74</v>
      </c>
      <c r="AV37" t="n">
        <v>0</v>
      </c>
      <c r="AW37" t="n">
        <v>117.9</v>
      </c>
      <c r="AX37" t="inlineStr">
        <is>
          <t>settled</t>
        </is>
      </c>
      <c r="AY37" t="inlineStr">
        <is>
          <t>2026-01-14 05:30:00</t>
        </is>
      </c>
      <c r="AZ37" t="inlineStr">
        <is>
          <t>CITIN26605478364</t>
        </is>
      </c>
      <c r="BA37" t="n">
        <v>0</v>
      </c>
      <c r="BB37" t="inlineStr">
        <is>
          <t>887c4f53ae74bc67a726ec86aa16102a7df9953aa4257946910f5ff70ce6fe52</t>
        </is>
      </c>
    </row>
    <row r="38">
      <c r="A38" t="inlineStr">
        <is>
          <t>33</t>
        </is>
      </c>
      <c r="B38" t="inlineStr">
        <is>
          <t>7661188914</t>
        </is>
      </c>
      <c r="C38" t="inlineStr">
        <is>
          <t>2026-01-05 22:56:31</t>
        </is>
      </c>
      <c r="D38" t="inlineStr">
        <is>
          <t>2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289</v>
      </c>
      <c r="P38" t="n">
        <v>3.5</v>
      </c>
      <c r="Q38" t="n">
        <v>0</v>
      </c>
      <c r="R38" t="n">
        <v>75</v>
      </c>
      <c r="S38" t="n">
        <v>0</v>
      </c>
      <c r="T38" t="n">
        <v>0</v>
      </c>
      <c r="U38" t="n">
        <v>0</v>
      </c>
      <c r="V38" t="n">
        <v>10.88</v>
      </c>
      <c r="W38" t="n">
        <v>228.38</v>
      </c>
      <c r="X38" t="n">
        <v>217.5</v>
      </c>
      <c r="Y38" t="n">
        <v>19</v>
      </c>
      <c r="Z38" t="n">
        <v>41.32</v>
      </c>
      <c r="AA38" t="n">
        <v>4.2</v>
      </c>
      <c r="AB38" t="n">
        <v>45.52</v>
      </c>
      <c r="AC38" t="n">
        <v>8.199999999999999</v>
      </c>
      <c r="AD38" t="n">
        <v>0</v>
      </c>
      <c r="AE38" t="n">
        <v>217.5</v>
      </c>
      <c r="AF38" t="n">
        <v>0</v>
      </c>
      <c r="AG38" t="n">
        <v>0</v>
      </c>
      <c r="AH38" t="n">
        <v>0.22</v>
      </c>
      <c r="AI38" t="n">
        <v>10.88</v>
      </c>
      <c r="AJ38" t="n">
        <v>0</v>
      </c>
      <c r="AK38" t="n">
        <v>19.3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64.81999999999999</v>
      </c>
      <c r="AV38" t="n">
        <v>0</v>
      </c>
      <c r="AW38" t="n">
        <v>163.56</v>
      </c>
      <c r="AX38" t="inlineStr">
        <is>
          <t>settled</t>
        </is>
      </c>
      <c r="AY38" t="inlineStr">
        <is>
          <t>2026-01-14 05:30:00</t>
        </is>
      </c>
      <c r="AZ38" t="inlineStr">
        <is>
          <t>CITIN26605478364</t>
        </is>
      </c>
      <c r="BA38" t="n">
        <v>0</v>
      </c>
      <c r="BB38" t="inlineStr">
        <is>
          <t>bb3d407a63e28ec97015ecc9faf22be0e0824fa9f85b72e7122b1ee79eb573e1</t>
        </is>
      </c>
    </row>
    <row r="39">
      <c r="A39" t="inlineStr">
        <is>
          <t>34</t>
        </is>
      </c>
      <c r="B39" t="inlineStr">
        <is>
          <t>7654953366</t>
        </is>
      </c>
      <c r="C39" t="inlineStr">
        <is>
          <t>2026-01-05 23:36:53</t>
        </is>
      </c>
      <c r="D39" t="inlineStr">
        <is>
          <t>2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settled</t>
        </is>
      </c>
      <c r="AY39" t="inlineStr">
        <is>
          <t>2026-01-14 05:30:00</t>
        </is>
      </c>
      <c r="AZ39" t="inlineStr">
        <is>
          <t>CITIN26605478364</t>
        </is>
      </c>
      <c r="BA39" t="n">
        <v>0</v>
      </c>
      <c r="BB39" t="inlineStr">
        <is>
          <t>db8cc3d58cc23f5e9e88ae7c8040f0ad24d725714a290a17d6822bd2564c992a</t>
        </is>
      </c>
    </row>
    <row r="40">
      <c r="A40" t="inlineStr">
        <is>
          <t>35</t>
        </is>
      </c>
      <c r="B40" t="inlineStr">
        <is>
          <t>7661133986</t>
        </is>
      </c>
      <c r="C40" t="inlineStr">
        <is>
          <t>2026-01-05 23:51:46</t>
        </is>
      </c>
      <c r="D40" t="inlineStr">
        <is>
          <t>2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219</v>
      </c>
      <c r="P40" t="n">
        <v>3.5</v>
      </c>
      <c r="Q40" t="n">
        <v>0</v>
      </c>
      <c r="R40" t="n">
        <v>65.7</v>
      </c>
      <c r="S40" t="n">
        <v>0</v>
      </c>
      <c r="T40" t="n">
        <v>0</v>
      </c>
      <c r="U40" t="n">
        <v>0</v>
      </c>
      <c r="V40" t="n">
        <v>7.84</v>
      </c>
      <c r="W40" t="n">
        <v>164.64</v>
      </c>
      <c r="X40" t="n">
        <v>156.8</v>
      </c>
      <c r="Y40" t="n">
        <v>19</v>
      </c>
      <c r="Z40" t="n">
        <v>29.79</v>
      </c>
      <c r="AA40" t="n">
        <v>3.03</v>
      </c>
      <c r="AB40" t="n">
        <v>32.82</v>
      </c>
      <c r="AC40" t="n">
        <v>5.91</v>
      </c>
      <c r="AD40" t="n">
        <v>0</v>
      </c>
      <c r="AE40" t="n">
        <v>156.8</v>
      </c>
      <c r="AF40" t="n">
        <v>0</v>
      </c>
      <c r="AG40" t="n">
        <v>0</v>
      </c>
      <c r="AH40" t="n">
        <v>0.16</v>
      </c>
      <c r="AI40" t="n">
        <v>7.85</v>
      </c>
      <c r="AJ40" t="n">
        <v>-0.01</v>
      </c>
      <c r="AK40" t="n">
        <v>13.92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46.74</v>
      </c>
      <c r="AV40" t="n">
        <v>0</v>
      </c>
      <c r="AW40" t="n">
        <v>117.9</v>
      </c>
      <c r="AX40" t="inlineStr">
        <is>
          <t>settled</t>
        </is>
      </c>
      <c r="AY40" t="inlineStr">
        <is>
          <t>2026-01-14 05:30:00</t>
        </is>
      </c>
      <c r="AZ40" t="inlineStr">
        <is>
          <t>CITIN26605478364</t>
        </is>
      </c>
      <c r="BA40" t="n">
        <v>0</v>
      </c>
      <c r="BB40" t="inlineStr">
        <is>
          <t>59728af20d7bb8d4d10fd43193904219a3e795808b1674da6be614f7b063b819</t>
        </is>
      </c>
    </row>
    <row r="41">
      <c r="A41" t="inlineStr">
        <is>
          <t>36</t>
        </is>
      </c>
      <c r="B41" t="inlineStr">
        <is>
          <t>7661452454</t>
        </is>
      </c>
      <c r="C41" t="inlineStr">
        <is>
          <t>2026-01-06 00:14:04</t>
        </is>
      </c>
      <c r="D41" t="inlineStr">
        <is>
          <t>2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1145</v>
      </c>
      <c r="P41" t="n">
        <v>3.5</v>
      </c>
      <c r="Q41" t="n">
        <v>0</v>
      </c>
      <c r="R41" t="n">
        <v>75</v>
      </c>
      <c r="S41" t="n">
        <v>0</v>
      </c>
      <c r="T41" t="n">
        <v>0</v>
      </c>
      <c r="U41" t="n">
        <v>0</v>
      </c>
      <c r="V41" t="n">
        <v>53.68</v>
      </c>
      <c r="W41" t="n">
        <v>1127.18</v>
      </c>
      <c r="X41" t="n">
        <v>1073.5</v>
      </c>
      <c r="Y41" t="n">
        <v>19</v>
      </c>
      <c r="Z41" t="n">
        <v>203.96</v>
      </c>
      <c r="AA41" t="n">
        <v>20.74</v>
      </c>
      <c r="AB41" t="n">
        <v>224.7</v>
      </c>
      <c r="AC41" t="n">
        <v>40.44</v>
      </c>
      <c r="AD41" t="n">
        <v>0</v>
      </c>
      <c r="AE41" t="n">
        <v>1073.5</v>
      </c>
      <c r="AF41" t="n">
        <v>0</v>
      </c>
      <c r="AG41" t="n">
        <v>0</v>
      </c>
      <c r="AH41" t="n">
        <v>1.07</v>
      </c>
      <c r="AI41" t="n">
        <v>53.68</v>
      </c>
      <c r="AJ41" t="n">
        <v>0</v>
      </c>
      <c r="AK41" t="n">
        <v>95.19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319.89</v>
      </c>
      <c r="AV41" t="n">
        <v>0</v>
      </c>
      <c r="AW41" t="n">
        <v>807.29</v>
      </c>
      <c r="AX41" t="inlineStr">
        <is>
          <t>settled</t>
        </is>
      </c>
      <c r="AY41" t="inlineStr">
        <is>
          <t>2026-01-14 05:30:00</t>
        </is>
      </c>
      <c r="AZ41" t="inlineStr">
        <is>
          <t>CITIN26605478364</t>
        </is>
      </c>
      <c r="BA41" t="n">
        <v>0</v>
      </c>
      <c r="BB41" t="inlineStr">
        <is>
          <t>cba94b95e1e7d4fd6a3de1129dc2a63dd2d91dc50f0abbbb6a3d532205d9f3a2</t>
        </is>
      </c>
    </row>
    <row r="42">
      <c r="A42" t="inlineStr">
        <is>
          <t>37</t>
        </is>
      </c>
      <c r="B42" t="inlineStr">
        <is>
          <t>7661033177</t>
        </is>
      </c>
      <c r="C42" t="inlineStr">
        <is>
          <t>2026-01-06 00:53:07</t>
        </is>
      </c>
      <c r="D42" t="inlineStr">
        <is>
          <t>2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377</v>
      </c>
      <c r="P42" t="n">
        <v>3.5</v>
      </c>
      <c r="Q42" t="n">
        <v>0</v>
      </c>
      <c r="R42" t="n">
        <v>75</v>
      </c>
      <c r="S42" t="n">
        <v>0</v>
      </c>
      <c r="T42" t="n">
        <v>0</v>
      </c>
      <c r="U42" t="n">
        <v>0</v>
      </c>
      <c r="V42" t="n">
        <v>15.28</v>
      </c>
      <c r="W42" t="n">
        <v>320.78</v>
      </c>
      <c r="X42" t="n">
        <v>305.5</v>
      </c>
      <c r="Y42" t="n">
        <v>19</v>
      </c>
      <c r="Z42" t="n">
        <v>58.04</v>
      </c>
      <c r="AA42" t="n">
        <v>5.9</v>
      </c>
      <c r="AB42" t="n">
        <v>63.94</v>
      </c>
      <c r="AC42" t="n">
        <v>11.51</v>
      </c>
      <c r="AD42" t="n">
        <v>0</v>
      </c>
      <c r="AE42" t="n">
        <v>305.5</v>
      </c>
      <c r="AF42" t="n">
        <v>0</v>
      </c>
      <c r="AG42" t="n">
        <v>0</v>
      </c>
      <c r="AH42" t="n">
        <v>0.31</v>
      </c>
      <c r="AI42" t="n">
        <v>15.28</v>
      </c>
      <c r="AJ42" t="n">
        <v>0</v>
      </c>
      <c r="AK42" t="n">
        <v>27.1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91.04000000000001</v>
      </c>
      <c r="AV42" t="n">
        <v>0</v>
      </c>
      <c r="AW42" t="n">
        <v>229.74</v>
      </c>
      <c r="AX42" t="inlineStr">
        <is>
          <t>settled</t>
        </is>
      </c>
      <c r="AY42" t="inlineStr">
        <is>
          <t>2026-01-14 05:30:00</t>
        </is>
      </c>
      <c r="AZ42" t="inlineStr">
        <is>
          <t>CITIN26605478364</t>
        </is>
      </c>
      <c r="BA42" t="n">
        <v>0</v>
      </c>
      <c r="BB42" t="inlineStr">
        <is>
          <t>bd83ce6126b969455338f47cfa5390758fbb0d4bac2d5ff42c20b169b5541f18</t>
        </is>
      </c>
    </row>
    <row r="43">
      <c r="A43" t="inlineStr">
        <is>
          <t>38</t>
        </is>
      </c>
      <c r="B43" t="inlineStr">
        <is>
          <t>7649825180</t>
        </is>
      </c>
      <c r="C43" t="inlineStr">
        <is>
          <t>2026-01-06 00:59:38</t>
        </is>
      </c>
      <c r="D43" t="inlineStr">
        <is>
          <t>2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438</v>
      </c>
      <c r="P43" t="n">
        <v>3.5</v>
      </c>
      <c r="Q43" t="n">
        <v>0</v>
      </c>
      <c r="R43" t="n">
        <v>75</v>
      </c>
      <c r="S43" t="n">
        <v>0</v>
      </c>
      <c r="T43" t="n">
        <v>0</v>
      </c>
      <c r="U43" t="n">
        <v>0</v>
      </c>
      <c r="V43" t="n">
        <v>18.33</v>
      </c>
      <c r="W43" t="n">
        <v>384.83</v>
      </c>
      <c r="X43" t="n">
        <v>366.5</v>
      </c>
      <c r="Y43" t="n">
        <v>19</v>
      </c>
      <c r="Z43" t="n">
        <v>69.64</v>
      </c>
      <c r="AA43" t="n">
        <v>7.08</v>
      </c>
      <c r="AB43" t="n">
        <v>76.72</v>
      </c>
      <c r="AC43" t="n">
        <v>13.81</v>
      </c>
      <c r="AD43" t="n">
        <v>0</v>
      </c>
      <c r="AE43" t="n">
        <v>366.5</v>
      </c>
      <c r="AF43" t="n">
        <v>0</v>
      </c>
      <c r="AG43" t="n">
        <v>0</v>
      </c>
      <c r="AH43" t="n">
        <v>0.37</v>
      </c>
      <c r="AI43" t="n">
        <v>18.33</v>
      </c>
      <c r="AJ43" t="n">
        <v>0</v>
      </c>
      <c r="AK43" t="n">
        <v>32.51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109.23</v>
      </c>
      <c r="AV43" t="n">
        <v>0</v>
      </c>
      <c r="AW43" t="n">
        <v>275.6</v>
      </c>
      <c r="AX43" t="inlineStr">
        <is>
          <t>settled</t>
        </is>
      </c>
      <c r="AY43" t="inlineStr">
        <is>
          <t>2026-01-14 05:30:00</t>
        </is>
      </c>
      <c r="AZ43" t="inlineStr">
        <is>
          <t>CITIN26605478364</t>
        </is>
      </c>
      <c r="BA43" t="n">
        <v>0</v>
      </c>
      <c r="BB43" t="inlineStr">
        <is>
          <t>1d732085d2356c000f211f6e72c3d69bc59f9244b99c5fb7a60cfe8277eda39d</t>
        </is>
      </c>
    </row>
    <row r="44">
      <c r="A44" t="inlineStr">
        <is>
          <t>39</t>
        </is>
      </c>
      <c r="B44" t="inlineStr">
        <is>
          <t>7660528724</t>
        </is>
      </c>
      <c r="C44" t="inlineStr">
        <is>
          <t>2026-01-06 01:06:38</t>
        </is>
      </c>
      <c r="D44" t="inlineStr">
        <is>
          <t>2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229</v>
      </c>
      <c r="P44" t="n">
        <v>3.5</v>
      </c>
      <c r="Q44" t="n">
        <v>0</v>
      </c>
      <c r="R44" t="n">
        <v>68.7</v>
      </c>
      <c r="S44" t="n">
        <v>0</v>
      </c>
      <c r="T44" t="n">
        <v>0</v>
      </c>
      <c r="U44" t="n">
        <v>0</v>
      </c>
      <c r="V44" t="n">
        <v>8.19</v>
      </c>
      <c r="W44" t="n">
        <v>171.99</v>
      </c>
      <c r="X44" t="n">
        <v>163.8</v>
      </c>
      <c r="Y44" t="n">
        <v>19</v>
      </c>
      <c r="Z44" t="n">
        <v>31.12</v>
      </c>
      <c r="AA44" t="n">
        <v>3.16</v>
      </c>
      <c r="AB44" t="n">
        <v>34.28</v>
      </c>
      <c r="AC44" t="n">
        <v>6.17</v>
      </c>
      <c r="AD44" t="n">
        <v>0</v>
      </c>
      <c r="AE44" t="n">
        <v>163.8</v>
      </c>
      <c r="AF44" t="n">
        <v>0</v>
      </c>
      <c r="AG44" t="n">
        <v>0</v>
      </c>
      <c r="AH44" t="n">
        <v>0.16</v>
      </c>
      <c r="AI44" t="n">
        <v>8.199999999999999</v>
      </c>
      <c r="AJ44" t="n">
        <v>-0.01</v>
      </c>
      <c r="AK44" t="n">
        <v>14.53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48.81</v>
      </c>
      <c r="AV44" t="n">
        <v>0</v>
      </c>
      <c r="AW44" t="n">
        <v>123.18</v>
      </c>
      <c r="AX44" t="inlineStr">
        <is>
          <t>settled</t>
        </is>
      </c>
      <c r="AY44" t="inlineStr">
        <is>
          <t>2026-01-14 05:30:00</t>
        </is>
      </c>
      <c r="AZ44" t="inlineStr">
        <is>
          <t>CITIN26605478364</t>
        </is>
      </c>
      <c r="BA44" t="n">
        <v>0</v>
      </c>
      <c r="BB44" t="inlineStr">
        <is>
          <t>425f37ef4f94d34a257e65a3a9e64677025dfca11cc65009ac3cd383c6339c00</t>
        </is>
      </c>
    </row>
    <row r="45">
      <c r="A45" t="inlineStr">
        <is>
          <t>40</t>
        </is>
      </c>
      <c r="B45" t="inlineStr">
        <is>
          <t>7655959679</t>
        </is>
      </c>
      <c r="C45" t="inlineStr">
        <is>
          <t>2026-01-06 01:15:28</t>
        </is>
      </c>
      <c r="D45" t="inlineStr">
        <is>
          <t>2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289</v>
      </c>
      <c r="P45" t="n">
        <v>3.5</v>
      </c>
      <c r="Q45" t="n">
        <v>0</v>
      </c>
      <c r="R45" t="n">
        <v>75</v>
      </c>
      <c r="S45" t="n">
        <v>0</v>
      </c>
      <c r="T45" t="n">
        <v>0</v>
      </c>
      <c r="U45" t="n">
        <v>0</v>
      </c>
      <c r="V45" t="n">
        <v>10.88</v>
      </c>
      <c r="W45" t="n">
        <v>228.38</v>
      </c>
      <c r="X45" t="n">
        <v>217.5</v>
      </c>
      <c r="Y45" t="n">
        <v>19</v>
      </c>
      <c r="Z45" t="n">
        <v>41.32</v>
      </c>
      <c r="AA45" t="n">
        <v>4.2</v>
      </c>
      <c r="AB45" t="n">
        <v>45.52</v>
      </c>
      <c r="AC45" t="n">
        <v>8.199999999999999</v>
      </c>
      <c r="AD45" t="n">
        <v>0</v>
      </c>
      <c r="AE45" t="n">
        <v>217.5</v>
      </c>
      <c r="AF45" t="n">
        <v>0</v>
      </c>
      <c r="AG45" t="n">
        <v>0</v>
      </c>
      <c r="AH45" t="n">
        <v>0.22</v>
      </c>
      <c r="AI45" t="n">
        <v>10.88</v>
      </c>
      <c r="AJ45" t="n">
        <v>0</v>
      </c>
      <c r="AK45" t="n">
        <v>19.3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64.81999999999999</v>
      </c>
      <c r="AV45" t="n">
        <v>0</v>
      </c>
      <c r="AW45" t="n">
        <v>163.56</v>
      </c>
      <c r="AX45" t="inlineStr">
        <is>
          <t>settled</t>
        </is>
      </c>
      <c r="AY45" t="inlineStr">
        <is>
          <t>2026-01-14 05:30:00</t>
        </is>
      </c>
      <c r="AZ45" t="inlineStr">
        <is>
          <t>CITIN26605478364</t>
        </is>
      </c>
      <c r="BA45" t="n">
        <v>0</v>
      </c>
      <c r="BB45" t="inlineStr">
        <is>
          <t>f69407141a816e74ff5322e7ba2897d5cf8ebf79e7ac8ce12bd82e8565453b22</t>
        </is>
      </c>
    </row>
    <row r="46">
      <c r="A46" t="inlineStr">
        <is>
          <t>41</t>
        </is>
      </c>
      <c r="B46" t="inlineStr">
        <is>
          <t>7660658590</t>
        </is>
      </c>
      <c r="C46" t="inlineStr">
        <is>
          <t>2026-01-06 01:21:53</t>
        </is>
      </c>
      <c r="D46" t="inlineStr">
        <is>
          <t>2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458</v>
      </c>
      <c r="P46" t="n">
        <v>3.5</v>
      </c>
      <c r="Q46" t="n">
        <v>0</v>
      </c>
      <c r="R46" t="n">
        <v>75</v>
      </c>
      <c r="S46" t="n">
        <v>0</v>
      </c>
      <c r="T46" t="n">
        <v>0</v>
      </c>
      <c r="U46" t="n">
        <v>0</v>
      </c>
      <c r="V46" t="n">
        <v>19.33</v>
      </c>
      <c r="W46" t="n">
        <v>405.83</v>
      </c>
      <c r="X46" t="n">
        <v>386.5</v>
      </c>
      <c r="Y46" t="n">
        <v>19</v>
      </c>
      <c r="Z46" t="n">
        <v>73.44</v>
      </c>
      <c r="AA46" t="n">
        <v>7.47</v>
      </c>
      <c r="AB46" t="n">
        <v>80.91</v>
      </c>
      <c r="AC46" t="n">
        <v>14.56</v>
      </c>
      <c r="AD46" t="n">
        <v>0</v>
      </c>
      <c r="AE46" t="n">
        <v>386.5</v>
      </c>
      <c r="AF46" t="n">
        <v>0</v>
      </c>
      <c r="AG46" t="n">
        <v>0</v>
      </c>
      <c r="AH46" t="n">
        <v>0.39</v>
      </c>
      <c r="AI46" t="n">
        <v>19.33</v>
      </c>
      <c r="AJ46" t="n">
        <v>0</v>
      </c>
      <c r="AK46" t="n">
        <v>34.28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115.19</v>
      </c>
      <c r="AV46" t="n">
        <v>0</v>
      </c>
      <c r="AW46" t="n">
        <v>290.64</v>
      </c>
      <c r="AX46" t="inlineStr">
        <is>
          <t>settled</t>
        </is>
      </c>
      <c r="AY46" t="inlineStr">
        <is>
          <t>2026-01-14 05:30:00</t>
        </is>
      </c>
      <c r="AZ46" t="inlineStr">
        <is>
          <t>CITIN26605478364</t>
        </is>
      </c>
      <c r="BA46" t="n">
        <v>0</v>
      </c>
      <c r="BB46" t="inlineStr">
        <is>
          <t>f33bc7a038d5ab2635591df874bba2a8ff12c5b20565add1789ffe65ed9bd3ad</t>
        </is>
      </c>
    </row>
    <row r="47">
      <c r="A47" t="inlineStr">
        <is>
          <t>42</t>
        </is>
      </c>
      <c r="B47" t="inlineStr">
        <is>
          <t>7661268769</t>
        </is>
      </c>
      <c r="C47" t="inlineStr">
        <is>
          <t>2026-01-06 01:33:37</t>
        </is>
      </c>
      <c r="D47" t="inlineStr">
        <is>
          <t>2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229</v>
      </c>
      <c r="P47" t="n">
        <v>3.5</v>
      </c>
      <c r="Q47" t="n">
        <v>0</v>
      </c>
      <c r="R47" t="n">
        <v>68.7</v>
      </c>
      <c r="S47" t="n">
        <v>0</v>
      </c>
      <c r="T47" t="n">
        <v>0</v>
      </c>
      <c r="U47" t="n">
        <v>0</v>
      </c>
      <c r="V47" t="n">
        <v>8.19</v>
      </c>
      <c r="W47" t="n">
        <v>171.99</v>
      </c>
      <c r="X47" t="n">
        <v>163.8</v>
      </c>
      <c r="Y47" t="n">
        <v>19</v>
      </c>
      <c r="Z47" t="n">
        <v>31.12</v>
      </c>
      <c r="AA47" t="n">
        <v>3.16</v>
      </c>
      <c r="AB47" t="n">
        <v>34.28</v>
      </c>
      <c r="AC47" t="n">
        <v>6.17</v>
      </c>
      <c r="AD47" t="n">
        <v>0</v>
      </c>
      <c r="AE47" t="n">
        <v>163.8</v>
      </c>
      <c r="AF47" t="n">
        <v>0</v>
      </c>
      <c r="AG47" t="n">
        <v>0</v>
      </c>
      <c r="AH47" t="n">
        <v>0.16</v>
      </c>
      <c r="AI47" t="n">
        <v>8.199999999999999</v>
      </c>
      <c r="AJ47" t="n">
        <v>-0.01</v>
      </c>
      <c r="AK47" t="n">
        <v>14.53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48.81</v>
      </c>
      <c r="AV47" t="n">
        <v>0</v>
      </c>
      <c r="AW47" t="n">
        <v>123.18</v>
      </c>
      <c r="AX47" t="inlineStr">
        <is>
          <t>settled</t>
        </is>
      </c>
      <c r="AY47" t="inlineStr">
        <is>
          <t>2026-01-14 05:30:00</t>
        </is>
      </c>
      <c r="AZ47" t="inlineStr">
        <is>
          <t>CITIN26605478364</t>
        </is>
      </c>
      <c r="BA47" t="n">
        <v>0</v>
      </c>
      <c r="BB47" t="inlineStr">
        <is>
          <t>cd3099a2399861787ba428b5ed174a5ff48eed174765851b0028e641a6812beb</t>
        </is>
      </c>
    </row>
    <row r="48">
      <c r="A48" t="inlineStr">
        <is>
          <t>43</t>
        </is>
      </c>
      <c r="B48" t="inlineStr">
        <is>
          <t>7661826932</t>
        </is>
      </c>
      <c r="C48" t="inlineStr">
        <is>
          <t>2026-01-06 01:47:20</t>
        </is>
      </c>
      <c r="D48" t="inlineStr">
        <is>
          <t>2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NA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229</v>
      </c>
      <c r="P48" t="n">
        <v>3.5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11.63</v>
      </c>
      <c r="W48" t="n">
        <v>244.13</v>
      </c>
      <c r="X48" t="n">
        <v>232.5</v>
      </c>
      <c r="Y48" t="n">
        <v>19</v>
      </c>
      <c r="Z48" t="n">
        <v>44.18</v>
      </c>
      <c r="AA48" t="n">
        <v>4.49</v>
      </c>
      <c r="AB48" t="n">
        <v>48.67</v>
      </c>
      <c r="AC48" t="n">
        <v>8.76</v>
      </c>
      <c r="AD48" t="n">
        <v>0</v>
      </c>
      <c r="AE48" t="n">
        <v>232.5</v>
      </c>
      <c r="AF48" t="n">
        <v>0</v>
      </c>
      <c r="AG48" t="n">
        <v>0</v>
      </c>
      <c r="AH48" t="n">
        <v>0.23</v>
      </c>
      <c r="AI48" t="n">
        <v>11.63</v>
      </c>
      <c r="AJ48" t="n">
        <v>0</v>
      </c>
      <c r="AK48" t="n">
        <v>20.62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69.29000000000001</v>
      </c>
      <c r="AV48" t="n">
        <v>0</v>
      </c>
      <c r="AW48" t="n">
        <v>174.84</v>
      </c>
      <c r="AX48" t="inlineStr">
        <is>
          <t>settled</t>
        </is>
      </c>
      <c r="AY48" t="inlineStr">
        <is>
          <t>2026-01-14 05:30:00</t>
        </is>
      </c>
      <c r="AZ48" t="inlineStr">
        <is>
          <t>CITIN26605478364</t>
        </is>
      </c>
      <c r="BA48" t="n">
        <v>0</v>
      </c>
      <c r="BB48" t="inlineStr">
        <is>
          <t>488bd92ab932e5dde66831c18feadaea775b208762c18ebaa91344bfd4f516be</t>
        </is>
      </c>
    </row>
    <row r="49">
      <c r="A49" t="inlineStr">
        <is>
          <t>44</t>
        </is>
      </c>
      <c r="B49" t="inlineStr">
        <is>
          <t>7647397467</t>
        </is>
      </c>
      <c r="C49" t="inlineStr">
        <is>
          <t>2026-01-06 01:52:56</t>
        </is>
      </c>
      <c r="D49" t="inlineStr">
        <is>
          <t>2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438</v>
      </c>
      <c r="P49" t="n">
        <v>3.5</v>
      </c>
      <c r="Q49" t="n">
        <v>0</v>
      </c>
      <c r="R49" t="n">
        <v>75</v>
      </c>
      <c r="S49" t="n">
        <v>0</v>
      </c>
      <c r="T49" t="n">
        <v>0</v>
      </c>
      <c r="U49" t="n">
        <v>0</v>
      </c>
      <c r="V49" t="n">
        <v>18.33</v>
      </c>
      <c r="W49" t="n">
        <v>384.83</v>
      </c>
      <c r="X49" t="n">
        <v>366.5</v>
      </c>
      <c r="Y49" t="n">
        <v>19</v>
      </c>
      <c r="Z49" t="n">
        <v>69.64</v>
      </c>
      <c r="AA49" t="n">
        <v>7.08</v>
      </c>
      <c r="AB49" t="n">
        <v>76.72</v>
      </c>
      <c r="AC49" t="n">
        <v>13.81</v>
      </c>
      <c r="AD49" t="n">
        <v>0</v>
      </c>
      <c r="AE49" t="n">
        <v>366.5</v>
      </c>
      <c r="AF49" t="n">
        <v>0</v>
      </c>
      <c r="AG49" t="n">
        <v>0</v>
      </c>
      <c r="AH49" t="n">
        <v>0.37</v>
      </c>
      <c r="AI49" t="n">
        <v>18.33</v>
      </c>
      <c r="AJ49" t="n">
        <v>0</v>
      </c>
      <c r="AK49" t="n">
        <v>32.51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109.23</v>
      </c>
      <c r="AV49" t="n">
        <v>0</v>
      </c>
      <c r="AW49" t="n">
        <v>275.6</v>
      </c>
      <c r="AX49" t="inlineStr">
        <is>
          <t>settled</t>
        </is>
      </c>
      <c r="AY49" t="inlineStr">
        <is>
          <t>2026-01-14 05:30:00</t>
        </is>
      </c>
      <c r="AZ49" t="inlineStr">
        <is>
          <t>CITIN26605478364</t>
        </is>
      </c>
      <c r="BA49" t="n">
        <v>0</v>
      </c>
      <c r="BB49" t="inlineStr">
        <is>
          <t>105b635227c3b851ca171f1cae021a52691705df398d8e4546f37d4097666328</t>
        </is>
      </c>
    </row>
    <row r="50">
      <c r="A50" t="inlineStr">
        <is>
          <t>45</t>
        </is>
      </c>
      <c r="B50" t="inlineStr">
        <is>
          <t>7658886139</t>
        </is>
      </c>
      <c r="C50" t="inlineStr">
        <is>
          <t>2026-01-06 02:42:44</t>
        </is>
      </c>
      <c r="D50" t="inlineStr">
        <is>
          <t>2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NA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536</v>
      </c>
      <c r="P50" t="n">
        <v>3.5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26.98</v>
      </c>
      <c r="W50" t="n">
        <v>566.48</v>
      </c>
      <c r="X50" t="n">
        <v>539.5</v>
      </c>
      <c r="Y50" t="n">
        <v>19</v>
      </c>
      <c r="Z50" t="n">
        <v>102.5</v>
      </c>
      <c r="AA50" t="n">
        <v>10.42</v>
      </c>
      <c r="AB50" t="n">
        <v>112.92</v>
      </c>
      <c r="AC50" t="n">
        <v>20.33</v>
      </c>
      <c r="AD50" t="n">
        <v>0</v>
      </c>
      <c r="AE50" t="n">
        <v>539.5</v>
      </c>
      <c r="AF50" t="n">
        <v>0</v>
      </c>
      <c r="AG50" t="n">
        <v>0</v>
      </c>
      <c r="AH50" t="n">
        <v>0.54</v>
      </c>
      <c r="AI50" t="n">
        <v>26.98</v>
      </c>
      <c r="AJ50" t="n">
        <v>0</v>
      </c>
      <c r="AK50" t="n">
        <v>47.85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160.77</v>
      </c>
      <c r="AV50" t="n">
        <v>0</v>
      </c>
      <c r="AW50" t="n">
        <v>405.71</v>
      </c>
      <c r="AX50" t="inlineStr">
        <is>
          <t>settled</t>
        </is>
      </c>
      <c r="AY50" t="inlineStr">
        <is>
          <t>2026-01-14 05:30:00</t>
        </is>
      </c>
      <c r="AZ50" t="inlineStr">
        <is>
          <t>CITIN26605478364</t>
        </is>
      </c>
      <c r="BA50" t="n">
        <v>0</v>
      </c>
      <c r="BB50" t="inlineStr">
        <is>
          <t>411c247c7c89cea6a22761fbb200299b12f00ab82b8f2eff16fa513002f9dc33</t>
        </is>
      </c>
    </row>
    <row r="51">
      <c r="A51" t="inlineStr">
        <is>
          <t>46</t>
        </is>
      </c>
      <c r="B51" t="inlineStr">
        <is>
          <t>7658294740</t>
        </is>
      </c>
      <c r="C51" t="inlineStr">
        <is>
          <t>2026-01-06 02:54:51</t>
        </is>
      </c>
      <c r="D51" t="inlineStr">
        <is>
          <t>2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458</v>
      </c>
      <c r="P51" t="n">
        <v>3.5</v>
      </c>
      <c r="Q51" t="n">
        <v>0</v>
      </c>
      <c r="R51" t="n">
        <v>75</v>
      </c>
      <c r="S51" t="n">
        <v>0</v>
      </c>
      <c r="T51" t="n">
        <v>0</v>
      </c>
      <c r="U51" t="n">
        <v>0</v>
      </c>
      <c r="V51" t="n">
        <v>19.33</v>
      </c>
      <c r="W51" t="n">
        <v>405.83</v>
      </c>
      <c r="X51" t="n">
        <v>386.5</v>
      </c>
      <c r="Y51" t="n">
        <v>19</v>
      </c>
      <c r="Z51" t="n">
        <v>73.44</v>
      </c>
      <c r="AA51" t="n">
        <v>7.47</v>
      </c>
      <c r="AB51" t="n">
        <v>80.91</v>
      </c>
      <c r="AC51" t="n">
        <v>14.56</v>
      </c>
      <c r="AD51" t="n">
        <v>0</v>
      </c>
      <c r="AE51" t="n">
        <v>386.5</v>
      </c>
      <c r="AF51" t="n">
        <v>0</v>
      </c>
      <c r="AG51" t="n">
        <v>0</v>
      </c>
      <c r="AH51" t="n">
        <v>0.39</v>
      </c>
      <c r="AI51" t="n">
        <v>19.33</v>
      </c>
      <c r="AJ51" t="n">
        <v>0</v>
      </c>
      <c r="AK51" t="n">
        <v>34.28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115.19</v>
      </c>
      <c r="AV51" t="n">
        <v>0</v>
      </c>
      <c r="AW51" t="n">
        <v>290.64</v>
      </c>
      <c r="AX51" t="inlineStr">
        <is>
          <t>settled</t>
        </is>
      </c>
      <c r="AY51" t="inlineStr">
        <is>
          <t>2026-01-14 05:30:00</t>
        </is>
      </c>
      <c r="AZ51" t="inlineStr">
        <is>
          <t>CITIN26605478364</t>
        </is>
      </c>
      <c r="BA51" t="n">
        <v>0</v>
      </c>
      <c r="BB51" t="inlineStr">
        <is>
          <t>e1b7fbdc713c775572e4dc7faaf1373852b61d14d3039a7fbd99274495e30d88</t>
        </is>
      </c>
    </row>
    <row r="52">
      <c r="A52" t="inlineStr">
        <is>
          <t>47</t>
        </is>
      </c>
      <c r="B52" t="inlineStr">
        <is>
          <t>7659393030</t>
        </is>
      </c>
      <c r="C52" t="inlineStr">
        <is>
          <t>2026-01-06 03:15:28</t>
        </is>
      </c>
      <c r="D52" t="inlineStr">
        <is>
          <t>2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229</v>
      </c>
      <c r="P52" t="n">
        <v>3.5</v>
      </c>
      <c r="Q52" t="n">
        <v>0</v>
      </c>
      <c r="R52" t="n">
        <v>68.7</v>
      </c>
      <c r="S52" t="n">
        <v>0</v>
      </c>
      <c r="T52" t="n">
        <v>0</v>
      </c>
      <c r="U52" t="n">
        <v>0</v>
      </c>
      <c r="V52" t="n">
        <v>8.19</v>
      </c>
      <c r="W52" t="n">
        <v>171.99</v>
      </c>
      <c r="X52" t="n">
        <v>163.8</v>
      </c>
      <c r="Y52" t="n">
        <v>19</v>
      </c>
      <c r="Z52" t="n">
        <v>31.12</v>
      </c>
      <c r="AA52" t="n">
        <v>3.16</v>
      </c>
      <c r="AB52" t="n">
        <v>34.28</v>
      </c>
      <c r="AC52" t="n">
        <v>6.17</v>
      </c>
      <c r="AD52" t="n">
        <v>0</v>
      </c>
      <c r="AE52" t="n">
        <v>163.8</v>
      </c>
      <c r="AF52" t="n">
        <v>0</v>
      </c>
      <c r="AG52" t="n">
        <v>0</v>
      </c>
      <c r="AH52" t="n">
        <v>0.16</v>
      </c>
      <c r="AI52" t="n">
        <v>8.199999999999999</v>
      </c>
      <c r="AJ52" t="n">
        <v>-0.01</v>
      </c>
      <c r="AK52" t="n">
        <v>14.53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48.81</v>
      </c>
      <c r="AV52" t="n">
        <v>0</v>
      </c>
      <c r="AW52" t="n">
        <v>123.18</v>
      </c>
      <c r="AX52" t="inlineStr">
        <is>
          <t>settled</t>
        </is>
      </c>
      <c r="AY52" t="inlineStr">
        <is>
          <t>2026-01-14 05:30:00</t>
        </is>
      </c>
      <c r="AZ52" t="inlineStr">
        <is>
          <t>CITIN26605478364</t>
        </is>
      </c>
      <c r="BA52" t="n">
        <v>0</v>
      </c>
      <c r="BB52" t="inlineStr">
        <is>
          <t>f59205a6412cd5d8fe633658ae0da95767dd06ef0e84e3115f815110c4b1996e</t>
        </is>
      </c>
    </row>
    <row r="53">
      <c r="A53" t="inlineStr">
        <is>
          <t>48</t>
        </is>
      </c>
      <c r="B53" t="inlineStr">
        <is>
          <t>7658180486</t>
        </is>
      </c>
      <c r="C53" t="inlineStr">
        <is>
          <t>2026-01-06 03:22:02</t>
        </is>
      </c>
      <c r="D53" t="inlineStr">
        <is>
          <t>2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229</v>
      </c>
      <c r="P53" t="n">
        <v>3.5</v>
      </c>
      <c r="Q53" t="n">
        <v>0</v>
      </c>
      <c r="R53" t="n">
        <v>68.7</v>
      </c>
      <c r="S53" t="n">
        <v>0</v>
      </c>
      <c r="T53" t="n">
        <v>0</v>
      </c>
      <c r="U53" t="n">
        <v>0</v>
      </c>
      <c r="V53" t="n">
        <v>8.19</v>
      </c>
      <c r="W53" t="n">
        <v>171.99</v>
      </c>
      <c r="X53" t="n">
        <v>163.8</v>
      </c>
      <c r="Y53" t="n">
        <v>19</v>
      </c>
      <c r="Z53" t="n">
        <v>31.12</v>
      </c>
      <c r="AA53" t="n">
        <v>3.16</v>
      </c>
      <c r="AB53" t="n">
        <v>34.28</v>
      </c>
      <c r="AC53" t="n">
        <v>6.17</v>
      </c>
      <c r="AD53" t="n">
        <v>0</v>
      </c>
      <c r="AE53" t="n">
        <v>163.8</v>
      </c>
      <c r="AF53" t="n">
        <v>0</v>
      </c>
      <c r="AG53" t="n">
        <v>0</v>
      </c>
      <c r="AH53" t="n">
        <v>0.16</v>
      </c>
      <c r="AI53" t="n">
        <v>8.199999999999999</v>
      </c>
      <c r="AJ53" t="n">
        <v>-0.01</v>
      </c>
      <c r="AK53" t="n">
        <v>14.53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48.81</v>
      </c>
      <c r="AV53" t="n">
        <v>0</v>
      </c>
      <c r="AW53" t="n">
        <v>123.18</v>
      </c>
      <c r="AX53" t="inlineStr">
        <is>
          <t>settled</t>
        </is>
      </c>
      <c r="AY53" t="inlineStr">
        <is>
          <t>2026-01-14 05:30:00</t>
        </is>
      </c>
      <c r="AZ53" t="inlineStr">
        <is>
          <t>CITIN26605478364</t>
        </is>
      </c>
      <c r="BA53" t="n">
        <v>0</v>
      </c>
      <c r="BB53" t="inlineStr">
        <is>
          <t>6b4e3280148b5f142bad6abdc86808dddeba8bc30460d6333c176414877e6dc6</t>
        </is>
      </c>
    </row>
    <row r="54">
      <c r="A54" t="inlineStr">
        <is>
          <t>49</t>
        </is>
      </c>
      <c r="B54" t="inlineStr">
        <is>
          <t>7659784354</t>
        </is>
      </c>
      <c r="C54" t="inlineStr">
        <is>
          <t>2026-01-06 04:34:36</t>
        </is>
      </c>
      <c r="D54" t="inlineStr">
        <is>
          <t>2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508</v>
      </c>
      <c r="P54" t="n">
        <v>3.5</v>
      </c>
      <c r="Q54" t="n">
        <v>0</v>
      </c>
      <c r="R54" t="n">
        <v>75</v>
      </c>
      <c r="S54" t="n">
        <v>0</v>
      </c>
      <c r="T54" t="n">
        <v>0</v>
      </c>
      <c r="U54" t="n">
        <v>0</v>
      </c>
      <c r="V54" t="n">
        <v>21.83</v>
      </c>
      <c r="W54" t="n">
        <v>458.33</v>
      </c>
      <c r="X54" t="n">
        <v>436.5</v>
      </c>
      <c r="Y54" t="n">
        <v>19</v>
      </c>
      <c r="Z54" t="n">
        <v>82.94</v>
      </c>
      <c r="AA54" t="n">
        <v>8.43</v>
      </c>
      <c r="AB54" t="n">
        <v>91.37</v>
      </c>
      <c r="AC54" t="n">
        <v>16.45</v>
      </c>
      <c r="AD54" t="n">
        <v>0</v>
      </c>
      <c r="AE54" t="n">
        <v>436.5</v>
      </c>
      <c r="AF54" t="n">
        <v>0</v>
      </c>
      <c r="AG54" t="n">
        <v>0</v>
      </c>
      <c r="AH54" t="n">
        <v>0.44</v>
      </c>
      <c r="AI54" t="n">
        <v>21.83</v>
      </c>
      <c r="AJ54" t="n">
        <v>0</v>
      </c>
      <c r="AK54" t="n">
        <v>38.72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130.09</v>
      </c>
      <c r="AV54" t="n">
        <v>0</v>
      </c>
      <c r="AW54" t="n">
        <v>328.24</v>
      </c>
      <c r="AX54" t="inlineStr">
        <is>
          <t>settled</t>
        </is>
      </c>
      <c r="AY54" t="inlineStr">
        <is>
          <t>2026-01-14 05:30:00</t>
        </is>
      </c>
      <c r="AZ54" t="inlineStr">
        <is>
          <t>CITIN26605478364</t>
        </is>
      </c>
      <c r="BA54" t="n">
        <v>0</v>
      </c>
      <c r="BB54" t="inlineStr">
        <is>
          <t>086411799e28a8525dea348622bdb22d58d072e382e8ddc12dfbc5eb055eaa2d</t>
        </is>
      </c>
    </row>
    <row r="55">
      <c r="A55" t="inlineStr">
        <is>
          <t>50</t>
        </is>
      </c>
      <c r="B55" t="inlineStr">
        <is>
          <t>7661882257</t>
        </is>
      </c>
      <c r="C55" t="inlineStr">
        <is>
          <t>2026-01-06 04:48:03</t>
        </is>
      </c>
      <c r="D55" t="inlineStr">
        <is>
          <t>2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229</v>
      </c>
      <c r="P55" t="n">
        <v>3.5</v>
      </c>
      <c r="Q55" t="n">
        <v>0</v>
      </c>
      <c r="R55" t="n">
        <v>68.7</v>
      </c>
      <c r="S55" t="n">
        <v>0</v>
      </c>
      <c r="T55" t="n">
        <v>0</v>
      </c>
      <c r="U55" t="n">
        <v>0</v>
      </c>
      <c r="V55" t="n">
        <v>8.19</v>
      </c>
      <c r="W55" t="n">
        <v>171.99</v>
      </c>
      <c r="X55" t="n">
        <v>163.8</v>
      </c>
      <c r="Y55" t="n">
        <v>19</v>
      </c>
      <c r="Z55" t="n">
        <v>31.12</v>
      </c>
      <c r="AA55" t="n">
        <v>3.16</v>
      </c>
      <c r="AB55" t="n">
        <v>34.28</v>
      </c>
      <c r="AC55" t="n">
        <v>6.17</v>
      </c>
      <c r="AD55" t="n">
        <v>0</v>
      </c>
      <c r="AE55" t="n">
        <v>163.8</v>
      </c>
      <c r="AF55" t="n">
        <v>0</v>
      </c>
      <c r="AG55" t="n">
        <v>0</v>
      </c>
      <c r="AH55" t="n">
        <v>0.16</v>
      </c>
      <c r="AI55" t="n">
        <v>8.199999999999999</v>
      </c>
      <c r="AJ55" t="n">
        <v>-0.01</v>
      </c>
      <c r="AK55" t="n">
        <v>14.53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48.81</v>
      </c>
      <c r="AV55" t="n">
        <v>0</v>
      </c>
      <c r="AW55" t="n">
        <v>123.18</v>
      </c>
      <c r="AX55" t="inlineStr">
        <is>
          <t>settled</t>
        </is>
      </c>
      <c r="AY55" t="inlineStr">
        <is>
          <t>2026-01-14 05:30:00</t>
        </is>
      </c>
      <c r="AZ55" t="inlineStr">
        <is>
          <t>CITIN26605478364</t>
        </is>
      </c>
      <c r="BA55" t="n">
        <v>0</v>
      </c>
      <c r="BB55" t="inlineStr">
        <is>
          <t>5f60044d35da9fd40516a3566441045451d0ccf0e1b22ac619fddb413b71f1d8</t>
        </is>
      </c>
    </row>
    <row r="56">
      <c r="A56" t="inlineStr">
        <is>
          <t>51</t>
        </is>
      </c>
      <c r="B56" t="inlineStr">
        <is>
          <t>7656403189</t>
        </is>
      </c>
      <c r="C56" t="inlineStr">
        <is>
          <t>2026-01-06 09:42:28</t>
        </is>
      </c>
      <c r="D56" t="inlineStr">
        <is>
          <t>2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845</v>
      </c>
      <c r="P56" t="n">
        <v>3.5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42.43</v>
      </c>
      <c r="W56" t="n">
        <v>890.9299999999999</v>
      </c>
      <c r="X56" t="n">
        <v>848.5</v>
      </c>
      <c r="Y56" t="n">
        <v>19</v>
      </c>
      <c r="Z56" t="n">
        <v>161.22</v>
      </c>
      <c r="AA56" t="n">
        <v>16.39</v>
      </c>
      <c r="AB56" t="n">
        <v>177.61</v>
      </c>
      <c r="AC56" t="n">
        <v>31.97</v>
      </c>
      <c r="AD56" t="n">
        <v>0</v>
      </c>
      <c r="AE56" t="n">
        <v>848.5</v>
      </c>
      <c r="AF56" t="n">
        <v>0</v>
      </c>
      <c r="AG56" t="n">
        <v>0</v>
      </c>
      <c r="AH56" t="n">
        <v>0.85</v>
      </c>
      <c r="AI56" t="n">
        <v>42.43</v>
      </c>
      <c r="AJ56" t="n">
        <v>0</v>
      </c>
      <c r="AK56" t="n">
        <v>75.25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252.86</v>
      </c>
      <c r="AV56" t="n">
        <v>0</v>
      </c>
      <c r="AW56" t="n">
        <v>638.0700000000001</v>
      </c>
      <c r="AX56" t="inlineStr">
        <is>
          <t>settled</t>
        </is>
      </c>
      <c r="AY56" t="inlineStr">
        <is>
          <t>2026-01-14 05:30:00</t>
        </is>
      </c>
      <c r="AZ56" t="inlineStr">
        <is>
          <t>CITIN26605478364</t>
        </is>
      </c>
      <c r="BA56" t="n">
        <v>0</v>
      </c>
      <c r="BB56" t="inlineStr">
        <is>
          <t>d5a3c96603d8cd7c23ca8c997335649b60757f1031543c28b13be056ff4db57c</t>
        </is>
      </c>
    </row>
    <row r="57">
      <c r="A57" t="inlineStr">
        <is>
          <t>52</t>
        </is>
      </c>
      <c r="B57" t="inlineStr">
        <is>
          <t>7657378332</t>
        </is>
      </c>
      <c r="C57" t="inlineStr">
        <is>
          <t>2026-01-06 12:50:30</t>
        </is>
      </c>
      <c r="D57" t="inlineStr">
        <is>
          <t>2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settled</t>
        </is>
      </c>
      <c r="AY57" t="inlineStr">
        <is>
          <t>2026-01-14 05:30:00</t>
        </is>
      </c>
      <c r="AZ57" t="inlineStr">
        <is>
          <t>CITIN26605478364</t>
        </is>
      </c>
      <c r="BA57" t="n">
        <v>0</v>
      </c>
      <c r="BB57" t="inlineStr">
        <is>
          <t>019510b195e5619c98690c0fba51eb86eb62737b2dd98ae26275f8cf2db7f669</t>
        </is>
      </c>
    </row>
    <row r="58">
      <c r="A58" t="inlineStr">
        <is>
          <t>53</t>
        </is>
      </c>
      <c r="B58" t="inlineStr">
        <is>
          <t>7646220090</t>
        </is>
      </c>
      <c r="C58" t="inlineStr">
        <is>
          <t>2026-01-06 13:08:38</t>
        </is>
      </c>
      <c r="D58" t="inlineStr">
        <is>
          <t>2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2026-01-14 05:30:00</t>
        </is>
      </c>
      <c r="AZ58" t="inlineStr">
        <is>
          <t>CITIN26605478364</t>
        </is>
      </c>
      <c r="BA58" t="n">
        <v>0</v>
      </c>
      <c r="BB58" t="inlineStr">
        <is>
          <t>daa04af0cebcab8848a2d816fdd79038b7e181e971f49fe06756355fb97e1cc4</t>
        </is>
      </c>
    </row>
    <row r="59">
      <c r="A59" t="inlineStr">
        <is>
          <t>54</t>
        </is>
      </c>
      <c r="B59" t="inlineStr">
        <is>
          <t>7659118077</t>
        </is>
      </c>
      <c r="C59" t="inlineStr">
        <is>
          <t>2026-01-06 13:43:29</t>
        </is>
      </c>
      <c r="D59" t="inlineStr">
        <is>
          <t>2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NA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219</v>
      </c>
      <c r="P59" t="n">
        <v>3.5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11.13</v>
      </c>
      <c r="W59" t="n">
        <v>233.63</v>
      </c>
      <c r="X59" t="n">
        <v>222.5</v>
      </c>
      <c r="Y59" t="n">
        <v>19</v>
      </c>
      <c r="Z59" t="n">
        <v>42.28</v>
      </c>
      <c r="AA59" t="n">
        <v>4.3</v>
      </c>
      <c r="AB59" t="n">
        <v>46.58</v>
      </c>
      <c r="AC59" t="n">
        <v>8.380000000000001</v>
      </c>
      <c r="AD59" t="n">
        <v>0</v>
      </c>
      <c r="AE59" t="n">
        <v>222.5</v>
      </c>
      <c r="AF59" t="n">
        <v>0</v>
      </c>
      <c r="AG59" t="n">
        <v>0</v>
      </c>
      <c r="AH59" t="n">
        <v>0.22</v>
      </c>
      <c r="AI59" t="n">
        <v>11.13</v>
      </c>
      <c r="AJ59" t="n">
        <v>0</v>
      </c>
      <c r="AK59" t="n">
        <v>19.73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66.31</v>
      </c>
      <c r="AV59" t="n">
        <v>0</v>
      </c>
      <c r="AW59" t="n">
        <v>167.32</v>
      </c>
      <c r="AX59" t="inlineStr">
        <is>
          <t>settled</t>
        </is>
      </c>
      <c r="AY59" t="inlineStr">
        <is>
          <t>2026-01-14 05:30:00</t>
        </is>
      </c>
      <c r="AZ59" t="inlineStr">
        <is>
          <t>CITIN26605478364</t>
        </is>
      </c>
      <c r="BA59" t="n">
        <v>0</v>
      </c>
      <c r="BB59" t="inlineStr">
        <is>
          <t>1ac3cd1261981e3b6528a06cc98b9c6a89c2005ce21e71deb48f4b4bd5e5dfea</t>
        </is>
      </c>
    </row>
    <row r="60">
      <c r="A60" t="inlineStr">
        <is>
          <t>55</t>
        </is>
      </c>
      <c r="B60" t="inlineStr">
        <is>
          <t>7660877915</t>
        </is>
      </c>
      <c r="C60" t="inlineStr">
        <is>
          <t>2026-01-06 13:50:03</t>
        </is>
      </c>
      <c r="D60" t="inlineStr">
        <is>
          <t>2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458</v>
      </c>
      <c r="P60" t="n">
        <v>3.5</v>
      </c>
      <c r="Q60" t="n">
        <v>0</v>
      </c>
      <c r="R60" t="n">
        <v>75</v>
      </c>
      <c r="S60" t="n">
        <v>0</v>
      </c>
      <c r="T60" t="n">
        <v>0</v>
      </c>
      <c r="U60" t="n">
        <v>0</v>
      </c>
      <c r="V60" t="n">
        <v>19.33</v>
      </c>
      <c r="W60" t="n">
        <v>405.83</v>
      </c>
      <c r="X60" t="n">
        <v>386.5</v>
      </c>
      <c r="Y60" t="n">
        <v>19</v>
      </c>
      <c r="Z60" t="n">
        <v>73.44</v>
      </c>
      <c r="AA60" t="n">
        <v>7.47</v>
      </c>
      <c r="AB60" t="n">
        <v>80.91</v>
      </c>
      <c r="AC60" t="n">
        <v>14.56</v>
      </c>
      <c r="AD60" t="n">
        <v>0</v>
      </c>
      <c r="AE60" t="n">
        <v>386.5</v>
      </c>
      <c r="AF60" t="n">
        <v>0</v>
      </c>
      <c r="AG60" t="n">
        <v>0</v>
      </c>
      <c r="AH60" t="n">
        <v>0.39</v>
      </c>
      <c r="AI60" t="n">
        <v>19.33</v>
      </c>
      <c r="AJ60" t="n">
        <v>0</v>
      </c>
      <c r="AK60" t="n">
        <v>34.28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115.19</v>
      </c>
      <c r="AV60" t="n">
        <v>0</v>
      </c>
      <c r="AW60" t="n">
        <v>290.64</v>
      </c>
      <c r="AX60" t="inlineStr">
        <is>
          <t>settled</t>
        </is>
      </c>
      <c r="AY60" t="inlineStr">
        <is>
          <t>2026-01-14 05:30:00</t>
        </is>
      </c>
      <c r="AZ60" t="inlineStr">
        <is>
          <t>CITIN26605478364</t>
        </is>
      </c>
      <c r="BA60" t="n">
        <v>0</v>
      </c>
      <c r="BB60" t="inlineStr">
        <is>
          <t>6b4e3280148b5f142bad6abdc86808dddeba8bc30460d6333c176414877e6dc6</t>
        </is>
      </c>
    </row>
    <row r="61">
      <c r="A61" t="inlineStr">
        <is>
          <t>56</t>
        </is>
      </c>
      <c r="B61" t="inlineStr">
        <is>
          <t>7655279640</t>
        </is>
      </c>
      <c r="C61" t="inlineStr">
        <is>
          <t>2026-01-06 14:08:39</t>
        </is>
      </c>
      <c r="D61" t="inlineStr">
        <is>
          <t>2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NA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11.63</v>
      </c>
      <c r="W61" t="n">
        <v>244.13</v>
      </c>
      <c r="X61" t="n">
        <v>232.5</v>
      </c>
      <c r="Y61" t="n">
        <v>19</v>
      </c>
      <c r="Z61" t="n">
        <v>44.18</v>
      </c>
      <c r="AA61" t="n">
        <v>4.49</v>
      </c>
      <c r="AB61" t="n">
        <v>48.67</v>
      </c>
      <c r="AC61" t="n">
        <v>8.76</v>
      </c>
      <c r="AD61" t="n">
        <v>0</v>
      </c>
      <c r="AE61" t="n">
        <v>232.5</v>
      </c>
      <c r="AF61" t="n">
        <v>0</v>
      </c>
      <c r="AG61" t="n">
        <v>0</v>
      </c>
      <c r="AH61" t="n">
        <v>0.23</v>
      </c>
      <c r="AI61" t="n">
        <v>11.63</v>
      </c>
      <c r="AJ61" t="n">
        <v>0</v>
      </c>
      <c r="AK61" t="n">
        <v>20.62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69.29000000000001</v>
      </c>
      <c r="AV61" t="n">
        <v>0</v>
      </c>
      <c r="AW61" t="n">
        <v>174.84</v>
      </c>
      <c r="AX61" t="inlineStr">
        <is>
          <t>settled</t>
        </is>
      </c>
      <c r="AY61" t="inlineStr">
        <is>
          <t>2026-01-14 05:30:00</t>
        </is>
      </c>
      <c r="AZ61" t="inlineStr">
        <is>
          <t>CITIN26605478364</t>
        </is>
      </c>
      <c r="BA61" t="n">
        <v>0</v>
      </c>
      <c r="BB61" t="inlineStr">
        <is>
          <t>0a654877908e9d9b6ef3d2417641482f9fc9da20fd8998493ba6b0bccc2ed935</t>
        </is>
      </c>
    </row>
    <row r="62">
      <c r="A62" t="inlineStr">
        <is>
          <t>57</t>
        </is>
      </c>
      <c r="B62" t="inlineStr">
        <is>
          <t>7655461018</t>
        </is>
      </c>
      <c r="C62" t="inlineStr">
        <is>
          <t>2026-01-06 14:58:06</t>
        </is>
      </c>
      <c r="D62" t="inlineStr">
        <is>
          <t>2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NA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219</v>
      </c>
      <c r="P62" t="n">
        <v>3.5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11.13</v>
      </c>
      <c r="W62" t="n">
        <v>233.63</v>
      </c>
      <c r="X62" t="n">
        <v>222.5</v>
      </c>
      <c r="Y62" t="n">
        <v>19</v>
      </c>
      <c r="Z62" t="n">
        <v>42.28</v>
      </c>
      <c r="AA62" t="n">
        <v>4.3</v>
      </c>
      <c r="AB62" t="n">
        <v>46.58</v>
      </c>
      <c r="AC62" t="n">
        <v>8.380000000000001</v>
      </c>
      <c r="AD62" t="n">
        <v>0</v>
      </c>
      <c r="AE62" t="n">
        <v>222.5</v>
      </c>
      <c r="AF62" t="n">
        <v>0</v>
      </c>
      <c r="AG62" t="n">
        <v>0</v>
      </c>
      <c r="AH62" t="n">
        <v>0.22</v>
      </c>
      <c r="AI62" t="n">
        <v>11.13</v>
      </c>
      <c r="AJ62" t="n">
        <v>0</v>
      </c>
      <c r="AK62" t="n">
        <v>19.73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66.31</v>
      </c>
      <c r="AV62" t="n">
        <v>0</v>
      </c>
      <c r="AW62" t="n">
        <v>167.32</v>
      </c>
      <c r="AX62" t="inlineStr">
        <is>
          <t>settled</t>
        </is>
      </c>
      <c r="AY62" t="inlineStr">
        <is>
          <t>2026-01-14 05:30:00</t>
        </is>
      </c>
      <c r="AZ62" t="inlineStr">
        <is>
          <t>CITIN26605478364</t>
        </is>
      </c>
      <c r="BA62" t="n">
        <v>0</v>
      </c>
      <c r="BB62" t="inlineStr">
        <is>
          <t>3e7a8cb74ba0f80519c8c041b597fd8d1f4c61d0e86f0b65ad09e0fff7a1a46a</t>
        </is>
      </c>
    </row>
    <row r="63">
      <c r="A63" t="inlineStr">
        <is>
          <t>58</t>
        </is>
      </c>
      <c r="B63" t="inlineStr">
        <is>
          <t>7660861913</t>
        </is>
      </c>
      <c r="C63" t="inlineStr">
        <is>
          <t>2026-01-06 15:31:10</t>
        </is>
      </c>
      <c r="D63" t="inlineStr">
        <is>
          <t>2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settled</t>
        </is>
      </c>
      <c r="AY63" t="inlineStr">
        <is>
          <t>2026-01-14 05:30:00</t>
        </is>
      </c>
      <c r="AZ63" t="inlineStr">
        <is>
          <t>CITIN26605478364</t>
        </is>
      </c>
      <c r="BA63" t="n">
        <v>0</v>
      </c>
      <c r="BB63" t="inlineStr">
        <is>
          <t>ba2073be21a83e322191f84b8cc535b59cb7c947677a969e51806c29397b7055</t>
        </is>
      </c>
    </row>
    <row r="64">
      <c r="A64" t="inlineStr">
        <is>
          <t>59</t>
        </is>
      </c>
      <c r="B64" t="inlineStr">
        <is>
          <t>7662491785</t>
        </is>
      </c>
      <c r="C64" t="inlineStr">
        <is>
          <t>2026-01-06 17:36:53</t>
        </is>
      </c>
      <c r="D64" t="inlineStr">
        <is>
          <t>2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458</v>
      </c>
      <c r="P64" t="n">
        <v>3.5</v>
      </c>
      <c r="Q64" t="n">
        <v>0</v>
      </c>
      <c r="R64" t="n">
        <v>75</v>
      </c>
      <c r="S64" t="n">
        <v>0</v>
      </c>
      <c r="T64" t="n">
        <v>0</v>
      </c>
      <c r="U64" t="n">
        <v>0</v>
      </c>
      <c r="V64" t="n">
        <v>19.33</v>
      </c>
      <c r="W64" t="n">
        <v>405.83</v>
      </c>
      <c r="X64" t="n">
        <v>386.5</v>
      </c>
      <c r="Y64" t="n">
        <v>19</v>
      </c>
      <c r="Z64" t="n">
        <v>73.44</v>
      </c>
      <c r="AA64" t="n">
        <v>7.47</v>
      </c>
      <c r="AB64" t="n">
        <v>80.91</v>
      </c>
      <c r="AC64" t="n">
        <v>14.56</v>
      </c>
      <c r="AD64" t="n">
        <v>0</v>
      </c>
      <c r="AE64" t="n">
        <v>386.5</v>
      </c>
      <c r="AF64" t="n">
        <v>0</v>
      </c>
      <c r="AG64" t="n">
        <v>0</v>
      </c>
      <c r="AH64" t="n">
        <v>0.39</v>
      </c>
      <c r="AI64" t="n">
        <v>19.33</v>
      </c>
      <c r="AJ64" t="n">
        <v>0</v>
      </c>
      <c r="AK64" t="n">
        <v>34.28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115.19</v>
      </c>
      <c r="AV64" t="n">
        <v>0</v>
      </c>
      <c r="AW64" t="n">
        <v>290.64</v>
      </c>
      <c r="AX64" t="inlineStr">
        <is>
          <t>settled</t>
        </is>
      </c>
      <c r="AY64" t="inlineStr">
        <is>
          <t>2026-01-14 05:30:00</t>
        </is>
      </c>
      <c r="AZ64" t="inlineStr">
        <is>
          <t>CITIN26605478364</t>
        </is>
      </c>
      <c r="BA64" t="n">
        <v>0</v>
      </c>
      <c r="BB64" t="inlineStr">
        <is>
          <t>a1353d3737605f699db0cc97594cf2cccd4b8d6a5b9e827f3ee1b44a83b5a1dd</t>
        </is>
      </c>
    </row>
    <row r="65">
      <c r="A65" t="inlineStr">
        <is>
          <t>60</t>
        </is>
      </c>
      <c r="B65" t="inlineStr">
        <is>
          <t>7660423049</t>
        </is>
      </c>
      <c r="C65" t="inlineStr">
        <is>
          <t>2026-01-06 18:10:16</t>
        </is>
      </c>
      <c r="D65" t="inlineStr">
        <is>
          <t>2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345</v>
      </c>
      <c r="P65" t="n">
        <v>3.5</v>
      </c>
      <c r="Q65" t="n">
        <v>0</v>
      </c>
      <c r="R65" t="n">
        <v>75</v>
      </c>
      <c r="S65" t="n">
        <v>0</v>
      </c>
      <c r="T65" t="n">
        <v>0</v>
      </c>
      <c r="U65" t="n">
        <v>0</v>
      </c>
      <c r="V65" t="n">
        <v>13.68</v>
      </c>
      <c r="W65" t="n">
        <v>287.18</v>
      </c>
      <c r="X65" t="n">
        <v>273.5</v>
      </c>
      <c r="Y65" t="n">
        <v>19</v>
      </c>
      <c r="Z65" t="n">
        <v>51.96</v>
      </c>
      <c r="AA65" t="n">
        <v>5.28</v>
      </c>
      <c r="AB65" t="n">
        <v>57.24</v>
      </c>
      <c r="AC65" t="n">
        <v>10.3</v>
      </c>
      <c r="AD65" t="n">
        <v>0</v>
      </c>
      <c r="AE65" t="n">
        <v>273.5</v>
      </c>
      <c r="AF65" t="n">
        <v>0</v>
      </c>
      <c r="AG65" t="n">
        <v>0</v>
      </c>
      <c r="AH65" t="n">
        <v>0.27</v>
      </c>
      <c r="AI65" t="n">
        <v>13.68</v>
      </c>
      <c r="AJ65" t="n">
        <v>0</v>
      </c>
      <c r="AK65" t="n">
        <v>24.25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81.48999999999999</v>
      </c>
      <c r="AV65" t="n">
        <v>0</v>
      </c>
      <c r="AW65" t="n">
        <v>205.69</v>
      </c>
      <c r="AX65" t="inlineStr">
        <is>
          <t>settled</t>
        </is>
      </c>
      <c r="AY65" t="inlineStr">
        <is>
          <t>2026-01-14 05:30:00</t>
        </is>
      </c>
      <c r="AZ65" t="inlineStr">
        <is>
          <t>CITIN26605478364</t>
        </is>
      </c>
      <c r="BA65" t="n">
        <v>0</v>
      </c>
      <c r="BB65" t="inlineStr">
        <is>
          <t>08f7fb8c9b34de191093cb4ea335fc67de976c66e9c117ed63db7f1f0528aa4c</t>
        </is>
      </c>
    </row>
    <row r="66">
      <c r="A66" t="inlineStr">
        <is>
          <t>61</t>
        </is>
      </c>
      <c r="B66" t="inlineStr">
        <is>
          <t>7661080468</t>
        </is>
      </c>
      <c r="C66" t="inlineStr">
        <is>
          <t>2026-01-06 19:00:28</t>
        </is>
      </c>
      <c r="D66" t="inlineStr">
        <is>
          <t>2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219</v>
      </c>
      <c r="P66" t="n">
        <v>3.5</v>
      </c>
      <c r="Q66" t="n">
        <v>0</v>
      </c>
      <c r="R66" t="n">
        <v>65.7</v>
      </c>
      <c r="S66" t="n">
        <v>0</v>
      </c>
      <c r="T66" t="n">
        <v>0</v>
      </c>
      <c r="U66" t="n">
        <v>0</v>
      </c>
      <c r="V66" t="n">
        <v>7.84</v>
      </c>
      <c r="W66" t="n">
        <v>164.64</v>
      </c>
      <c r="X66" t="n">
        <v>156.8</v>
      </c>
      <c r="Y66" t="n">
        <v>19</v>
      </c>
      <c r="Z66" t="n">
        <v>29.79</v>
      </c>
      <c r="AA66" t="n">
        <v>3.03</v>
      </c>
      <c r="AB66" t="n">
        <v>32.82</v>
      </c>
      <c r="AC66" t="n">
        <v>5.91</v>
      </c>
      <c r="AD66" t="n">
        <v>0</v>
      </c>
      <c r="AE66" t="n">
        <v>156.8</v>
      </c>
      <c r="AF66" t="n">
        <v>0</v>
      </c>
      <c r="AG66" t="n">
        <v>0</v>
      </c>
      <c r="AH66" t="n">
        <v>0.16</v>
      </c>
      <c r="AI66" t="n">
        <v>7.85</v>
      </c>
      <c r="AJ66" t="n">
        <v>-0.01</v>
      </c>
      <c r="AK66" t="n">
        <v>13.92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46.74</v>
      </c>
      <c r="AV66" t="n">
        <v>0</v>
      </c>
      <c r="AW66" t="n">
        <v>117.9</v>
      </c>
      <c r="AX66" t="inlineStr">
        <is>
          <t>settled</t>
        </is>
      </c>
      <c r="AY66" t="inlineStr">
        <is>
          <t>2026-01-14 05:30:00</t>
        </is>
      </c>
      <c r="AZ66" t="inlineStr">
        <is>
          <t>CITIN26605478364</t>
        </is>
      </c>
      <c r="BA66" t="n">
        <v>0</v>
      </c>
      <c r="BB66" t="inlineStr">
        <is>
          <t>bc078dbc6231672478269b5209536527750f5f238cd280908037033230cb4591</t>
        </is>
      </c>
    </row>
    <row r="67">
      <c r="A67" t="inlineStr">
        <is>
          <t>62</t>
        </is>
      </c>
      <c r="B67" t="inlineStr">
        <is>
          <t>7663655001</t>
        </is>
      </c>
      <c r="C67" t="inlineStr">
        <is>
          <t>2026-01-06 19:35:29</t>
        </is>
      </c>
      <c r="D67" t="inlineStr">
        <is>
          <t>2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229</v>
      </c>
      <c r="P67" t="n">
        <v>3.5</v>
      </c>
      <c r="Q67" t="n">
        <v>0</v>
      </c>
      <c r="R67" t="n">
        <v>68.7</v>
      </c>
      <c r="S67" t="n">
        <v>0</v>
      </c>
      <c r="T67" t="n">
        <v>0</v>
      </c>
      <c r="U67" t="n">
        <v>0</v>
      </c>
      <c r="V67" t="n">
        <v>8.19</v>
      </c>
      <c r="W67" t="n">
        <v>171.99</v>
      </c>
      <c r="X67" t="n">
        <v>163.8</v>
      </c>
      <c r="Y67" t="n">
        <v>19</v>
      </c>
      <c r="Z67" t="n">
        <v>31.12</v>
      </c>
      <c r="AA67" t="n">
        <v>3.16</v>
      </c>
      <c r="AB67" t="n">
        <v>34.28</v>
      </c>
      <c r="AC67" t="n">
        <v>6.17</v>
      </c>
      <c r="AD67" t="n">
        <v>0</v>
      </c>
      <c r="AE67" t="n">
        <v>163.8</v>
      </c>
      <c r="AF67" t="n">
        <v>0</v>
      </c>
      <c r="AG67" t="n">
        <v>0</v>
      </c>
      <c r="AH67" t="n">
        <v>0.16</v>
      </c>
      <c r="AI67" t="n">
        <v>8.199999999999999</v>
      </c>
      <c r="AJ67" t="n">
        <v>-0.01</v>
      </c>
      <c r="AK67" t="n">
        <v>14.53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48.81</v>
      </c>
      <c r="AV67" t="n">
        <v>0</v>
      </c>
      <c r="AW67" t="n">
        <v>123.18</v>
      </c>
      <c r="AX67" t="inlineStr">
        <is>
          <t>settled</t>
        </is>
      </c>
      <c r="AY67" t="inlineStr">
        <is>
          <t>2026-01-14 05:30:00</t>
        </is>
      </c>
      <c r="AZ67" t="inlineStr">
        <is>
          <t>CITIN26605478364</t>
        </is>
      </c>
      <c r="BA67" t="n">
        <v>0</v>
      </c>
      <c r="BB67" t="inlineStr">
        <is>
          <t>fbda38290c70e063ed84ef96fede925b5d0ef7d3bb3a8ee4a95832cc53b49327</t>
        </is>
      </c>
    </row>
    <row r="68">
      <c r="A68" t="inlineStr">
        <is>
          <t>63</t>
        </is>
      </c>
      <c r="B68" t="inlineStr">
        <is>
          <t>7660098375</t>
        </is>
      </c>
      <c r="C68" t="inlineStr">
        <is>
          <t>2026-01-06 20:08:04</t>
        </is>
      </c>
      <c r="D68" t="inlineStr">
        <is>
          <t>2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229</v>
      </c>
      <c r="P68" t="n">
        <v>3.5</v>
      </c>
      <c r="Q68" t="n">
        <v>0</v>
      </c>
      <c r="R68" t="n">
        <v>68.7</v>
      </c>
      <c r="S68" t="n">
        <v>0</v>
      </c>
      <c r="T68" t="n">
        <v>0</v>
      </c>
      <c r="U68" t="n">
        <v>0</v>
      </c>
      <c r="V68" t="n">
        <v>8.19</v>
      </c>
      <c r="W68" t="n">
        <v>171.99</v>
      </c>
      <c r="X68" t="n">
        <v>163.8</v>
      </c>
      <c r="Y68" t="n">
        <v>19</v>
      </c>
      <c r="Z68" t="n">
        <v>31.12</v>
      </c>
      <c r="AA68" t="n">
        <v>3.16</v>
      </c>
      <c r="AB68" t="n">
        <v>34.28</v>
      </c>
      <c r="AC68" t="n">
        <v>6.17</v>
      </c>
      <c r="AD68" t="n">
        <v>0</v>
      </c>
      <c r="AE68" t="n">
        <v>163.8</v>
      </c>
      <c r="AF68" t="n">
        <v>0</v>
      </c>
      <c r="AG68" t="n">
        <v>0</v>
      </c>
      <c r="AH68" t="n">
        <v>0.16</v>
      </c>
      <c r="AI68" t="n">
        <v>8.199999999999999</v>
      </c>
      <c r="AJ68" t="n">
        <v>-0.01</v>
      </c>
      <c r="AK68" t="n">
        <v>14.53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48.81</v>
      </c>
      <c r="AV68" t="n">
        <v>0</v>
      </c>
      <c r="AW68" t="n">
        <v>123.18</v>
      </c>
      <c r="AX68" t="inlineStr">
        <is>
          <t>settled</t>
        </is>
      </c>
      <c r="AY68" t="inlineStr">
        <is>
          <t>2026-01-14 05:30:00</t>
        </is>
      </c>
      <c r="AZ68" t="inlineStr">
        <is>
          <t>CITIN26605478364</t>
        </is>
      </c>
      <c r="BA68" t="n">
        <v>0</v>
      </c>
      <c r="BB68" t="inlineStr">
        <is>
          <t>886f6f2426527cdc765813eaaeb20a268d2ce9a8430b79b644bf1ca22e1aa50d</t>
        </is>
      </c>
    </row>
    <row r="69">
      <c r="A69" t="inlineStr">
        <is>
          <t>64</t>
        </is>
      </c>
      <c r="B69" t="inlineStr">
        <is>
          <t>7663362475</t>
        </is>
      </c>
      <c r="C69" t="inlineStr">
        <is>
          <t>2026-01-06 20:41:15</t>
        </is>
      </c>
      <c r="D69" t="inlineStr">
        <is>
          <t>2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30% off upto ₹75 (2025-06-25 - 2031-01-01)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428</v>
      </c>
      <c r="P69" t="n">
        <v>3.5</v>
      </c>
      <c r="Q69" t="n">
        <v>0</v>
      </c>
      <c r="R69" t="n">
        <v>75</v>
      </c>
      <c r="S69" t="n">
        <v>0</v>
      </c>
      <c r="T69" t="n">
        <v>0</v>
      </c>
      <c r="U69" t="n">
        <v>0</v>
      </c>
      <c r="V69" t="n">
        <v>17.83</v>
      </c>
      <c r="W69" t="n">
        <v>374.33</v>
      </c>
      <c r="X69" t="n">
        <v>356.5</v>
      </c>
      <c r="Y69" t="n">
        <v>19</v>
      </c>
      <c r="Z69" t="n">
        <v>67.73999999999999</v>
      </c>
      <c r="AA69" t="n">
        <v>6.89</v>
      </c>
      <c r="AB69" t="n">
        <v>74.63</v>
      </c>
      <c r="AC69" t="n">
        <v>13.43</v>
      </c>
      <c r="AD69" t="n">
        <v>0</v>
      </c>
      <c r="AE69" t="n">
        <v>356.5</v>
      </c>
      <c r="AF69" t="n">
        <v>0</v>
      </c>
      <c r="AG69" t="n">
        <v>0</v>
      </c>
      <c r="AH69" t="n">
        <v>0.36</v>
      </c>
      <c r="AI69" t="n">
        <v>17.83</v>
      </c>
      <c r="AJ69" t="n">
        <v>0</v>
      </c>
      <c r="AK69" t="n">
        <v>31.62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106.25</v>
      </c>
      <c r="AV69" t="n">
        <v>0</v>
      </c>
      <c r="AW69" t="n">
        <v>268.08</v>
      </c>
      <c r="AX69" t="inlineStr">
        <is>
          <t>settled</t>
        </is>
      </c>
      <c r="AY69" t="inlineStr">
        <is>
          <t>2026-01-14 05:30:00</t>
        </is>
      </c>
      <c r="AZ69" t="inlineStr">
        <is>
          <t>CITIN26605478364</t>
        </is>
      </c>
      <c r="BA69" t="n">
        <v>0</v>
      </c>
      <c r="BB69" t="inlineStr">
        <is>
          <t>078855f73ea1e488f86dd166b86a5aca9041ddc2f4255bb065ce321bc147e9fc</t>
        </is>
      </c>
    </row>
    <row r="70">
      <c r="A70" t="inlineStr">
        <is>
          <t>65</t>
        </is>
      </c>
      <c r="B70" t="inlineStr">
        <is>
          <t>7655603938</t>
        </is>
      </c>
      <c r="C70" t="inlineStr">
        <is>
          <t>2026-01-06 21:45:23</t>
        </is>
      </c>
      <c r="D70" t="inlineStr">
        <is>
          <t>2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229</v>
      </c>
      <c r="P70" t="n">
        <v>3.5</v>
      </c>
      <c r="Q70" t="n">
        <v>0</v>
      </c>
      <c r="R70" t="n">
        <v>68.7</v>
      </c>
      <c r="S70" t="n">
        <v>0</v>
      </c>
      <c r="T70" t="n">
        <v>0</v>
      </c>
      <c r="U70" t="n">
        <v>0</v>
      </c>
      <c r="V70" t="n">
        <v>8.19</v>
      </c>
      <c r="W70" t="n">
        <v>171.99</v>
      </c>
      <c r="X70" t="n">
        <v>163.8</v>
      </c>
      <c r="Y70" t="n">
        <v>19</v>
      </c>
      <c r="Z70" t="n">
        <v>31.12</v>
      </c>
      <c r="AA70" t="n">
        <v>3.16</v>
      </c>
      <c r="AB70" t="n">
        <v>34.28</v>
      </c>
      <c r="AC70" t="n">
        <v>6.17</v>
      </c>
      <c r="AD70" t="n">
        <v>0</v>
      </c>
      <c r="AE70" t="n">
        <v>163.8</v>
      </c>
      <c r="AF70" t="n">
        <v>0</v>
      </c>
      <c r="AG70" t="n">
        <v>0</v>
      </c>
      <c r="AH70" t="n">
        <v>0.16</v>
      </c>
      <c r="AI70" t="n">
        <v>8.199999999999999</v>
      </c>
      <c r="AJ70" t="n">
        <v>-0.01</v>
      </c>
      <c r="AK70" t="n">
        <v>14.53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48.81</v>
      </c>
      <c r="AV70" t="n">
        <v>0</v>
      </c>
      <c r="AW70" t="n">
        <v>123.18</v>
      </c>
      <c r="AX70" t="inlineStr">
        <is>
          <t>settled</t>
        </is>
      </c>
      <c r="AY70" t="inlineStr">
        <is>
          <t>2026-01-14 05:30:00</t>
        </is>
      </c>
      <c r="AZ70" t="inlineStr">
        <is>
          <t>CITIN26605478364</t>
        </is>
      </c>
      <c r="BA70" t="n">
        <v>0</v>
      </c>
      <c r="BB70" t="inlineStr">
        <is>
          <t>981bd64341e87ed3054732db2783bb812130cd2ac7b5dd59f85f8feb76874edc</t>
        </is>
      </c>
    </row>
    <row r="71">
      <c r="A71" t="inlineStr">
        <is>
          <t>66</t>
        </is>
      </c>
      <c r="B71" t="inlineStr">
        <is>
          <t>7662452407</t>
        </is>
      </c>
      <c r="C71" t="inlineStr">
        <is>
          <t>2026-01-06 22:09:51</t>
        </is>
      </c>
      <c r="D71" t="inlineStr">
        <is>
          <t>2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30% off upto ₹75 (2025-06-25 - 2031-01-01)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345</v>
      </c>
      <c r="P71" t="n">
        <v>3.5</v>
      </c>
      <c r="Q71" t="n">
        <v>0</v>
      </c>
      <c r="R71" t="n">
        <v>75</v>
      </c>
      <c r="S71" t="n">
        <v>0</v>
      </c>
      <c r="T71" t="n">
        <v>0</v>
      </c>
      <c r="U71" t="n">
        <v>0</v>
      </c>
      <c r="V71" t="n">
        <v>13.68</v>
      </c>
      <c r="W71" t="n">
        <v>287.18</v>
      </c>
      <c r="X71" t="n">
        <v>273.5</v>
      </c>
      <c r="Y71" t="n">
        <v>19</v>
      </c>
      <c r="Z71" t="n">
        <v>51.96</v>
      </c>
      <c r="AA71" t="n">
        <v>5.28</v>
      </c>
      <c r="AB71" t="n">
        <v>57.24</v>
      </c>
      <c r="AC71" t="n">
        <v>10.3</v>
      </c>
      <c r="AD71" t="n">
        <v>0</v>
      </c>
      <c r="AE71" t="n">
        <v>273.5</v>
      </c>
      <c r="AF71" t="n">
        <v>0</v>
      </c>
      <c r="AG71" t="n">
        <v>0</v>
      </c>
      <c r="AH71" t="n">
        <v>0.27</v>
      </c>
      <c r="AI71" t="n">
        <v>13.68</v>
      </c>
      <c r="AJ71" t="n">
        <v>0</v>
      </c>
      <c r="AK71" t="n">
        <v>24.25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81.48999999999999</v>
      </c>
      <c r="AV71" t="n">
        <v>0</v>
      </c>
      <c r="AW71" t="n">
        <v>205.69</v>
      </c>
      <c r="AX71" t="inlineStr">
        <is>
          <t>settled</t>
        </is>
      </c>
      <c r="AY71" t="inlineStr">
        <is>
          <t>2026-01-14 05:30:00</t>
        </is>
      </c>
      <c r="AZ71" t="inlineStr">
        <is>
          <t>CITIN26605478364</t>
        </is>
      </c>
      <c r="BA71" t="n">
        <v>0</v>
      </c>
      <c r="BB71" t="inlineStr">
        <is>
          <t>97b4133bde4eb0767e9ce68171387ff49f31d258169b1f78ae8f5981ef069b25</t>
        </is>
      </c>
    </row>
    <row r="72">
      <c r="A72" t="inlineStr">
        <is>
          <t>67</t>
        </is>
      </c>
      <c r="B72" t="inlineStr">
        <is>
          <t>7661941434</t>
        </is>
      </c>
      <c r="C72" t="inlineStr">
        <is>
          <t>2026-01-06 22:20:52</t>
        </is>
      </c>
      <c r="D72" t="inlineStr">
        <is>
          <t>2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30% off upto ₹75 (2025-06-25 - 2031-01-01)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458</v>
      </c>
      <c r="P72" t="n">
        <v>3.5</v>
      </c>
      <c r="Q72" t="n">
        <v>0</v>
      </c>
      <c r="R72" t="n">
        <v>75</v>
      </c>
      <c r="S72" t="n">
        <v>0</v>
      </c>
      <c r="T72" t="n">
        <v>0</v>
      </c>
      <c r="U72" t="n">
        <v>0</v>
      </c>
      <c r="V72" t="n">
        <v>19.33</v>
      </c>
      <c r="W72" t="n">
        <v>405.83</v>
      </c>
      <c r="X72" t="n">
        <v>386.5</v>
      </c>
      <c r="Y72" t="n">
        <v>19</v>
      </c>
      <c r="Z72" t="n">
        <v>73.44</v>
      </c>
      <c r="AA72" t="n">
        <v>7.47</v>
      </c>
      <c r="AB72" t="n">
        <v>80.91</v>
      </c>
      <c r="AC72" t="n">
        <v>14.56</v>
      </c>
      <c r="AD72" t="n">
        <v>0</v>
      </c>
      <c r="AE72" t="n">
        <v>386.5</v>
      </c>
      <c r="AF72" t="n">
        <v>0</v>
      </c>
      <c r="AG72" t="n">
        <v>0</v>
      </c>
      <c r="AH72" t="n">
        <v>0.39</v>
      </c>
      <c r="AI72" t="n">
        <v>19.33</v>
      </c>
      <c r="AJ72" t="n">
        <v>0</v>
      </c>
      <c r="AK72" t="n">
        <v>34.28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115.19</v>
      </c>
      <c r="AV72" t="n">
        <v>0</v>
      </c>
      <c r="AW72" t="n">
        <v>290.64</v>
      </c>
      <c r="AX72" t="inlineStr">
        <is>
          <t>settled</t>
        </is>
      </c>
      <c r="AY72" t="inlineStr">
        <is>
          <t>2026-01-14 05:30:00</t>
        </is>
      </c>
      <c r="AZ72" t="inlineStr">
        <is>
          <t>CITIN26605478364</t>
        </is>
      </c>
      <c r="BA72" t="n">
        <v>0</v>
      </c>
      <c r="BB72" t="inlineStr">
        <is>
          <t>b567de555e2a2fdbcce3e2d66befaf008cde58e584f372659c9a4427f8fb1d7d</t>
        </is>
      </c>
    </row>
    <row r="73">
      <c r="A73" t="inlineStr">
        <is>
          <t>68</t>
        </is>
      </c>
      <c r="B73" t="inlineStr">
        <is>
          <t>7664515984</t>
        </is>
      </c>
      <c r="C73" t="inlineStr">
        <is>
          <t>2026-01-06 22:30:51</t>
        </is>
      </c>
      <c r="D73" t="inlineStr">
        <is>
          <t>2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229</v>
      </c>
      <c r="P73" t="n">
        <v>3.5</v>
      </c>
      <c r="Q73" t="n">
        <v>0</v>
      </c>
      <c r="R73" t="n">
        <v>68.7</v>
      </c>
      <c r="S73" t="n">
        <v>0</v>
      </c>
      <c r="T73" t="n">
        <v>0</v>
      </c>
      <c r="U73" t="n">
        <v>0</v>
      </c>
      <c r="V73" t="n">
        <v>8.19</v>
      </c>
      <c r="W73" t="n">
        <v>171.99</v>
      </c>
      <c r="X73" t="n">
        <v>163.8</v>
      </c>
      <c r="Y73" t="n">
        <v>19</v>
      </c>
      <c r="Z73" t="n">
        <v>31.12</v>
      </c>
      <c r="AA73" t="n">
        <v>3.16</v>
      </c>
      <c r="AB73" t="n">
        <v>34.28</v>
      </c>
      <c r="AC73" t="n">
        <v>6.17</v>
      </c>
      <c r="AD73" t="n">
        <v>0</v>
      </c>
      <c r="AE73" t="n">
        <v>163.8</v>
      </c>
      <c r="AF73" t="n">
        <v>0</v>
      </c>
      <c r="AG73" t="n">
        <v>0</v>
      </c>
      <c r="AH73" t="n">
        <v>0.16</v>
      </c>
      <c r="AI73" t="n">
        <v>8.199999999999999</v>
      </c>
      <c r="AJ73" t="n">
        <v>-0.01</v>
      </c>
      <c r="AK73" t="n">
        <v>14.53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48.81</v>
      </c>
      <c r="AV73" t="n">
        <v>0</v>
      </c>
      <c r="AW73" t="n">
        <v>123.18</v>
      </c>
      <c r="AX73" t="inlineStr">
        <is>
          <t>settled</t>
        </is>
      </c>
      <c r="AY73" t="inlineStr">
        <is>
          <t>2026-01-14 05:30:00</t>
        </is>
      </c>
      <c r="AZ73" t="inlineStr">
        <is>
          <t>CITIN26605478364</t>
        </is>
      </c>
      <c r="BA73" t="n">
        <v>0</v>
      </c>
      <c r="BB73" t="inlineStr">
        <is>
          <t>1719b4acbcc3243e0387e0aa73d5964456e1780696f9fb3823f39ae20e2de89d</t>
        </is>
      </c>
    </row>
    <row r="74">
      <c r="A74" t="inlineStr">
        <is>
          <t>69</t>
        </is>
      </c>
      <c r="B74" t="inlineStr">
        <is>
          <t>7657092743</t>
        </is>
      </c>
      <c r="C74" t="inlineStr">
        <is>
          <t>2026-01-06 22:59:34</t>
        </is>
      </c>
      <c r="D74" t="inlineStr">
        <is>
          <t>2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458</v>
      </c>
      <c r="P74" t="n">
        <v>3.5</v>
      </c>
      <c r="Q74" t="n">
        <v>0</v>
      </c>
      <c r="R74" t="n">
        <v>75</v>
      </c>
      <c r="S74" t="n">
        <v>0</v>
      </c>
      <c r="T74" t="n">
        <v>0</v>
      </c>
      <c r="U74" t="n">
        <v>0</v>
      </c>
      <c r="V74" t="n">
        <v>19.33</v>
      </c>
      <c r="W74" t="n">
        <v>405.83</v>
      </c>
      <c r="X74" t="n">
        <v>386.5</v>
      </c>
      <c r="Y74" t="n">
        <v>19</v>
      </c>
      <c r="Z74" t="n">
        <v>73.44</v>
      </c>
      <c r="AA74" t="n">
        <v>7.47</v>
      </c>
      <c r="AB74" t="n">
        <v>80.91</v>
      </c>
      <c r="AC74" t="n">
        <v>14.56</v>
      </c>
      <c r="AD74" t="n">
        <v>0</v>
      </c>
      <c r="AE74" t="n">
        <v>386.5</v>
      </c>
      <c r="AF74" t="n">
        <v>0</v>
      </c>
      <c r="AG74" t="n">
        <v>0</v>
      </c>
      <c r="AH74" t="n">
        <v>0.39</v>
      </c>
      <c r="AI74" t="n">
        <v>19.33</v>
      </c>
      <c r="AJ74" t="n">
        <v>0</v>
      </c>
      <c r="AK74" t="n">
        <v>34.28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115.19</v>
      </c>
      <c r="AV74" t="n">
        <v>0</v>
      </c>
      <c r="AW74" t="n">
        <v>290.64</v>
      </c>
      <c r="AX74" t="inlineStr">
        <is>
          <t>settled</t>
        </is>
      </c>
      <c r="AY74" t="inlineStr">
        <is>
          <t>2026-01-14 05:30:00</t>
        </is>
      </c>
      <c r="AZ74" t="inlineStr">
        <is>
          <t>CITIN26605478364</t>
        </is>
      </c>
      <c r="BA74" t="n">
        <v>0</v>
      </c>
      <c r="BB74" t="inlineStr">
        <is>
          <t>21033e2ebedbe304dd2dde434593c8ff738d1318a8968d07635ae94e4c558b76</t>
        </is>
      </c>
    </row>
    <row r="75">
      <c r="A75" t="inlineStr">
        <is>
          <t>70</t>
        </is>
      </c>
      <c r="B75" t="inlineStr">
        <is>
          <t>7661155461</t>
        </is>
      </c>
      <c r="C75" t="inlineStr">
        <is>
          <t>2026-01-06 23:14:19</t>
        </is>
      </c>
      <c r="D75" t="inlineStr">
        <is>
          <t>2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30% off upto ₹75 (2025-06-25 - 2031-01-01)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355</v>
      </c>
      <c r="P75" t="n">
        <v>3.5</v>
      </c>
      <c r="Q75" t="n">
        <v>0</v>
      </c>
      <c r="R75" t="n">
        <v>75</v>
      </c>
      <c r="S75" t="n">
        <v>0</v>
      </c>
      <c r="T75" t="n">
        <v>0</v>
      </c>
      <c r="U75" t="n">
        <v>0</v>
      </c>
      <c r="V75" t="n">
        <v>14.18</v>
      </c>
      <c r="W75" t="n">
        <v>297.68</v>
      </c>
      <c r="X75" t="n">
        <v>283.5</v>
      </c>
      <c r="Y75" t="n">
        <v>19</v>
      </c>
      <c r="Z75" t="n">
        <v>53.86</v>
      </c>
      <c r="AA75" t="n">
        <v>5.48</v>
      </c>
      <c r="AB75" t="n">
        <v>59.34</v>
      </c>
      <c r="AC75" t="n">
        <v>10.68</v>
      </c>
      <c r="AD75" t="n">
        <v>0</v>
      </c>
      <c r="AE75" t="n">
        <v>283.5</v>
      </c>
      <c r="AF75" t="n">
        <v>0</v>
      </c>
      <c r="AG75" t="n">
        <v>0</v>
      </c>
      <c r="AH75" t="n">
        <v>0.28</v>
      </c>
      <c r="AI75" t="n">
        <v>14.18</v>
      </c>
      <c r="AJ75" t="n">
        <v>0</v>
      </c>
      <c r="AK75" t="n">
        <v>25.14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84.48</v>
      </c>
      <c r="AV75" t="n">
        <v>0</v>
      </c>
      <c r="AW75" t="n">
        <v>213.2</v>
      </c>
      <c r="AX75" t="inlineStr">
        <is>
          <t>settled</t>
        </is>
      </c>
      <c r="AY75" t="inlineStr">
        <is>
          <t>2026-01-14 05:30:00</t>
        </is>
      </c>
      <c r="AZ75" t="inlineStr">
        <is>
          <t>CITIN26605478364</t>
        </is>
      </c>
      <c r="BA75" t="n">
        <v>0</v>
      </c>
      <c r="BB75" t="inlineStr">
        <is>
          <t>10e621958af57f760db92273aba8f946bea28fb09ee9cc6804563297dad4d588</t>
        </is>
      </c>
    </row>
    <row r="76">
      <c r="A76" t="inlineStr">
        <is>
          <t>71</t>
        </is>
      </c>
      <c r="B76" t="inlineStr">
        <is>
          <t>7661110681</t>
        </is>
      </c>
      <c r="C76" t="inlineStr">
        <is>
          <t>2026-01-06 23:33:25</t>
        </is>
      </c>
      <c r="D76" t="inlineStr">
        <is>
          <t>2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219</v>
      </c>
      <c r="P76" t="n">
        <v>3.5</v>
      </c>
      <c r="Q76" t="n">
        <v>0</v>
      </c>
      <c r="R76" t="n">
        <v>65.7</v>
      </c>
      <c r="S76" t="n">
        <v>0</v>
      </c>
      <c r="T76" t="n">
        <v>0</v>
      </c>
      <c r="U76" t="n">
        <v>0</v>
      </c>
      <c r="V76" t="n">
        <v>7.84</v>
      </c>
      <c r="W76" t="n">
        <v>164.64</v>
      </c>
      <c r="X76" t="n">
        <v>156.8</v>
      </c>
      <c r="Y76" t="n">
        <v>19</v>
      </c>
      <c r="Z76" t="n">
        <v>29.79</v>
      </c>
      <c r="AA76" t="n">
        <v>3.03</v>
      </c>
      <c r="AB76" t="n">
        <v>32.82</v>
      </c>
      <c r="AC76" t="n">
        <v>5.91</v>
      </c>
      <c r="AD76" t="n">
        <v>0</v>
      </c>
      <c r="AE76" t="n">
        <v>156.8</v>
      </c>
      <c r="AF76" t="n">
        <v>0</v>
      </c>
      <c r="AG76" t="n">
        <v>0</v>
      </c>
      <c r="AH76" t="n">
        <v>0.16</v>
      </c>
      <c r="AI76" t="n">
        <v>7.85</v>
      </c>
      <c r="AJ76" t="n">
        <v>-0.01</v>
      </c>
      <c r="AK76" t="n">
        <v>13.92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46.74</v>
      </c>
      <c r="AV76" t="n">
        <v>0</v>
      </c>
      <c r="AW76" t="n">
        <v>117.9</v>
      </c>
      <c r="AX76" t="inlineStr">
        <is>
          <t>settled</t>
        </is>
      </c>
      <c r="AY76" t="inlineStr">
        <is>
          <t>2026-01-14 05:30:00</t>
        </is>
      </c>
      <c r="AZ76" t="inlineStr">
        <is>
          <t>CITIN26605478364</t>
        </is>
      </c>
      <c r="BA76" t="n">
        <v>0</v>
      </c>
      <c r="BB76" t="inlineStr">
        <is>
          <t>8a9f46eff79a3840a02e377cc2ab8767c5152efcffded65e3cee52a57eee1773</t>
        </is>
      </c>
    </row>
    <row r="77">
      <c r="A77" t="inlineStr">
        <is>
          <t>72</t>
        </is>
      </c>
      <c r="B77" t="inlineStr">
        <is>
          <t>7664398930</t>
        </is>
      </c>
      <c r="C77" t="inlineStr">
        <is>
          <t>2026-01-06 23:57:08</t>
        </is>
      </c>
      <c r="D77" t="inlineStr">
        <is>
          <t>2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NA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368</v>
      </c>
      <c r="P77" t="n">
        <v>3.5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18.58</v>
      </c>
      <c r="W77" t="n">
        <v>390.08</v>
      </c>
      <c r="X77" t="n">
        <v>371.5</v>
      </c>
      <c r="Y77" t="n">
        <v>19</v>
      </c>
      <c r="Z77" t="n">
        <v>70.58</v>
      </c>
      <c r="AA77" t="n">
        <v>7.18</v>
      </c>
      <c r="AB77" t="n">
        <v>77.76000000000001</v>
      </c>
      <c r="AC77" t="n">
        <v>13.99</v>
      </c>
      <c r="AD77" t="n">
        <v>0</v>
      </c>
      <c r="AE77" t="n">
        <v>371.5</v>
      </c>
      <c r="AF77" t="n">
        <v>0</v>
      </c>
      <c r="AG77" t="n">
        <v>0</v>
      </c>
      <c r="AH77" t="n">
        <v>0.37</v>
      </c>
      <c r="AI77" t="n">
        <v>18.58</v>
      </c>
      <c r="AJ77" t="n">
        <v>0</v>
      </c>
      <c r="AK77" t="n">
        <v>32.94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110.7</v>
      </c>
      <c r="AV77" t="n">
        <v>0</v>
      </c>
      <c r="AW77" t="n">
        <v>279.38</v>
      </c>
      <c r="AX77" t="inlineStr">
        <is>
          <t>settled</t>
        </is>
      </c>
      <c r="AY77" t="inlineStr">
        <is>
          <t>2026-01-14 05:30:00</t>
        </is>
      </c>
      <c r="AZ77" t="inlineStr">
        <is>
          <t>CITIN26605478364</t>
        </is>
      </c>
      <c r="BA77" t="n">
        <v>0</v>
      </c>
      <c r="BB77" t="inlineStr">
        <is>
          <t>8deace1a72850935ad5e42afc246552eff0d709d0e8d60be42aacbcc5ca15e3e</t>
        </is>
      </c>
    </row>
    <row r="78">
      <c r="A78" t="inlineStr">
        <is>
          <t>73</t>
        </is>
      </c>
      <c r="B78" t="inlineStr">
        <is>
          <t>7663836726</t>
        </is>
      </c>
      <c r="C78" t="inlineStr">
        <is>
          <t>2026-01-07 00:54:58</t>
        </is>
      </c>
      <c r="D78" t="inlineStr">
        <is>
          <t>2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NA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229</v>
      </c>
      <c r="P78" t="n">
        <v>3.5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11.63</v>
      </c>
      <c r="W78" t="n">
        <v>244.13</v>
      </c>
      <c r="X78" t="n">
        <v>232.5</v>
      </c>
      <c r="Y78" t="n">
        <v>19</v>
      </c>
      <c r="Z78" t="n">
        <v>44.18</v>
      </c>
      <c r="AA78" t="n">
        <v>4.49</v>
      </c>
      <c r="AB78" t="n">
        <v>48.67</v>
      </c>
      <c r="AC78" t="n">
        <v>8.76</v>
      </c>
      <c r="AD78" t="n">
        <v>0</v>
      </c>
      <c r="AE78" t="n">
        <v>232.5</v>
      </c>
      <c r="AF78" t="n">
        <v>0</v>
      </c>
      <c r="AG78" t="n">
        <v>0</v>
      </c>
      <c r="AH78" t="n">
        <v>0.23</v>
      </c>
      <c r="AI78" t="n">
        <v>11.63</v>
      </c>
      <c r="AJ78" t="n">
        <v>0</v>
      </c>
      <c r="AK78" t="n">
        <v>20.62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69.29000000000001</v>
      </c>
      <c r="AV78" t="n">
        <v>0</v>
      </c>
      <c r="AW78" t="n">
        <v>174.84</v>
      </c>
      <c r="AX78" t="inlineStr">
        <is>
          <t>settled</t>
        </is>
      </c>
      <c r="AY78" t="inlineStr">
        <is>
          <t>2026-01-14 05:30:00</t>
        </is>
      </c>
      <c r="AZ78" t="inlineStr">
        <is>
          <t>CITIN26605478364</t>
        </is>
      </c>
      <c r="BA78" t="n">
        <v>0</v>
      </c>
      <c r="BB78" t="inlineStr">
        <is>
          <t>33bb677df76373021d3f4b8be6df65fc409d8b4afdae636be54e6b078c70cc0b</t>
        </is>
      </c>
    </row>
    <row r="79">
      <c r="A79" t="inlineStr">
        <is>
          <t>74</t>
        </is>
      </c>
      <c r="B79" t="inlineStr">
        <is>
          <t>7663065895</t>
        </is>
      </c>
      <c r="C79" t="inlineStr">
        <is>
          <t>2026-01-07 01:15:04</t>
        </is>
      </c>
      <c r="D79" t="inlineStr">
        <is>
          <t>2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229</v>
      </c>
      <c r="P79" t="n">
        <v>3.5</v>
      </c>
      <c r="Q79" t="n">
        <v>0</v>
      </c>
      <c r="R79" t="n">
        <v>68.7</v>
      </c>
      <c r="S79" t="n">
        <v>0</v>
      </c>
      <c r="T79" t="n">
        <v>0</v>
      </c>
      <c r="U79" t="n">
        <v>0</v>
      </c>
      <c r="V79" t="n">
        <v>8.19</v>
      </c>
      <c r="W79" t="n">
        <v>171.99</v>
      </c>
      <c r="X79" t="n">
        <v>163.8</v>
      </c>
      <c r="Y79" t="n">
        <v>19</v>
      </c>
      <c r="Z79" t="n">
        <v>31.12</v>
      </c>
      <c r="AA79" t="n">
        <v>3.16</v>
      </c>
      <c r="AB79" t="n">
        <v>34.28</v>
      </c>
      <c r="AC79" t="n">
        <v>6.17</v>
      </c>
      <c r="AD79" t="n">
        <v>0</v>
      </c>
      <c r="AE79" t="n">
        <v>163.8</v>
      </c>
      <c r="AF79" t="n">
        <v>0</v>
      </c>
      <c r="AG79" t="n">
        <v>0</v>
      </c>
      <c r="AH79" t="n">
        <v>0.16</v>
      </c>
      <c r="AI79" t="n">
        <v>8.199999999999999</v>
      </c>
      <c r="AJ79" t="n">
        <v>-0.01</v>
      </c>
      <c r="AK79" t="n">
        <v>14.53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48.81</v>
      </c>
      <c r="AV79" t="n">
        <v>0</v>
      </c>
      <c r="AW79" t="n">
        <v>123.18</v>
      </c>
      <c r="AX79" t="inlineStr">
        <is>
          <t>settled</t>
        </is>
      </c>
      <c r="AY79" t="inlineStr">
        <is>
          <t>2026-01-14 05:30:00</t>
        </is>
      </c>
      <c r="AZ79" t="inlineStr">
        <is>
          <t>CITIN26605478364</t>
        </is>
      </c>
      <c r="BA79" t="n">
        <v>0</v>
      </c>
      <c r="BB79" t="inlineStr">
        <is>
          <t>b0cd5df0683f07344e2c020c37bbf0c1787b3435443d4929bcfad6a21a4ca83e</t>
        </is>
      </c>
    </row>
    <row r="80">
      <c r="A80" t="inlineStr">
        <is>
          <t>75</t>
        </is>
      </c>
      <c r="B80" t="inlineStr">
        <is>
          <t>7656016728</t>
        </is>
      </c>
      <c r="C80" t="inlineStr">
        <is>
          <t>2026-01-07 01:18:09</t>
        </is>
      </c>
      <c r="D80" t="inlineStr">
        <is>
          <t>2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219</v>
      </c>
      <c r="P80" t="n">
        <v>3.5</v>
      </c>
      <c r="Q80" t="n">
        <v>0</v>
      </c>
      <c r="R80" t="n">
        <v>65.7</v>
      </c>
      <c r="S80" t="n">
        <v>0</v>
      </c>
      <c r="T80" t="n">
        <v>0</v>
      </c>
      <c r="U80" t="n">
        <v>0</v>
      </c>
      <c r="V80" t="n">
        <v>7.84</v>
      </c>
      <c r="W80" t="n">
        <v>164.64</v>
      </c>
      <c r="X80" t="n">
        <v>156.8</v>
      </c>
      <c r="Y80" t="n">
        <v>19</v>
      </c>
      <c r="Z80" t="n">
        <v>29.79</v>
      </c>
      <c r="AA80" t="n">
        <v>3.03</v>
      </c>
      <c r="AB80" t="n">
        <v>32.82</v>
      </c>
      <c r="AC80" t="n">
        <v>5.91</v>
      </c>
      <c r="AD80" t="n">
        <v>0</v>
      </c>
      <c r="AE80" t="n">
        <v>156.8</v>
      </c>
      <c r="AF80" t="n">
        <v>0</v>
      </c>
      <c r="AG80" t="n">
        <v>0</v>
      </c>
      <c r="AH80" t="n">
        <v>0.16</v>
      </c>
      <c r="AI80" t="n">
        <v>7.85</v>
      </c>
      <c r="AJ80" t="n">
        <v>-0.01</v>
      </c>
      <c r="AK80" t="n">
        <v>13.92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46.74</v>
      </c>
      <c r="AV80" t="n">
        <v>0</v>
      </c>
      <c r="AW80" t="n">
        <v>117.9</v>
      </c>
      <c r="AX80" t="inlineStr">
        <is>
          <t>settled</t>
        </is>
      </c>
      <c r="AY80" t="inlineStr">
        <is>
          <t>2026-01-14 05:30:00</t>
        </is>
      </c>
      <c r="AZ80" t="inlineStr">
        <is>
          <t>CITIN26605478364</t>
        </is>
      </c>
      <c r="BA80" t="n">
        <v>0</v>
      </c>
      <c r="BB80" t="inlineStr">
        <is>
          <t>119683a2ee85d5a2f39c9655128b926ceacdeef1ac9c035063342a7ec6f973fd</t>
        </is>
      </c>
    </row>
    <row r="81">
      <c r="A81" t="inlineStr">
        <is>
          <t>76</t>
        </is>
      </c>
      <c r="B81" t="inlineStr">
        <is>
          <t>7662970603</t>
        </is>
      </c>
      <c r="C81" t="inlineStr">
        <is>
          <t>2026-01-07 01:18:13</t>
        </is>
      </c>
      <c r="D81" t="inlineStr">
        <is>
          <t>2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NA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219</v>
      </c>
      <c r="P81" t="n">
        <v>3.5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11.13</v>
      </c>
      <c r="W81" t="n">
        <v>233.63</v>
      </c>
      <c r="X81" t="n">
        <v>222.5</v>
      </c>
      <c r="Y81" t="n">
        <v>19</v>
      </c>
      <c r="Z81" t="n">
        <v>42.28</v>
      </c>
      <c r="AA81" t="n">
        <v>4.3</v>
      </c>
      <c r="AB81" t="n">
        <v>46.58</v>
      </c>
      <c r="AC81" t="n">
        <v>8.380000000000001</v>
      </c>
      <c r="AD81" t="n">
        <v>0</v>
      </c>
      <c r="AE81" t="n">
        <v>222.5</v>
      </c>
      <c r="AF81" t="n">
        <v>0</v>
      </c>
      <c r="AG81" t="n">
        <v>0</v>
      </c>
      <c r="AH81" t="n">
        <v>0.22</v>
      </c>
      <c r="AI81" t="n">
        <v>11.13</v>
      </c>
      <c r="AJ81" t="n">
        <v>0</v>
      </c>
      <c r="AK81" t="n">
        <v>19.73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66.31</v>
      </c>
      <c r="AV81" t="n">
        <v>0</v>
      </c>
      <c r="AW81" t="n">
        <v>167.32</v>
      </c>
      <c r="AX81" t="inlineStr">
        <is>
          <t>settled</t>
        </is>
      </c>
      <c r="AY81" t="inlineStr">
        <is>
          <t>2026-01-14 05:30:00</t>
        </is>
      </c>
      <c r="AZ81" t="inlineStr">
        <is>
          <t>CITIN26605478364</t>
        </is>
      </c>
      <c r="BA81" t="n">
        <v>0</v>
      </c>
      <c r="BB81" t="inlineStr">
        <is>
          <t>84298ac54dec980c3b197eb4c009beef4a65eb20757b25e43ae699725a33df56</t>
        </is>
      </c>
    </row>
    <row r="82">
      <c r="A82" t="inlineStr">
        <is>
          <t>77</t>
        </is>
      </c>
      <c r="B82" t="inlineStr">
        <is>
          <t>7654841508</t>
        </is>
      </c>
      <c r="C82" t="inlineStr">
        <is>
          <t>2026-01-07 01:24:18</t>
        </is>
      </c>
      <c r="D82" t="inlineStr">
        <is>
          <t>2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30% off upto ₹75 (2025-06-25 - 2031-01-01)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229</v>
      </c>
      <c r="P82" t="n">
        <v>3.5</v>
      </c>
      <c r="Q82" t="n">
        <v>0</v>
      </c>
      <c r="R82" t="n">
        <v>68.7</v>
      </c>
      <c r="S82" t="n">
        <v>0</v>
      </c>
      <c r="T82" t="n">
        <v>0</v>
      </c>
      <c r="U82" t="n">
        <v>0</v>
      </c>
      <c r="V82" t="n">
        <v>8.19</v>
      </c>
      <c r="W82" t="n">
        <v>171.99</v>
      </c>
      <c r="X82" t="n">
        <v>163.8</v>
      </c>
      <c r="Y82" t="n">
        <v>19</v>
      </c>
      <c r="Z82" t="n">
        <v>31.12</v>
      </c>
      <c r="AA82" t="n">
        <v>3.16</v>
      </c>
      <c r="AB82" t="n">
        <v>34.28</v>
      </c>
      <c r="AC82" t="n">
        <v>6.17</v>
      </c>
      <c r="AD82" t="n">
        <v>0</v>
      </c>
      <c r="AE82" t="n">
        <v>163.8</v>
      </c>
      <c r="AF82" t="n">
        <v>0</v>
      </c>
      <c r="AG82" t="n">
        <v>0</v>
      </c>
      <c r="AH82" t="n">
        <v>0.16</v>
      </c>
      <c r="AI82" t="n">
        <v>8.199999999999999</v>
      </c>
      <c r="AJ82" t="n">
        <v>-0.01</v>
      </c>
      <c r="AK82" t="n">
        <v>14.53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48.81</v>
      </c>
      <c r="AV82" t="n">
        <v>0</v>
      </c>
      <c r="AW82" t="n">
        <v>123.18</v>
      </c>
      <c r="AX82" t="inlineStr">
        <is>
          <t>settled</t>
        </is>
      </c>
      <c r="AY82" t="inlineStr">
        <is>
          <t>2026-01-14 05:30:00</t>
        </is>
      </c>
      <c r="AZ82" t="inlineStr">
        <is>
          <t>CITIN26605478364</t>
        </is>
      </c>
      <c r="BA82" t="n">
        <v>0</v>
      </c>
      <c r="BB82" t="inlineStr">
        <is>
          <t>f144332067febd6ff3de0725991088cf240d45b8680b057ba7c162102294bb75</t>
        </is>
      </c>
    </row>
    <row r="83">
      <c r="A83" t="inlineStr">
        <is>
          <t>78</t>
        </is>
      </c>
      <c r="B83" t="inlineStr">
        <is>
          <t>7664757351</t>
        </is>
      </c>
      <c r="C83" t="inlineStr">
        <is>
          <t>2026-01-07 01:28:06</t>
        </is>
      </c>
      <c r="D83" t="inlineStr">
        <is>
          <t>2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219</v>
      </c>
      <c r="P83" t="n">
        <v>3.5</v>
      </c>
      <c r="Q83" t="n">
        <v>0</v>
      </c>
      <c r="R83" t="n">
        <v>65.7</v>
      </c>
      <c r="S83" t="n">
        <v>0</v>
      </c>
      <c r="T83" t="n">
        <v>0</v>
      </c>
      <c r="U83" t="n">
        <v>0</v>
      </c>
      <c r="V83" t="n">
        <v>7.84</v>
      </c>
      <c r="W83" t="n">
        <v>164.64</v>
      </c>
      <c r="X83" t="n">
        <v>156.8</v>
      </c>
      <c r="Y83" t="n">
        <v>19</v>
      </c>
      <c r="Z83" t="n">
        <v>29.79</v>
      </c>
      <c r="AA83" t="n">
        <v>3.03</v>
      </c>
      <c r="AB83" t="n">
        <v>32.82</v>
      </c>
      <c r="AC83" t="n">
        <v>5.91</v>
      </c>
      <c r="AD83" t="n">
        <v>0</v>
      </c>
      <c r="AE83" t="n">
        <v>156.8</v>
      </c>
      <c r="AF83" t="n">
        <v>0</v>
      </c>
      <c r="AG83" t="n">
        <v>0</v>
      </c>
      <c r="AH83" t="n">
        <v>0.16</v>
      </c>
      <c r="AI83" t="n">
        <v>7.85</v>
      </c>
      <c r="AJ83" t="n">
        <v>-0.01</v>
      </c>
      <c r="AK83" t="n">
        <v>13.92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46.74</v>
      </c>
      <c r="AV83" t="n">
        <v>0</v>
      </c>
      <c r="AW83" t="n">
        <v>117.9</v>
      </c>
      <c r="AX83" t="inlineStr">
        <is>
          <t>settled</t>
        </is>
      </c>
      <c r="AY83" t="inlineStr">
        <is>
          <t>2026-01-14 05:30:00</t>
        </is>
      </c>
      <c r="AZ83" t="inlineStr">
        <is>
          <t>CITIN26605478364</t>
        </is>
      </c>
      <c r="BA83" t="n">
        <v>0</v>
      </c>
      <c r="BB83" t="inlineStr">
        <is>
          <t>ec7d6411958f812708f847045784767fe20dfad5fd7ddecdae3912455a4310ea</t>
        </is>
      </c>
    </row>
    <row r="84">
      <c r="A84" t="inlineStr">
        <is>
          <t>79</t>
        </is>
      </c>
      <c r="B84" t="inlineStr">
        <is>
          <t>7664266210</t>
        </is>
      </c>
      <c r="C84" t="inlineStr">
        <is>
          <t>2026-01-07 01:30:54</t>
        </is>
      </c>
      <c r="D84" t="inlineStr">
        <is>
          <t>2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30% off upto ₹75 (2025-06-25 - 2031-01-01)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68.7</v>
      </c>
      <c r="S84" t="n">
        <v>0</v>
      </c>
      <c r="T84" t="n">
        <v>0</v>
      </c>
      <c r="U84" t="n">
        <v>0</v>
      </c>
      <c r="V84" t="n">
        <v>8.19</v>
      </c>
      <c r="W84" t="n">
        <v>171.99</v>
      </c>
      <c r="X84" t="n">
        <v>163.8</v>
      </c>
      <c r="Y84" t="n">
        <v>19</v>
      </c>
      <c r="Z84" t="n">
        <v>31.12</v>
      </c>
      <c r="AA84" t="n">
        <v>3.16</v>
      </c>
      <c r="AB84" t="n">
        <v>34.28</v>
      </c>
      <c r="AC84" t="n">
        <v>6.17</v>
      </c>
      <c r="AD84" t="n">
        <v>0</v>
      </c>
      <c r="AE84" t="n">
        <v>163.8</v>
      </c>
      <c r="AF84" t="n">
        <v>0</v>
      </c>
      <c r="AG84" t="n">
        <v>0</v>
      </c>
      <c r="AH84" t="n">
        <v>0.16</v>
      </c>
      <c r="AI84" t="n">
        <v>8.199999999999999</v>
      </c>
      <c r="AJ84" t="n">
        <v>-0.01</v>
      </c>
      <c r="AK84" t="n">
        <v>14.53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48.81</v>
      </c>
      <c r="AV84" t="n">
        <v>0</v>
      </c>
      <c r="AW84" t="n">
        <v>123.18</v>
      </c>
      <c r="AX84" t="inlineStr">
        <is>
          <t>settled</t>
        </is>
      </c>
      <c r="AY84" t="inlineStr">
        <is>
          <t>2026-01-14 05:30:00</t>
        </is>
      </c>
      <c r="AZ84" t="inlineStr">
        <is>
          <t>CITIN26605478364</t>
        </is>
      </c>
      <c r="BA84" t="n">
        <v>0</v>
      </c>
      <c r="BB84" t="inlineStr">
        <is>
          <t>086eb64a4406da57842778c6082a9230b85bb5b57da53f1130965a0162a57f1d</t>
        </is>
      </c>
    </row>
    <row r="85">
      <c r="A85" t="inlineStr">
        <is>
          <t>80</t>
        </is>
      </c>
      <c r="B85" t="inlineStr">
        <is>
          <t>7663249872</t>
        </is>
      </c>
      <c r="C85" t="inlineStr">
        <is>
          <t>2026-01-07 01:40:47</t>
        </is>
      </c>
      <c r="D85" t="inlineStr">
        <is>
          <t>2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30% off upto ₹75 (2025-06-25 - 2031-01-01)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219</v>
      </c>
      <c r="P85" t="n">
        <v>3.5</v>
      </c>
      <c r="Q85" t="n">
        <v>0</v>
      </c>
      <c r="R85" t="n">
        <v>65.7</v>
      </c>
      <c r="S85" t="n">
        <v>0</v>
      </c>
      <c r="T85" t="n">
        <v>0</v>
      </c>
      <c r="U85" t="n">
        <v>0</v>
      </c>
      <c r="V85" t="n">
        <v>7.84</v>
      </c>
      <c r="W85" t="n">
        <v>164.64</v>
      </c>
      <c r="X85" t="n">
        <v>156.8</v>
      </c>
      <c r="Y85" t="n">
        <v>19</v>
      </c>
      <c r="Z85" t="n">
        <v>29.79</v>
      </c>
      <c r="AA85" t="n">
        <v>3.03</v>
      </c>
      <c r="AB85" t="n">
        <v>32.82</v>
      </c>
      <c r="AC85" t="n">
        <v>5.91</v>
      </c>
      <c r="AD85" t="n">
        <v>0</v>
      </c>
      <c r="AE85" t="n">
        <v>156.8</v>
      </c>
      <c r="AF85" t="n">
        <v>0</v>
      </c>
      <c r="AG85" t="n">
        <v>0</v>
      </c>
      <c r="AH85" t="n">
        <v>0.16</v>
      </c>
      <c r="AI85" t="n">
        <v>7.85</v>
      </c>
      <c r="AJ85" t="n">
        <v>-0.01</v>
      </c>
      <c r="AK85" t="n">
        <v>13.92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46.74</v>
      </c>
      <c r="AV85" t="n">
        <v>0</v>
      </c>
      <c r="AW85" t="n">
        <v>117.9</v>
      </c>
      <c r="AX85" t="inlineStr">
        <is>
          <t>settled</t>
        </is>
      </c>
      <c r="AY85" t="inlineStr">
        <is>
          <t>2026-01-14 05:30:00</t>
        </is>
      </c>
      <c r="AZ85" t="inlineStr">
        <is>
          <t>CITIN26605478364</t>
        </is>
      </c>
      <c r="BA85" t="n">
        <v>0</v>
      </c>
      <c r="BB85" t="inlineStr">
        <is>
          <t>0d5393b96b9b4aa13144e0786b05603312219d86547c0f7b812bf4a9863ff618</t>
        </is>
      </c>
    </row>
    <row r="86">
      <c r="A86" t="inlineStr">
        <is>
          <t>81</t>
        </is>
      </c>
      <c r="B86" t="inlineStr">
        <is>
          <t>7664960983</t>
        </is>
      </c>
      <c r="C86" t="inlineStr">
        <is>
          <t>2026-01-07 01:42:59</t>
        </is>
      </c>
      <c r="D86" t="inlineStr">
        <is>
          <t>2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229</v>
      </c>
      <c r="P86" t="n">
        <v>3.5</v>
      </c>
      <c r="Q86" t="n">
        <v>0</v>
      </c>
      <c r="R86" t="n">
        <v>68.7</v>
      </c>
      <c r="S86" t="n">
        <v>0</v>
      </c>
      <c r="T86" t="n">
        <v>0</v>
      </c>
      <c r="U86" t="n">
        <v>0</v>
      </c>
      <c r="V86" t="n">
        <v>8.19</v>
      </c>
      <c r="W86" t="n">
        <v>171.99</v>
      </c>
      <c r="X86" t="n">
        <v>163.8</v>
      </c>
      <c r="Y86" t="n">
        <v>19</v>
      </c>
      <c r="Z86" t="n">
        <v>31.12</v>
      </c>
      <c r="AA86" t="n">
        <v>3.16</v>
      </c>
      <c r="AB86" t="n">
        <v>34.28</v>
      </c>
      <c r="AC86" t="n">
        <v>6.17</v>
      </c>
      <c r="AD86" t="n">
        <v>0</v>
      </c>
      <c r="AE86" t="n">
        <v>163.8</v>
      </c>
      <c r="AF86" t="n">
        <v>0</v>
      </c>
      <c r="AG86" t="n">
        <v>0</v>
      </c>
      <c r="AH86" t="n">
        <v>0.16</v>
      </c>
      <c r="AI86" t="n">
        <v>8.199999999999999</v>
      </c>
      <c r="AJ86" t="n">
        <v>-0.01</v>
      </c>
      <c r="AK86" t="n">
        <v>14.53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48.81</v>
      </c>
      <c r="AV86" t="n">
        <v>0</v>
      </c>
      <c r="AW86" t="n">
        <v>123.18</v>
      </c>
      <c r="AX86" t="inlineStr">
        <is>
          <t>settled</t>
        </is>
      </c>
      <c r="AY86" t="inlineStr">
        <is>
          <t>2026-01-14 05:30:00</t>
        </is>
      </c>
      <c r="AZ86" t="inlineStr">
        <is>
          <t>CITIN26605478364</t>
        </is>
      </c>
      <c r="BA86" t="n">
        <v>0</v>
      </c>
      <c r="BB86" t="inlineStr">
        <is>
          <t>33f76104dcb3aef25312338ed65ebf826dacb2279b72cc856cf4ca0fc834bfe4</t>
        </is>
      </c>
    </row>
    <row r="87">
      <c r="A87" t="inlineStr">
        <is>
          <t>82</t>
        </is>
      </c>
      <c r="B87" t="inlineStr">
        <is>
          <t>7658190420</t>
        </is>
      </c>
      <c r="C87" t="inlineStr">
        <is>
          <t>2026-01-07 01:50:20</t>
        </is>
      </c>
      <c r="D87" t="inlineStr">
        <is>
          <t>2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NA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229</v>
      </c>
      <c r="P87" t="n">
        <v>3.5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11.63</v>
      </c>
      <c r="W87" t="n">
        <v>244.13</v>
      </c>
      <c r="X87" t="n">
        <v>232.5</v>
      </c>
      <c r="Y87" t="n">
        <v>19</v>
      </c>
      <c r="Z87" t="n">
        <v>44.18</v>
      </c>
      <c r="AA87" t="n">
        <v>4.49</v>
      </c>
      <c r="AB87" t="n">
        <v>48.67</v>
      </c>
      <c r="AC87" t="n">
        <v>8.76</v>
      </c>
      <c r="AD87" t="n">
        <v>0</v>
      </c>
      <c r="AE87" t="n">
        <v>232.5</v>
      </c>
      <c r="AF87" t="n">
        <v>0</v>
      </c>
      <c r="AG87" t="n">
        <v>0</v>
      </c>
      <c r="AH87" t="n">
        <v>0.23</v>
      </c>
      <c r="AI87" t="n">
        <v>11.63</v>
      </c>
      <c r="AJ87" t="n">
        <v>0</v>
      </c>
      <c r="AK87" t="n">
        <v>20.62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69.29000000000001</v>
      </c>
      <c r="AV87" t="n">
        <v>0</v>
      </c>
      <c r="AW87" t="n">
        <v>174.84</v>
      </c>
      <c r="AX87" t="inlineStr">
        <is>
          <t>settled</t>
        </is>
      </c>
      <c r="AY87" t="inlineStr">
        <is>
          <t>2026-01-14 05:30:00</t>
        </is>
      </c>
      <c r="AZ87" t="inlineStr">
        <is>
          <t>CITIN26605478364</t>
        </is>
      </c>
      <c r="BA87" t="n">
        <v>0</v>
      </c>
      <c r="BB87" t="inlineStr">
        <is>
          <t>666f9b0bbfeb7094705c465184e836edefbe4145d6ca0a705ac7cbaebbdcd0dc</t>
        </is>
      </c>
    </row>
    <row r="88">
      <c r="A88" t="inlineStr">
        <is>
          <t>83</t>
        </is>
      </c>
      <c r="B88" t="inlineStr">
        <is>
          <t>7664843686</t>
        </is>
      </c>
      <c r="C88" t="inlineStr">
        <is>
          <t>2026-01-07 01:51:42</t>
        </is>
      </c>
      <c r="D88" t="inlineStr">
        <is>
          <t>2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229</v>
      </c>
      <c r="P88" t="n">
        <v>3.5</v>
      </c>
      <c r="Q88" t="n">
        <v>0</v>
      </c>
      <c r="R88" t="n">
        <v>68.7</v>
      </c>
      <c r="S88" t="n">
        <v>0</v>
      </c>
      <c r="T88" t="n">
        <v>0</v>
      </c>
      <c r="U88" t="n">
        <v>0</v>
      </c>
      <c r="V88" t="n">
        <v>8.19</v>
      </c>
      <c r="W88" t="n">
        <v>171.99</v>
      </c>
      <c r="X88" t="n">
        <v>163.8</v>
      </c>
      <c r="Y88" t="n">
        <v>19</v>
      </c>
      <c r="Z88" t="n">
        <v>31.12</v>
      </c>
      <c r="AA88" t="n">
        <v>3.16</v>
      </c>
      <c r="AB88" t="n">
        <v>34.28</v>
      </c>
      <c r="AC88" t="n">
        <v>6.17</v>
      </c>
      <c r="AD88" t="n">
        <v>0</v>
      </c>
      <c r="AE88" t="n">
        <v>163.8</v>
      </c>
      <c r="AF88" t="n">
        <v>0</v>
      </c>
      <c r="AG88" t="n">
        <v>0</v>
      </c>
      <c r="AH88" t="n">
        <v>0.16</v>
      </c>
      <c r="AI88" t="n">
        <v>8.199999999999999</v>
      </c>
      <c r="AJ88" t="n">
        <v>-0.01</v>
      </c>
      <c r="AK88" t="n">
        <v>14.53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48.81</v>
      </c>
      <c r="AV88" t="n">
        <v>0</v>
      </c>
      <c r="AW88" t="n">
        <v>123.18</v>
      </c>
      <c r="AX88" t="inlineStr">
        <is>
          <t>settled</t>
        </is>
      </c>
      <c r="AY88" t="inlineStr">
        <is>
          <t>2026-01-14 05:30:00</t>
        </is>
      </c>
      <c r="AZ88" t="inlineStr">
        <is>
          <t>CITIN26605478364</t>
        </is>
      </c>
      <c r="BA88" t="n">
        <v>0</v>
      </c>
      <c r="BB88" t="inlineStr">
        <is>
          <t>d1ae8d8443a195f068423e9937c8049ee67391f57cee67d0e913de359de6f69e</t>
        </is>
      </c>
    </row>
    <row r="89">
      <c r="A89" t="inlineStr">
        <is>
          <t>84</t>
        </is>
      </c>
      <c r="B89" t="inlineStr">
        <is>
          <t>7655211249</t>
        </is>
      </c>
      <c r="C89" t="inlineStr">
        <is>
          <t>2026-01-07 01:53:00</t>
        </is>
      </c>
      <c r="D89" t="inlineStr">
        <is>
          <t>2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219</v>
      </c>
      <c r="P89" t="n">
        <v>3.5</v>
      </c>
      <c r="Q89" t="n">
        <v>0</v>
      </c>
      <c r="R89" t="n">
        <v>65.7</v>
      </c>
      <c r="S89" t="n">
        <v>0</v>
      </c>
      <c r="T89" t="n">
        <v>0</v>
      </c>
      <c r="U89" t="n">
        <v>0</v>
      </c>
      <c r="V89" t="n">
        <v>7.84</v>
      </c>
      <c r="W89" t="n">
        <v>164.64</v>
      </c>
      <c r="X89" t="n">
        <v>156.8</v>
      </c>
      <c r="Y89" t="n">
        <v>19</v>
      </c>
      <c r="Z89" t="n">
        <v>29.79</v>
      </c>
      <c r="AA89" t="n">
        <v>3.03</v>
      </c>
      <c r="AB89" t="n">
        <v>32.82</v>
      </c>
      <c r="AC89" t="n">
        <v>5.91</v>
      </c>
      <c r="AD89" t="n">
        <v>0</v>
      </c>
      <c r="AE89" t="n">
        <v>156.8</v>
      </c>
      <c r="AF89" t="n">
        <v>0</v>
      </c>
      <c r="AG89" t="n">
        <v>0</v>
      </c>
      <c r="AH89" t="n">
        <v>0.16</v>
      </c>
      <c r="AI89" t="n">
        <v>7.85</v>
      </c>
      <c r="AJ89" t="n">
        <v>-0.01</v>
      </c>
      <c r="AK89" t="n">
        <v>13.92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46.74</v>
      </c>
      <c r="AV89" t="n">
        <v>0</v>
      </c>
      <c r="AW89" t="n">
        <v>117.9</v>
      </c>
      <c r="AX89" t="inlineStr">
        <is>
          <t>settled</t>
        </is>
      </c>
      <c r="AY89" t="inlineStr">
        <is>
          <t>2026-01-14 05:30:00</t>
        </is>
      </c>
      <c r="AZ89" t="inlineStr">
        <is>
          <t>CITIN26605478364</t>
        </is>
      </c>
      <c r="BA89" t="n">
        <v>0</v>
      </c>
      <c r="BB89" t="inlineStr">
        <is>
          <t>5445d2b6f4dbc7371bd55b2cc9d9f5b8aba3a3a718099358ea0cd26e57b2dedb</t>
        </is>
      </c>
    </row>
    <row r="90">
      <c r="A90" t="inlineStr">
        <is>
          <t>85</t>
        </is>
      </c>
      <c r="B90" t="inlineStr">
        <is>
          <t>7664363617</t>
        </is>
      </c>
      <c r="C90" t="inlineStr">
        <is>
          <t>2026-01-07 01:57:27</t>
        </is>
      </c>
      <c r="D90" t="inlineStr">
        <is>
          <t>2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229</v>
      </c>
      <c r="P90" t="n">
        <v>3.5</v>
      </c>
      <c r="Q90" t="n">
        <v>0</v>
      </c>
      <c r="R90" t="n">
        <v>68.7</v>
      </c>
      <c r="S90" t="n">
        <v>0</v>
      </c>
      <c r="T90" t="n">
        <v>0</v>
      </c>
      <c r="U90" t="n">
        <v>0</v>
      </c>
      <c r="V90" t="n">
        <v>8.19</v>
      </c>
      <c r="W90" t="n">
        <v>171.99</v>
      </c>
      <c r="X90" t="n">
        <v>163.8</v>
      </c>
      <c r="Y90" t="n">
        <v>19</v>
      </c>
      <c r="Z90" t="n">
        <v>31.12</v>
      </c>
      <c r="AA90" t="n">
        <v>3.16</v>
      </c>
      <c r="AB90" t="n">
        <v>34.28</v>
      </c>
      <c r="AC90" t="n">
        <v>6.17</v>
      </c>
      <c r="AD90" t="n">
        <v>0</v>
      </c>
      <c r="AE90" t="n">
        <v>163.8</v>
      </c>
      <c r="AF90" t="n">
        <v>0</v>
      </c>
      <c r="AG90" t="n">
        <v>0</v>
      </c>
      <c r="AH90" t="n">
        <v>0.16</v>
      </c>
      <c r="AI90" t="n">
        <v>8.199999999999999</v>
      </c>
      <c r="AJ90" t="n">
        <v>-0.01</v>
      </c>
      <c r="AK90" t="n">
        <v>14.53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48.81</v>
      </c>
      <c r="AV90" t="n">
        <v>0</v>
      </c>
      <c r="AW90" t="n">
        <v>123.18</v>
      </c>
      <c r="AX90" t="inlineStr">
        <is>
          <t>settled</t>
        </is>
      </c>
      <c r="AY90" t="inlineStr">
        <is>
          <t>2026-01-14 05:30:00</t>
        </is>
      </c>
      <c r="AZ90" t="inlineStr">
        <is>
          <t>CITIN26605478364</t>
        </is>
      </c>
      <c r="BA90" t="n">
        <v>0</v>
      </c>
      <c r="BB90" t="inlineStr">
        <is>
          <t>f9340307e649572baa4af24e83e07710dc74120ade37714882695761b9b32f7a</t>
        </is>
      </c>
    </row>
    <row r="91">
      <c r="A91" t="inlineStr">
        <is>
          <t>86</t>
        </is>
      </c>
      <c r="B91" t="inlineStr">
        <is>
          <t>7662582371</t>
        </is>
      </c>
      <c r="C91" t="inlineStr">
        <is>
          <t>2026-01-07 01:57:45</t>
        </is>
      </c>
      <c r="D91" t="inlineStr">
        <is>
          <t>2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229</v>
      </c>
      <c r="P91" t="n">
        <v>3.5</v>
      </c>
      <c r="Q91" t="n">
        <v>0</v>
      </c>
      <c r="R91" t="n">
        <v>68.7</v>
      </c>
      <c r="S91" t="n">
        <v>0</v>
      </c>
      <c r="T91" t="n">
        <v>0</v>
      </c>
      <c r="U91" t="n">
        <v>0</v>
      </c>
      <c r="V91" t="n">
        <v>8.19</v>
      </c>
      <c r="W91" t="n">
        <v>171.99</v>
      </c>
      <c r="X91" t="n">
        <v>163.8</v>
      </c>
      <c r="Y91" t="n">
        <v>19</v>
      </c>
      <c r="Z91" t="n">
        <v>31.12</v>
      </c>
      <c r="AA91" t="n">
        <v>3.16</v>
      </c>
      <c r="AB91" t="n">
        <v>34.28</v>
      </c>
      <c r="AC91" t="n">
        <v>6.17</v>
      </c>
      <c r="AD91" t="n">
        <v>0</v>
      </c>
      <c r="AE91" t="n">
        <v>163.8</v>
      </c>
      <c r="AF91" t="n">
        <v>0</v>
      </c>
      <c r="AG91" t="n">
        <v>0</v>
      </c>
      <c r="AH91" t="n">
        <v>0.16</v>
      </c>
      <c r="AI91" t="n">
        <v>8.199999999999999</v>
      </c>
      <c r="AJ91" t="n">
        <v>-0.01</v>
      </c>
      <c r="AK91" t="n">
        <v>14.53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48.81</v>
      </c>
      <c r="AV91" t="n">
        <v>0</v>
      </c>
      <c r="AW91" t="n">
        <v>123.18</v>
      </c>
      <c r="AX91" t="inlineStr">
        <is>
          <t>settled</t>
        </is>
      </c>
      <c r="AY91" t="inlineStr">
        <is>
          <t>2026-01-14 05:30:00</t>
        </is>
      </c>
      <c r="AZ91" t="inlineStr">
        <is>
          <t>CITIN26605478364</t>
        </is>
      </c>
      <c r="BA91" t="n">
        <v>0</v>
      </c>
      <c r="BB91" t="inlineStr">
        <is>
          <t>08f61f7e6484e58484542cab69fba5f25dc5bf3043e1307587ce038d2a165b63</t>
        </is>
      </c>
    </row>
    <row r="92">
      <c r="A92" t="inlineStr">
        <is>
          <t>87</t>
        </is>
      </c>
      <c r="B92" t="inlineStr">
        <is>
          <t>7663221767</t>
        </is>
      </c>
      <c r="C92" t="inlineStr">
        <is>
          <t>2026-01-07 02:17:16</t>
        </is>
      </c>
      <c r="D92" t="inlineStr">
        <is>
          <t>2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219</v>
      </c>
      <c r="P92" t="n">
        <v>3.5</v>
      </c>
      <c r="Q92" t="n">
        <v>0</v>
      </c>
      <c r="R92" t="n">
        <v>65.7</v>
      </c>
      <c r="S92" t="n">
        <v>0</v>
      </c>
      <c r="T92" t="n">
        <v>0</v>
      </c>
      <c r="U92" t="n">
        <v>0</v>
      </c>
      <c r="V92" t="n">
        <v>7.84</v>
      </c>
      <c r="W92" t="n">
        <v>164.64</v>
      </c>
      <c r="X92" t="n">
        <v>156.8</v>
      </c>
      <c r="Y92" t="n">
        <v>19</v>
      </c>
      <c r="Z92" t="n">
        <v>29.79</v>
      </c>
      <c r="AA92" t="n">
        <v>3.03</v>
      </c>
      <c r="AB92" t="n">
        <v>32.82</v>
      </c>
      <c r="AC92" t="n">
        <v>5.91</v>
      </c>
      <c r="AD92" t="n">
        <v>0</v>
      </c>
      <c r="AE92" t="n">
        <v>156.8</v>
      </c>
      <c r="AF92" t="n">
        <v>0</v>
      </c>
      <c r="AG92" t="n">
        <v>0</v>
      </c>
      <c r="AH92" t="n">
        <v>0.16</v>
      </c>
      <c r="AI92" t="n">
        <v>7.85</v>
      </c>
      <c r="AJ92" t="n">
        <v>-0.01</v>
      </c>
      <c r="AK92" t="n">
        <v>13.92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46.74</v>
      </c>
      <c r="AV92" t="n">
        <v>0</v>
      </c>
      <c r="AW92" t="n">
        <v>117.9</v>
      </c>
      <c r="AX92" t="inlineStr">
        <is>
          <t>settled</t>
        </is>
      </c>
      <c r="AY92" t="inlineStr">
        <is>
          <t>2026-01-14 05:30:00</t>
        </is>
      </c>
      <c r="AZ92" t="inlineStr">
        <is>
          <t>CITIN26605478364</t>
        </is>
      </c>
      <c r="BA92" t="n">
        <v>0</v>
      </c>
      <c r="BB92" t="inlineStr">
        <is>
          <t>cb9e100c5a2508bb6a1cdc0787eaf5a8868199fa5707ae510e14f0f4594c5613</t>
        </is>
      </c>
    </row>
    <row r="93">
      <c r="A93" t="inlineStr">
        <is>
          <t>88</t>
        </is>
      </c>
      <c r="B93" t="inlineStr">
        <is>
          <t>7663293090</t>
        </is>
      </c>
      <c r="C93" t="inlineStr">
        <is>
          <t>2026-01-07 02:25:21</t>
        </is>
      </c>
      <c r="D93" t="inlineStr">
        <is>
          <t>2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229</v>
      </c>
      <c r="P93" t="n">
        <v>3.5</v>
      </c>
      <c r="Q93" t="n">
        <v>0</v>
      </c>
      <c r="R93" t="n">
        <v>68.7</v>
      </c>
      <c r="S93" t="n">
        <v>0</v>
      </c>
      <c r="T93" t="n">
        <v>0</v>
      </c>
      <c r="U93" t="n">
        <v>0</v>
      </c>
      <c r="V93" t="n">
        <v>8.19</v>
      </c>
      <c r="W93" t="n">
        <v>171.99</v>
      </c>
      <c r="X93" t="n">
        <v>163.8</v>
      </c>
      <c r="Y93" t="n">
        <v>19</v>
      </c>
      <c r="Z93" t="n">
        <v>31.12</v>
      </c>
      <c r="AA93" t="n">
        <v>3.16</v>
      </c>
      <c r="AB93" t="n">
        <v>34.28</v>
      </c>
      <c r="AC93" t="n">
        <v>6.17</v>
      </c>
      <c r="AD93" t="n">
        <v>0</v>
      </c>
      <c r="AE93" t="n">
        <v>163.8</v>
      </c>
      <c r="AF93" t="n">
        <v>0</v>
      </c>
      <c r="AG93" t="n">
        <v>0</v>
      </c>
      <c r="AH93" t="n">
        <v>0.16</v>
      </c>
      <c r="AI93" t="n">
        <v>8.199999999999999</v>
      </c>
      <c r="AJ93" t="n">
        <v>-0.01</v>
      </c>
      <c r="AK93" t="n">
        <v>14.53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48.81</v>
      </c>
      <c r="AV93" t="n">
        <v>0</v>
      </c>
      <c r="AW93" t="n">
        <v>123.18</v>
      </c>
      <c r="AX93" t="inlineStr">
        <is>
          <t>settled</t>
        </is>
      </c>
      <c r="AY93" t="inlineStr">
        <is>
          <t>2026-01-14 05:30:00</t>
        </is>
      </c>
      <c r="AZ93" t="inlineStr">
        <is>
          <t>CITIN26605478364</t>
        </is>
      </c>
      <c r="BA93" t="n">
        <v>0</v>
      </c>
      <c r="BB93" t="inlineStr">
        <is>
          <t>c2276d3ab770207f13c068ff81c7fee92f57f3b89d19452b6b43d038915a771a</t>
        </is>
      </c>
    </row>
    <row r="94">
      <c r="A94" t="inlineStr">
        <is>
          <t>89</t>
        </is>
      </c>
      <c r="B94" t="inlineStr">
        <is>
          <t>7663647872</t>
        </is>
      </c>
      <c r="C94" t="inlineStr">
        <is>
          <t>2026-01-07 02:51:31</t>
        </is>
      </c>
      <c r="D94" t="inlineStr">
        <is>
          <t>2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438</v>
      </c>
      <c r="P94" t="n">
        <v>3.5</v>
      </c>
      <c r="Q94" t="n">
        <v>0</v>
      </c>
      <c r="R94" t="n">
        <v>75</v>
      </c>
      <c r="S94" t="n">
        <v>0</v>
      </c>
      <c r="T94" t="n">
        <v>0</v>
      </c>
      <c r="U94" t="n">
        <v>0</v>
      </c>
      <c r="V94" t="n">
        <v>18.33</v>
      </c>
      <c r="W94" t="n">
        <v>384.83</v>
      </c>
      <c r="X94" t="n">
        <v>366.5</v>
      </c>
      <c r="Y94" t="n">
        <v>19</v>
      </c>
      <c r="Z94" t="n">
        <v>69.64</v>
      </c>
      <c r="AA94" t="n">
        <v>7.08</v>
      </c>
      <c r="AB94" t="n">
        <v>76.72</v>
      </c>
      <c r="AC94" t="n">
        <v>13.81</v>
      </c>
      <c r="AD94" t="n">
        <v>0</v>
      </c>
      <c r="AE94" t="n">
        <v>366.5</v>
      </c>
      <c r="AF94" t="n">
        <v>0</v>
      </c>
      <c r="AG94" t="n">
        <v>0</v>
      </c>
      <c r="AH94" t="n">
        <v>0.37</v>
      </c>
      <c r="AI94" t="n">
        <v>18.33</v>
      </c>
      <c r="AJ94" t="n">
        <v>0</v>
      </c>
      <c r="AK94" t="n">
        <v>32.51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109.23</v>
      </c>
      <c r="AV94" t="n">
        <v>0</v>
      </c>
      <c r="AW94" t="n">
        <v>275.6</v>
      </c>
      <c r="AX94" t="inlineStr">
        <is>
          <t>settled</t>
        </is>
      </c>
      <c r="AY94" t="inlineStr">
        <is>
          <t>2026-01-14 05:30:00</t>
        </is>
      </c>
      <c r="AZ94" t="inlineStr">
        <is>
          <t>CITIN26605478364</t>
        </is>
      </c>
      <c r="BA94" t="n">
        <v>0</v>
      </c>
      <c r="BB94" t="inlineStr">
        <is>
          <t>6b4e3280148b5f142bad6abdc86808dddeba8bc30460d6333c176414877e6dc6</t>
        </is>
      </c>
    </row>
    <row r="95">
      <c r="A95" t="inlineStr">
        <is>
          <t>90</t>
        </is>
      </c>
      <c r="B95" t="inlineStr">
        <is>
          <t>7663347289</t>
        </is>
      </c>
      <c r="C95" t="inlineStr">
        <is>
          <t>2026-01-07 03:10:47</t>
        </is>
      </c>
      <c r="D95" t="inlineStr">
        <is>
          <t>2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229</v>
      </c>
      <c r="P95" t="n">
        <v>3.5</v>
      </c>
      <c r="Q95" t="n">
        <v>0</v>
      </c>
      <c r="R95" t="n">
        <v>68.7</v>
      </c>
      <c r="S95" t="n">
        <v>0</v>
      </c>
      <c r="T95" t="n">
        <v>0</v>
      </c>
      <c r="U95" t="n">
        <v>0</v>
      </c>
      <c r="V95" t="n">
        <v>8.19</v>
      </c>
      <c r="W95" t="n">
        <v>171.99</v>
      </c>
      <c r="X95" t="n">
        <v>163.8</v>
      </c>
      <c r="Y95" t="n">
        <v>19</v>
      </c>
      <c r="Z95" t="n">
        <v>31.12</v>
      </c>
      <c r="AA95" t="n">
        <v>3.16</v>
      </c>
      <c r="AB95" t="n">
        <v>34.28</v>
      </c>
      <c r="AC95" t="n">
        <v>6.17</v>
      </c>
      <c r="AD95" t="n">
        <v>0</v>
      </c>
      <c r="AE95" t="n">
        <v>163.8</v>
      </c>
      <c r="AF95" t="n">
        <v>0</v>
      </c>
      <c r="AG95" t="n">
        <v>0</v>
      </c>
      <c r="AH95" t="n">
        <v>0.16</v>
      </c>
      <c r="AI95" t="n">
        <v>8.199999999999999</v>
      </c>
      <c r="AJ95" t="n">
        <v>-0.01</v>
      </c>
      <c r="AK95" t="n">
        <v>14.53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48.81</v>
      </c>
      <c r="AV95" t="n">
        <v>0</v>
      </c>
      <c r="AW95" t="n">
        <v>123.18</v>
      </c>
      <c r="AX95" t="inlineStr">
        <is>
          <t>settled</t>
        </is>
      </c>
      <c r="AY95" t="inlineStr">
        <is>
          <t>2026-01-14 05:30:00</t>
        </is>
      </c>
      <c r="AZ95" t="inlineStr">
        <is>
          <t>CITIN26605478364</t>
        </is>
      </c>
      <c r="BA95" t="n">
        <v>0</v>
      </c>
      <c r="BB95" t="inlineStr">
        <is>
          <t>57c020c708665f4e9cdfc469489c2aebdee9b9ff4044a434f31e2628ba093bb3</t>
        </is>
      </c>
    </row>
    <row r="96">
      <c r="A96" t="inlineStr">
        <is>
          <t>91</t>
        </is>
      </c>
      <c r="B96" t="inlineStr">
        <is>
          <t>7661378456</t>
        </is>
      </c>
      <c r="C96" t="inlineStr">
        <is>
          <t>2026-01-07 03:12:47</t>
        </is>
      </c>
      <c r="D96" t="inlineStr">
        <is>
          <t>2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219</v>
      </c>
      <c r="P96" t="n">
        <v>3.5</v>
      </c>
      <c r="Q96" t="n">
        <v>0</v>
      </c>
      <c r="R96" t="n">
        <v>65.7</v>
      </c>
      <c r="S96" t="n">
        <v>0</v>
      </c>
      <c r="T96" t="n">
        <v>0</v>
      </c>
      <c r="U96" t="n">
        <v>0</v>
      </c>
      <c r="V96" t="n">
        <v>7.84</v>
      </c>
      <c r="W96" t="n">
        <v>164.64</v>
      </c>
      <c r="X96" t="n">
        <v>156.8</v>
      </c>
      <c r="Y96" t="n">
        <v>19</v>
      </c>
      <c r="Z96" t="n">
        <v>29.79</v>
      </c>
      <c r="AA96" t="n">
        <v>3.03</v>
      </c>
      <c r="AB96" t="n">
        <v>32.82</v>
      </c>
      <c r="AC96" t="n">
        <v>5.91</v>
      </c>
      <c r="AD96" t="n">
        <v>0</v>
      </c>
      <c r="AE96" t="n">
        <v>156.8</v>
      </c>
      <c r="AF96" t="n">
        <v>0</v>
      </c>
      <c r="AG96" t="n">
        <v>0</v>
      </c>
      <c r="AH96" t="n">
        <v>0.16</v>
      </c>
      <c r="AI96" t="n">
        <v>7.85</v>
      </c>
      <c r="AJ96" t="n">
        <v>-0.01</v>
      </c>
      <c r="AK96" t="n">
        <v>13.92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46.74</v>
      </c>
      <c r="AV96" t="n">
        <v>0</v>
      </c>
      <c r="AW96" t="n">
        <v>117.9</v>
      </c>
      <c r="AX96" t="inlineStr">
        <is>
          <t>settled</t>
        </is>
      </c>
      <c r="AY96" t="inlineStr">
        <is>
          <t>2026-01-14 05:30:00</t>
        </is>
      </c>
      <c r="AZ96" t="inlineStr">
        <is>
          <t>CITIN26605478364</t>
        </is>
      </c>
      <c r="BA96" t="n">
        <v>0</v>
      </c>
      <c r="BB96" t="inlineStr">
        <is>
          <t>9c391cb5efd4500b5f06dd50660b9fb5399896a2dcea565dc92ee3b39f120839</t>
        </is>
      </c>
    </row>
    <row r="97">
      <c r="A97" t="inlineStr">
        <is>
          <t>92</t>
        </is>
      </c>
      <c r="B97" t="inlineStr">
        <is>
          <t>7652877148</t>
        </is>
      </c>
      <c r="C97" t="inlineStr">
        <is>
          <t>2026-01-07 03:14:57</t>
        </is>
      </c>
      <c r="D97" t="inlineStr">
        <is>
          <t>2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229</v>
      </c>
      <c r="P97" t="n">
        <v>3.5</v>
      </c>
      <c r="Q97" t="n">
        <v>0</v>
      </c>
      <c r="R97" t="n">
        <v>68.7</v>
      </c>
      <c r="S97" t="n">
        <v>0</v>
      </c>
      <c r="T97" t="n">
        <v>0</v>
      </c>
      <c r="U97" t="n">
        <v>0</v>
      </c>
      <c r="V97" t="n">
        <v>8.19</v>
      </c>
      <c r="W97" t="n">
        <v>171.99</v>
      </c>
      <c r="X97" t="n">
        <v>163.8</v>
      </c>
      <c r="Y97" t="n">
        <v>19</v>
      </c>
      <c r="Z97" t="n">
        <v>31.12</v>
      </c>
      <c r="AA97" t="n">
        <v>3.16</v>
      </c>
      <c r="AB97" t="n">
        <v>34.28</v>
      </c>
      <c r="AC97" t="n">
        <v>6.17</v>
      </c>
      <c r="AD97" t="n">
        <v>0</v>
      </c>
      <c r="AE97" t="n">
        <v>163.8</v>
      </c>
      <c r="AF97" t="n">
        <v>0</v>
      </c>
      <c r="AG97" t="n">
        <v>0</v>
      </c>
      <c r="AH97" t="n">
        <v>0.16</v>
      </c>
      <c r="AI97" t="n">
        <v>8.199999999999999</v>
      </c>
      <c r="AJ97" t="n">
        <v>-0.01</v>
      </c>
      <c r="AK97" t="n">
        <v>14.53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48.81</v>
      </c>
      <c r="AV97" t="n">
        <v>0</v>
      </c>
      <c r="AW97" t="n">
        <v>123.18</v>
      </c>
      <c r="AX97" t="inlineStr">
        <is>
          <t>settled</t>
        </is>
      </c>
      <c r="AY97" t="inlineStr">
        <is>
          <t>2026-01-14 05:30:00</t>
        </is>
      </c>
      <c r="AZ97" t="inlineStr">
        <is>
          <t>CITIN26605478364</t>
        </is>
      </c>
      <c r="BA97" t="n">
        <v>0</v>
      </c>
      <c r="BB97" t="inlineStr">
        <is>
          <t>1b7830f015e2ee5d386f52501c6b0122dfe36c3afb50f153d665d054556a1080</t>
        </is>
      </c>
    </row>
    <row r="98">
      <c r="A98" t="inlineStr">
        <is>
          <t>93</t>
        </is>
      </c>
      <c r="B98" t="inlineStr">
        <is>
          <t>7663155925</t>
        </is>
      </c>
      <c r="C98" t="inlineStr">
        <is>
          <t>2026-01-07 03:56:53</t>
        </is>
      </c>
      <c r="D98" t="inlineStr">
        <is>
          <t>2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229</v>
      </c>
      <c r="P98" t="n">
        <v>3.5</v>
      </c>
      <c r="Q98" t="n">
        <v>0</v>
      </c>
      <c r="R98" t="n">
        <v>68.7</v>
      </c>
      <c r="S98" t="n">
        <v>0</v>
      </c>
      <c r="T98" t="n">
        <v>0</v>
      </c>
      <c r="U98" t="n">
        <v>0</v>
      </c>
      <c r="V98" t="n">
        <v>8.19</v>
      </c>
      <c r="W98" t="n">
        <v>171.99</v>
      </c>
      <c r="X98" t="n">
        <v>163.8</v>
      </c>
      <c r="Y98" t="n">
        <v>19</v>
      </c>
      <c r="Z98" t="n">
        <v>31.12</v>
      </c>
      <c r="AA98" t="n">
        <v>3.16</v>
      </c>
      <c r="AB98" t="n">
        <v>34.28</v>
      </c>
      <c r="AC98" t="n">
        <v>6.17</v>
      </c>
      <c r="AD98" t="n">
        <v>0</v>
      </c>
      <c r="AE98" t="n">
        <v>163.8</v>
      </c>
      <c r="AF98" t="n">
        <v>0</v>
      </c>
      <c r="AG98" t="n">
        <v>0</v>
      </c>
      <c r="AH98" t="n">
        <v>0.16</v>
      </c>
      <c r="AI98" t="n">
        <v>8.199999999999999</v>
      </c>
      <c r="AJ98" t="n">
        <v>-0.01</v>
      </c>
      <c r="AK98" t="n">
        <v>14.53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48.81</v>
      </c>
      <c r="AV98" t="n">
        <v>0</v>
      </c>
      <c r="AW98" t="n">
        <v>123.18</v>
      </c>
      <c r="AX98" t="inlineStr">
        <is>
          <t>settled</t>
        </is>
      </c>
      <c r="AY98" t="inlineStr">
        <is>
          <t>2026-01-14 05:30:00</t>
        </is>
      </c>
      <c r="AZ98" t="inlineStr">
        <is>
          <t>CITIN26605478364</t>
        </is>
      </c>
      <c r="BA98" t="n">
        <v>0</v>
      </c>
      <c r="BB98" t="inlineStr">
        <is>
          <t>222a2d02a88e825aef80bb19b06e44dceb1ab73c27c0a3d58589746f24b7deb3</t>
        </is>
      </c>
    </row>
    <row r="99">
      <c r="A99" t="inlineStr">
        <is>
          <t>94</t>
        </is>
      </c>
      <c r="B99" t="inlineStr">
        <is>
          <t>7663900957</t>
        </is>
      </c>
      <c r="C99" t="inlineStr">
        <is>
          <t>2026-01-07 03:57:33</t>
        </is>
      </c>
      <c r="D99" t="inlineStr">
        <is>
          <t>2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229</v>
      </c>
      <c r="P99" t="n">
        <v>3.5</v>
      </c>
      <c r="Q99" t="n">
        <v>0</v>
      </c>
      <c r="R99" t="n">
        <v>68.7</v>
      </c>
      <c r="S99" t="n">
        <v>0</v>
      </c>
      <c r="T99" t="n">
        <v>0</v>
      </c>
      <c r="U99" t="n">
        <v>0</v>
      </c>
      <c r="V99" t="n">
        <v>8.19</v>
      </c>
      <c r="W99" t="n">
        <v>171.99</v>
      </c>
      <c r="X99" t="n">
        <v>163.8</v>
      </c>
      <c r="Y99" t="n">
        <v>19</v>
      </c>
      <c r="Z99" t="n">
        <v>31.12</v>
      </c>
      <c r="AA99" t="n">
        <v>3.16</v>
      </c>
      <c r="AB99" t="n">
        <v>34.28</v>
      </c>
      <c r="AC99" t="n">
        <v>6.17</v>
      </c>
      <c r="AD99" t="n">
        <v>0</v>
      </c>
      <c r="AE99" t="n">
        <v>163.8</v>
      </c>
      <c r="AF99" t="n">
        <v>0</v>
      </c>
      <c r="AG99" t="n">
        <v>0</v>
      </c>
      <c r="AH99" t="n">
        <v>0.16</v>
      </c>
      <c r="AI99" t="n">
        <v>8.199999999999999</v>
      </c>
      <c r="AJ99" t="n">
        <v>-0.01</v>
      </c>
      <c r="AK99" t="n">
        <v>14.53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48.81</v>
      </c>
      <c r="AV99" t="n">
        <v>0</v>
      </c>
      <c r="AW99" t="n">
        <v>123.18</v>
      </c>
      <c r="AX99" t="inlineStr">
        <is>
          <t>settled</t>
        </is>
      </c>
      <c r="AY99" t="inlineStr">
        <is>
          <t>2026-01-14 05:30:00</t>
        </is>
      </c>
      <c r="AZ99" t="inlineStr">
        <is>
          <t>CITIN26605478364</t>
        </is>
      </c>
      <c r="BA99" t="n">
        <v>0</v>
      </c>
      <c r="BB99" t="inlineStr">
        <is>
          <t>e3e4f8fa852364807c01bf10a0abc2bd5d4683dc64646764dc1a9cc595d890a7</t>
        </is>
      </c>
    </row>
    <row r="100">
      <c r="A100" t="inlineStr">
        <is>
          <t>95</t>
        </is>
      </c>
      <c r="B100" t="inlineStr">
        <is>
          <t>7661302824</t>
        </is>
      </c>
      <c r="C100" t="inlineStr">
        <is>
          <t>2026-01-07 04:02:07</t>
        </is>
      </c>
      <c r="D100" t="inlineStr">
        <is>
          <t>2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30% off upto ₹75 (2025-06-25 - 2031-01-01)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229</v>
      </c>
      <c r="P100" t="n">
        <v>3.5</v>
      </c>
      <c r="Q100" t="n">
        <v>0</v>
      </c>
      <c r="R100" t="n">
        <v>68.7</v>
      </c>
      <c r="S100" t="n">
        <v>0</v>
      </c>
      <c r="T100" t="n">
        <v>0</v>
      </c>
      <c r="U100" t="n">
        <v>0</v>
      </c>
      <c r="V100" t="n">
        <v>8.19</v>
      </c>
      <c r="W100" t="n">
        <v>171.99</v>
      </c>
      <c r="X100" t="n">
        <v>163.8</v>
      </c>
      <c r="Y100" t="n">
        <v>19</v>
      </c>
      <c r="Z100" t="n">
        <v>31.12</v>
      </c>
      <c r="AA100" t="n">
        <v>3.16</v>
      </c>
      <c r="AB100" t="n">
        <v>34.28</v>
      </c>
      <c r="AC100" t="n">
        <v>6.17</v>
      </c>
      <c r="AD100" t="n">
        <v>0</v>
      </c>
      <c r="AE100" t="n">
        <v>163.8</v>
      </c>
      <c r="AF100" t="n">
        <v>0</v>
      </c>
      <c r="AG100" t="n">
        <v>0</v>
      </c>
      <c r="AH100" t="n">
        <v>0.16</v>
      </c>
      <c r="AI100" t="n">
        <v>8.199999999999999</v>
      </c>
      <c r="AJ100" t="n">
        <v>-0.01</v>
      </c>
      <c r="AK100" t="n">
        <v>14.53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48.81</v>
      </c>
      <c r="AV100" t="n">
        <v>0</v>
      </c>
      <c r="AW100" t="n">
        <v>123.18</v>
      </c>
      <c r="AX100" t="inlineStr">
        <is>
          <t>settled</t>
        </is>
      </c>
      <c r="AY100" t="inlineStr">
        <is>
          <t>2026-01-14 05:30:00</t>
        </is>
      </c>
      <c r="AZ100" t="inlineStr">
        <is>
          <t>CITIN26605478364</t>
        </is>
      </c>
      <c r="BA100" t="n">
        <v>0</v>
      </c>
      <c r="BB100" t="inlineStr">
        <is>
          <t>3910c0947ee21f05b79162ebf3f8ee3ddee6c34340b6337cd378afa70d1cc422</t>
        </is>
      </c>
    </row>
    <row r="101">
      <c r="A101" t="inlineStr">
        <is>
          <t>96</t>
        </is>
      </c>
      <c r="B101" t="inlineStr">
        <is>
          <t>7664097843</t>
        </is>
      </c>
      <c r="C101" t="inlineStr">
        <is>
          <t>2026-01-07 04:24:42</t>
        </is>
      </c>
      <c r="D101" t="inlineStr">
        <is>
          <t>2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219</v>
      </c>
      <c r="P101" t="n">
        <v>3.5</v>
      </c>
      <c r="Q101" t="n">
        <v>0</v>
      </c>
      <c r="R101" t="n">
        <v>65.7</v>
      </c>
      <c r="S101" t="n">
        <v>0</v>
      </c>
      <c r="T101" t="n">
        <v>0</v>
      </c>
      <c r="U101" t="n">
        <v>0</v>
      </c>
      <c r="V101" t="n">
        <v>7.84</v>
      </c>
      <c r="W101" t="n">
        <v>164.64</v>
      </c>
      <c r="X101" t="n">
        <v>156.8</v>
      </c>
      <c r="Y101" t="n">
        <v>19</v>
      </c>
      <c r="Z101" t="n">
        <v>29.79</v>
      </c>
      <c r="AA101" t="n">
        <v>3.03</v>
      </c>
      <c r="AB101" t="n">
        <v>32.82</v>
      </c>
      <c r="AC101" t="n">
        <v>5.91</v>
      </c>
      <c r="AD101" t="n">
        <v>0</v>
      </c>
      <c r="AE101" t="n">
        <v>156.8</v>
      </c>
      <c r="AF101" t="n">
        <v>0</v>
      </c>
      <c r="AG101" t="n">
        <v>0</v>
      </c>
      <c r="AH101" t="n">
        <v>0.16</v>
      </c>
      <c r="AI101" t="n">
        <v>7.85</v>
      </c>
      <c r="AJ101" t="n">
        <v>-0.01</v>
      </c>
      <c r="AK101" t="n">
        <v>13.92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46.74</v>
      </c>
      <c r="AV101" t="n">
        <v>0</v>
      </c>
      <c r="AW101" t="n">
        <v>117.9</v>
      </c>
      <c r="AX101" t="inlineStr">
        <is>
          <t>settled</t>
        </is>
      </c>
      <c r="AY101" t="inlineStr">
        <is>
          <t>2026-01-14 05:30:00</t>
        </is>
      </c>
      <c r="AZ101" t="inlineStr">
        <is>
          <t>CITIN26605478364</t>
        </is>
      </c>
      <c r="BA101" t="n">
        <v>0</v>
      </c>
      <c r="BB101" t="inlineStr">
        <is>
          <t>46d7458e0c74c9164e0c4d5fec11235cc61cc42595a55cb82260210a97e0a372</t>
        </is>
      </c>
    </row>
    <row r="102">
      <c r="A102" t="inlineStr">
        <is>
          <t>97</t>
        </is>
      </c>
      <c r="B102" t="inlineStr">
        <is>
          <t>7663987397</t>
        </is>
      </c>
      <c r="C102" t="inlineStr">
        <is>
          <t>2026-01-07 04:54:45</t>
        </is>
      </c>
      <c r="D102" t="inlineStr">
        <is>
          <t>2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229</v>
      </c>
      <c r="P102" t="n">
        <v>3.5</v>
      </c>
      <c r="Q102" t="n">
        <v>0</v>
      </c>
      <c r="R102" t="n">
        <v>68.7</v>
      </c>
      <c r="S102" t="n">
        <v>0</v>
      </c>
      <c r="T102" t="n">
        <v>0</v>
      </c>
      <c r="U102" t="n">
        <v>0</v>
      </c>
      <c r="V102" t="n">
        <v>8.19</v>
      </c>
      <c r="W102" t="n">
        <v>171.99</v>
      </c>
      <c r="X102" t="n">
        <v>163.8</v>
      </c>
      <c r="Y102" t="n">
        <v>19</v>
      </c>
      <c r="Z102" t="n">
        <v>31.12</v>
      </c>
      <c r="AA102" t="n">
        <v>3.16</v>
      </c>
      <c r="AB102" t="n">
        <v>34.28</v>
      </c>
      <c r="AC102" t="n">
        <v>6.17</v>
      </c>
      <c r="AD102" t="n">
        <v>0</v>
      </c>
      <c r="AE102" t="n">
        <v>163.8</v>
      </c>
      <c r="AF102" t="n">
        <v>0</v>
      </c>
      <c r="AG102" t="n">
        <v>0</v>
      </c>
      <c r="AH102" t="n">
        <v>0.16</v>
      </c>
      <c r="AI102" t="n">
        <v>8.199999999999999</v>
      </c>
      <c r="AJ102" t="n">
        <v>-0.01</v>
      </c>
      <c r="AK102" t="n">
        <v>14.53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48.81</v>
      </c>
      <c r="AV102" t="n">
        <v>0</v>
      </c>
      <c r="AW102" t="n">
        <v>123.18</v>
      </c>
      <c r="AX102" t="inlineStr">
        <is>
          <t>settled</t>
        </is>
      </c>
      <c r="AY102" t="inlineStr">
        <is>
          <t>2026-01-14 05:30:00</t>
        </is>
      </c>
      <c r="AZ102" t="inlineStr">
        <is>
          <t>CITIN26605478364</t>
        </is>
      </c>
      <c r="BA102" t="n">
        <v>0</v>
      </c>
      <c r="BB102" t="inlineStr">
        <is>
          <t>13a40c111ffb5de6ea3845a28a25840a0d144f45533d4c4500f1f08606c08367</t>
        </is>
      </c>
    </row>
    <row r="103">
      <c r="A103" t="inlineStr">
        <is>
          <t>98</t>
        </is>
      </c>
      <c r="B103" t="inlineStr">
        <is>
          <t>7662533522</t>
        </is>
      </c>
      <c r="C103" t="inlineStr">
        <is>
          <t>2026-01-07 04:56:16</t>
        </is>
      </c>
      <c r="D103" t="inlineStr">
        <is>
          <t>2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229</v>
      </c>
      <c r="P103" t="n">
        <v>3.5</v>
      </c>
      <c r="Q103" t="n">
        <v>0</v>
      </c>
      <c r="R103" t="n">
        <v>68.7</v>
      </c>
      <c r="S103" t="n">
        <v>0</v>
      </c>
      <c r="T103" t="n">
        <v>0</v>
      </c>
      <c r="U103" t="n">
        <v>0</v>
      </c>
      <c r="V103" t="n">
        <v>8.19</v>
      </c>
      <c r="W103" t="n">
        <v>171.99</v>
      </c>
      <c r="X103" t="n">
        <v>163.8</v>
      </c>
      <c r="Y103" t="n">
        <v>19</v>
      </c>
      <c r="Z103" t="n">
        <v>31.12</v>
      </c>
      <c r="AA103" t="n">
        <v>3.16</v>
      </c>
      <c r="AB103" t="n">
        <v>34.28</v>
      </c>
      <c r="AC103" t="n">
        <v>6.17</v>
      </c>
      <c r="AD103" t="n">
        <v>0</v>
      </c>
      <c r="AE103" t="n">
        <v>163.8</v>
      </c>
      <c r="AF103" t="n">
        <v>0</v>
      </c>
      <c r="AG103" t="n">
        <v>0</v>
      </c>
      <c r="AH103" t="n">
        <v>0.16</v>
      </c>
      <c r="AI103" t="n">
        <v>8.199999999999999</v>
      </c>
      <c r="AJ103" t="n">
        <v>-0.01</v>
      </c>
      <c r="AK103" t="n">
        <v>14.53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48.81</v>
      </c>
      <c r="AV103" t="n">
        <v>0</v>
      </c>
      <c r="AW103" t="n">
        <v>123.18</v>
      </c>
      <c r="AX103" t="inlineStr">
        <is>
          <t>settled</t>
        </is>
      </c>
      <c r="AY103" t="inlineStr">
        <is>
          <t>2026-01-14 05:30:00</t>
        </is>
      </c>
      <c r="AZ103" t="inlineStr">
        <is>
          <t>CITIN26605478364</t>
        </is>
      </c>
      <c r="BA103" t="n">
        <v>0</v>
      </c>
      <c r="BB103" t="inlineStr">
        <is>
          <t>f858c31248220e0a6f6042d96060232914300b570eb5b8477c703282696dbe3f</t>
        </is>
      </c>
    </row>
    <row r="104">
      <c r="A104" t="inlineStr">
        <is>
          <t>99</t>
        </is>
      </c>
      <c r="B104" t="inlineStr">
        <is>
          <t>7663958790</t>
        </is>
      </c>
      <c r="C104" t="inlineStr">
        <is>
          <t>2026-01-07 11:20:10</t>
        </is>
      </c>
      <c r="D104" t="inlineStr">
        <is>
          <t>2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229</v>
      </c>
      <c r="P104" t="n">
        <v>3.5</v>
      </c>
      <c r="Q104" t="n">
        <v>0</v>
      </c>
      <c r="R104" t="n">
        <v>68.7</v>
      </c>
      <c r="S104" t="n">
        <v>0</v>
      </c>
      <c r="T104" t="n">
        <v>0</v>
      </c>
      <c r="U104" t="n">
        <v>0</v>
      </c>
      <c r="V104" t="n">
        <v>8.19</v>
      </c>
      <c r="W104" t="n">
        <v>171.99</v>
      </c>
      <c r="X104" t="n">
        <v>163.8</v>
      </c>
      <c r="Y104" t="n">
        <v>19</v>
      </c>
      <c r="Z104" t="n">
        <v>31.12</v>
      </c>
      <c r="AA104" t="n">
        <v>3.16</v>
      </c>
      <c r="AB104" t="n">
        <v>34.28</v>
      </c>
      <c r="AC104" t="n">
        <v>6.17</v>
      </c>
      <c r="AD104" t="n">
        <v>0</v>
      </c>
      <c r="AE104" t="n">
        <v>163.8</v>
      </c>
      <c r="AF104" t="n">
        <v>0</v>
      </c>
      <c r="AG104" t="n">
        <v>0</v>
      </c>
      <c r="AH104" t="n">
        <v>0.16</v>
      </c>
      <c r="AI104" t="n">
        <v>8.199999999999999</v>
      </c>
      <c r="AJ104" t="n">
        <v>-0.01</v>
      </c>
      <c r="AK104" t="n">
        <v>14.53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48.81</v>
      </c>
      <c r="AV104" t="n">
        <v>0</v>
      </c>
      <c r="AW104" t="n">
        <v>123.18</v>
      </c>
      <c r="AX104" t="inlineStr">
        <is>
          <t>settled</t>
        </is>
      </c>
      <c r="AY104" t="inlineStr">
        <is>
          <t>2026-01-14 05:30:00</t>
        </is>
      </c>
      <c r="AZ104" t="inlineStr">
        <is>
          <t>CITIN26605478364</t>
        </is>
      </c>
      <c r="BA104" t="n">
        <v>0</v>
      </c>
      <c r="BB104" t="inlineStr">
        <is>
          <t>5092ffa1769e1d3684596f7a83092a826ee217a327c4654681d2531135ce38d0</t>
        </is>
      </c>
    </row>
    <row r="105">
      <c r="A105" t="inlineStr">
        <is>
          <t>100</t>
        </is>
      </c>
      <c r="B105" t="inlineStr">
        <is>
          <t>7663355452</t>
        </is>
      </c>
      <c r="C105" t="inlineStr">
        <is>
          <t>2026-01-07 12:36:27</t>
        </is>
      </c>
      <c r="D105" t="inlineStr">
        <is>
          <t>2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30% off upto ₹75 (2025-06-25 - 2031-01-01)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229</v>
      </c>
      <c r="P105" t="n">
        <v>3.5</v>
      </c>
      <c r="Q105" t="n">
        <v>0</v>
      </c>
      <c r="R105" t="n">
        <v>68.7</v>
      </c>
      <c r="S105" t="n">
        <v>0</v>
      </c>
      <c r="T105" t="n">
        <v>0</v>
      </c>
      <c r="U105" t="n">
        <v>0</v>
      </c>
      <c r="V105" t="n">
        <v>8.19</v>
      </c>
      <c r="W105" t="n">
        <v>171.99</v>
      </c>
      <c r="X105" t="n">
        <v>163.8</v>
      </c>
      <c r="Y105" t="n">
        <v>19</v>
      </c>
      <c r="Z105" t="n">
        <v>31.12</v>
      </c>
      <c r="AA105" t="n">
        <v>3.16</v>
      </c>
      <c r="AB105" t="n">
        <v>34.28</v>
      </c>
      <c r="AC105" t="n">
        <v>6.17</v>
      </c>
      <c r="AD105" t="n">
        <v>0</v>
      </c>
      <c r="AE105" t="n">
        <v>163.8</v>
      </c>
      <c r="AF105" t="n">
        <v>0</v>
      </c>
      <c r="AG105" t="n">
        <v>0</v>
      </c>
      <c r="AH105" t="n">
        <v>0.16</v>
      </c>
      <c r="AI105" t="n">
        <v>8.199999999999999</v>
      </c>
      <c r="AJ105" t="n">
        <v>-0.01</v>
      </c>
      <c r="AK105" t="n">
        <v>14.53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48.81</v>
      </c>
      <c r="AV105" t="n">
        <v>0</v>
      </c>
      <c r="AW105" t="n">
        <v>123.18</v>
      </c>
      <c r="AX105" t="inlineStr">
        <is>
          <t>settled</t>
        </is>
      </c>
      <c r="AY105" t="inlineStr">
        <is>
          <t>2026-01-14 05:30:00</t>
        </is>
      </c>
      <c r="AZ105" t="inlineStr">
        <is>
          <t>CITIN26605478364</t>
        </is>
      </c>
      <c r="BA105" t="n">
        <v>0</v>
      </c>
      <c r="BB105" t="inlineStr">
        <is>
          <t>d1ae8d8443a195f068423e9937c8049ee67391f57cee67d0e913de359de6f69e</t>
        </is>
      </c>
    </row>
    <row r="106">
      <c r="A106" t="inlineStr">
        <is>
          <t>101</t>
        </is>
      </c>
      <c r="B106" t="inlineStr">
        <is>
          <t>7663872495</t>
        </is>
      </c>
      <c r="C106" t="inlineStr">
        <is>
          <t>2026-01-07 13:14:31</t>
        </is>
      </c>
      <c r="D106" t="inlineStr">
        <is>
          <t>2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30% off upto ₹75 (2025-06-25 - 2031-01-01)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219</v>
      </c>
      <c r="P106" t="n">
        <v>3.5</v>
      </c>
      <c r="Q106" t="n">
        <v>0</v>
      </c>
      <c r="R106" t="n">
        <v>65.7</v>
      </c>
      <c r="S106" t="n">
        <v>0</v>
      </c>
      <c r="T106" t="n">
        <v>0</v>
      </c>
      <c r="U106" t="n">
        <v>0</v>
      </c>
      <c r="V106" t="n">
        <v>7.84</v>
      </c>
      <c r="W106" t="n">
        <v>164.64</v>
      </c>
      <c r="X106" t="n">
        <v>156.8</v>
      </c>
      <c r="Y106" t="n">
        <v>19</v>
      </c>
      <c r="Z106" t="n">
        <v>29.79</v>
      </c>
      <c r="AA106" t="n">
        <v>3.03</v>
      </c>
      <c r="AB106" t="n">
        <v>32.82</v>
      </c>
      <c r="AC106" t="n">
        <v>5.91</v>
      </c>
      <c r="AD106" t="n">
        <v>0</v>
      </c>
      <c r="AE106" t="n">
        <v>156.8</v>
      </c>
      <c r="AF106" t="n">
        <v>0</v>
      </c>
      <c r="AG106" t="n">
        <v>0</v>
      </c>
      <c r="AH106" t="n">
        <v>0.16</v>
      </c>
      <c r="AI106" t="n">
        <v>7.85</v>
      </c>
      <c r="AJ106" t="n">
        <v>-0.01</v>
      </c>
      <c r="AK106" t="n">
        <v>13.92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46.74</v>
      </c>
      <c r="AV106" t="n">
        <v>0</v>
      </c>
      <c r="AW106" t="n">
        <v>117.9</v>
      </c>
      <c r="AX106" t="inlineStr">
        <is>
          <t>settled</t>
        </is>
      </c>
      <c r="AY106" t="inlineStr">
        <is>
          <t>2026-01-14 05:30:00</t>
        </is>
      </c>
      <c r="AZ106" t="inlineStr">
        <is>
          <t>CITIN26605478364</t>
        </is>
      </c>
      <c r="BA106" t="n">
        <v>0</v>
      </c>
      <c r="BB106" t="inlineStr">
        <is>
          <t>311e825623b5beca579d31c5e46e797de18f68f23cd7a84816ad72adf37842fd</t>
        </is>
      </c>
    </row>
    <row r="107">
      <c r="A107" t="inlineStr">
        <is>
          <t>102</t>
        </is>
      </c>
      <c r="B107" t="inlineStr">
        <is>
          <t>7656487243</t>
        </is>
      </c>
      <c r="C107" t="inlineStr">
        <is>
          <t>2026-01-07 14:51:17</t>
        </is>
      </c>
      <c r="D107" t="inlineStr">
        <is>
          <t>2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NA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229</v>
      </c>
      <c r="P107" t="n">
        <v>3.5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11.63</v>
      </c>
      <c r="W107" t="n">
        <v>244.13</v>
      </c>
      <c r="X107" t="n">
        <v>232.5</v>
      </c>
      <c r="Y107" t="n">
        <v>19</v>
      </c>
      <c r="Z107" t="n">
        <v>44.18</v>
      </c>
      <c r="AA107" t="n">
        <v>4.49</v>
      </c>
      <c r="AB107" t="n">
        <v>48.67</v>
      </c>
      <c r="AC107" t="n">
        <v>8.76</v>
      </c>
      <c r="AD107" t="n">
        <v>0</v>
      </c>
      <c r="AE107" t="n">
        <v>232.5</v>
      </c>
      <c r="AF107" t="n">
        <v>0</v>
      </c>
      <c r="AG107" t="n">
        <v>0</v>
      </c>
      <c r="AH107" t="n">
        <v>0.23</v>
      </c>
      <c r="AI107" t="n">
        <v>11.63</v>
      </c>
      <c r="AJ107" t="n">
        <v>0</v>
      </c>
      <c r="AK107" t="n">
        <v>20.62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69.29000000000001</v>
      </c>
      <c r="AV107" t="n">
        <v>0</v>
      </c>
      <c r="AW107" t="n">
        <v>174.84</v>
      </c>
      <c r="AX107" t="inlineStr">
        <is>
          <t>settled</t>
        </is>
      </c>
      <c r="AY107" t="inlineStr">
        <is>
          <t>2026-01-14 05:30:00</t>
        </is>
      </c>
      <c r="AZ107" t="inlineStr">
        <is>
          <t>CITIN26605478364</t>
        </is>
      </c>
      <c r="BA107" t="n">
        <v>0</v>
      </c>
      <c r="BB107" t="inlineStr">
        <is>
          <t>6cc0d69dd4d67037457458a6ac3946ac0671c5b963542d886d91f475120d818c</t>
        </is>
      </c>
    </row>
    <row r="108">
      <c r="A108" t="inlineStr">
        <is>
          <t>103</t>
        </is>
      </c>
      <c r="B108" t="inlineStr">
        <is>
          <t>7665249027</t>
        </is>
      </c>
      <c r="C108" t="inlineStr">
        <is>
          <t>2026-01-07 15:39:22</t>
        </is>
      </c>
      <c r="D108" t="inlineStr">
        <is>
          <t>2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229</v>
      </c>
      <c r="P108" t="n">
        <v>3.5</v>
      </c>
      <c r="Q108" t="n">
        <v>0</v>
      </c>
      <c r="R108" t="n">
        <v>68.7</v>
      </c>
      <c r="S108" t="n">
        <v>0</v>
      </c>
      <c r="T108" t="n">
        <v>0</v>
      </c>
      <c r="U108" t="n">
        <v>0</v>
      </c>
      <c r="V108" t="n">
        <v>8.19</v>
      </c>
      <c r="W108" t="n">
        <v>171.99</v>
      </c>
      <c r="X108" t="n">
        <v>163.8</v>
      </c>
      <c r="Y108" t="n">
        <v>19</v>
      </c>
      <c r="Z108" t="n">
        <v>31.12</v>
      </c>
      <c r="AA108" t="n">
        <v>3.16</v>
      </c>
      <c r="AB108" t="n">
        <v>34.28</v>
      </c>
      <c r="AC108" t="n">
        <v>6.17</v>
      </c>
      <c r="AD108" t="n">
        <v>0</v>
      </c>
      <c r="AE108" t="n">
        <v>163.8</v>
      </c>
      <c r="AF108" t="n">
        <v>0</v>
      </c>
      <c r="AG108" t="n">
        <v>0</v>
      </c>
      <c r="AH108" t="n">
        <v>0.16</v>
      </c>
      <c r="AI108" t="n">
        <v>8.199999999999999</v>
      </c>
      <c r="AJ108" t="n">
        <v>-0.01</v>
      </c>
      <c r="AK108" t="n">
        <v>14.53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48.81</v>
      </c>
      <c r="AV108" t="n">
        <v>0</v>
      </c>
      <c r="AW108" t="n">
        <v>123.18</v>
      </c>
      <c r="AX108" t="inlineStr">
        <is>
          <t>settled</t>
        </is>
      </c>
      <c r="AY108" t="inlineStr">
        <is>
          <t>2026-01-14 05:30:00</t>
        </is>
      </c>
      <c r="AZ108" t="inlineStr">
        <is>
          <t>CITIN26605478364</t>
        </is>
      </c>
      <c r="BA108" t="n">
        <v>0</v>
      </c>
      <c r="BB108" t="inlineStr">
        <is>
          <t>3615bbab2ece159dec95f89aab443c45ec95dbd6cfa4d96f9cce32e8a91ecb4c</t>
        </is>
      </c>
    </row>
    <row r="109">
      <c r="A109" t="inlineStr">
        <is>
          <t>104</t>
        </is>
      </c>
      <c r="B109" t="inlineStr">
        <is>
          <t>7663021230</t>
        </is>
      </c>
      <c r="C109" t="inlineStr">
        <is>
          <t>2026-01-07 15:42:00</t>
        </is>
      </c>
      <c r="D109" t="inlineStr">
        <is>
          <t>2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229</v>
      </c>
      <c r="P109" t="n">
        <v>3.5</v>
      </c>
      <c r="Q109" t="n">
        <v>0</v>
      </c>
      <c r="R109" t="n">
        <v>68.7</v>
      </c>
      <c r="S109" t="n">
        <v>0</v>
      </c>
      <c r="T109" t="n">
        <v>0</v>
      </c>
      <c r="U109" t="n">
        <v>0</v>
      </c>
      <c r="V109" t="n">
        <v>8.19</v>
      </c>
      <c r="W109" t="n">
        <v>171.99</v>
      </c>
      <c r="X109" t="n">
        <v>163.8</v>
      </c>
      <c r="Y109" t="n">
        <v>19</v>
      </c>
      <c r="Z109" t="n">
        <v>31.12</v>
      </c>
      <c r="AA109" t="n">
        <v>3.16</v>
      </c>
      <c r="AB109" t="n">
        <v>34.28</v>
      </c>
      <c r="AC109" t="n">
        <v>6.17</v>
      </c>
      <c r="AD109" t="n">
        <v>0</v>
      </c>
      <c r="AE109" t="n">
        <v>163.8</v>
      </c>
      <c r="AF109" t="n">
        <v>0</v>
      </c>
      <c r="AG109" t="n">
        <v>0</v>
      </c>
      <c r="AH109" t="n">
        <v>0.16</v>
      </c>
      <c r="AI109" t="n">
        <v>8.199999999999999</v>
      </c>
      <c r="AJ109" t="n">
        <v>-0.01</v>
      </c>
      <c r="AK109" t="n">
        <v>14.53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48.81</v>
      </c>
      <c r="AV109" t="n">
        <v>0</v>
      </c>
      <c r="AW109" t="n">
        <v>123.18</v>
      </c>
      <c r="AX109" t="inlineStr">
        <is>
          <t>settled</t>
        </is>
      </c>
      <c r="AY109" t="inlineStr">
        <is>
          <t>2026-01-14 05:30:00</t>
        </is>
      </c>
      <c r="AZ109" t="inlineStr">
        <is>
          <t>CITIN26605478364</t>
        </is>
      </c>
      <c r="BA109" t="n">
        <v>0</v>
      </c>
      <c r="BB109" t="inlineStr">
        <is>
          <t>fed532ca9417115e29b57a432721495ab673f4de2a48b1e09be9e37a0db1fa7b</t>
        </is>
      </c>
    </row>
    <row r="110">
      <c r="A110" t="inlineStr">
        <is>
          <t>105</t>
        </is>
      </c>
      <c r="B110" t="inlineStr">
        <is>
          <t>7657900252</t>
        </is>
      </c>
      <c r="C110" t="inlineStr">
        <is>
          <t>2026-01-07 15:43:05</t>
        </is>
      </c>
      <c r="D110" t="inlineStr">
        <is>
          <t>2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219</v>
      </c>
      <c r="P110" t="n">
        <v>3.5</v>
      </c>
      <c r="Q110" t="n">
        <v>0</v>
      </c>
      <c r="R110" t="n">
        <v>65.7</v>
      </c>
      <c r="S110" t="n">
        <v>0</v>
      </c>
      <c r="T110" t="n">
        <v>0</v>
      </c>
      <c r="U110" t="n">
        <v>0</v>
      </c>
      <c r="V110" t="n">
        <v>7.84</v>
      </c>
      <c r="W110" t="n">
        <v>164.64</v>
      </c>
      <c r="X110" t="n">
        <v>156.8</v>
      </c>
      <c r="Y110" t="n">
        <v>19</v>
      </c>
      <c r="Z110" t="n">
        <v>29.79</v>
      </c>
      <c r="AA110" t="n">
        <v>3.03</v>
      </c>
      <c r="AB110" t="n">
        <v>32.82</v>
      </c>
      <c r="AC110" t="n">
        <v>5.91</v>
      </c>
      <c r="AD110" t="n">
        <v>0</v>
      </c>
      <c r="AE110" t="n">
        <v>156.8</v>
      </c>
      <c r="AF110" t="n">
        <v>0</v>
      </c>
      <c r="AG110" t="n">
        <v>0</v>
      </c>
      <c r="AH110" t="n">
        <v>0.16</v>
      </c>
      <c r="AI110" t="n">
        <v>7.85</v>
      </c>
      <c r="AJ110" t="n">
        <v>-0.01</v>
      </c>
      <c r="AK110" t="n">
        <v>13.92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46.74</v>
      </c>
      <c r="AV110" t="n">
        <v>0</v>
      </c>
      <c r="AW110" t="n">
        <v>117.9</v>
      </c>
      <c r="AX110" t="inlineStr">
        <is>
          <t>settled</t>
        </is>
      </c>
      <c r="AY110" t="inlineStr">
        <is>
          <t>2026-01-14 05:30:00</t>
        </is>
      </c>
      <c r="AZ110" t="inlineStr">
        <is>
          <t>CITIN26605478364</t>
        </is>
      </c>
      <c r="BA110" t="n">
        <v>0</v>
      </c>
      <c r="BB110" t="inlineStr">
        <is>
          <t>5beb405b8babe884f1753eda814f501d09db9b7c522a4dd360caae98c4a4ea9d</t>
        </is>
      </c>
    </row>
    <row r="111">
      <c r="A111" t="inlineStr">
        <is>
          <t>106</t>
        </is>
      </c>
      <c r="B111" t="inlineStr">
        <is>
          <t>7665693170</t>
        </is>
      </c>
      <c r="C111" t="inlineStr">
        <is>
          <t>2026-01-07 17:19:54</t>
        </is>
      </c>
      <c r="D111" t="inlineStr">
        <is>
          <t>2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NA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11.63</v>
      </c>
      <c r="W111" t="n">
        <v>244.13</v>
      </c>
      <c r="X111" t="n">
        <v>232.5</v>
      </c>
      <c r="Y111" t="n">
        <v>19</v>
      </c>
      <c r="Z111" t="n">
        <v>44.18</v>
      </c>
      <c r="AA111" t="n">
        <v>4.49</v>
      </c>
      <c r="AB111" t="n">
        <v>48.67</v>
      </c>
      <c r="AC111" t="n">
        <v>8.76</v>
      </c>
      <c r="AD111" t="n">
        <v>0</v>
      </c>
      <c r="AE111" t="n">
        <v>232.5</v>
      </c>
      <c r="AF111" t="n">
        <v>0</v>
      </c>
      <c r="AG111" t="n">
        <v>0</v>
      </c>
      <c r="AH111" t="n">
        <v>0.23</v>
      </c>
      <c r="AI111" t="n">
        <v>11.63</v>
      </c>
      <c r="AJ111" t="n">
        <v>0</v>
      </c>
      <c r="AK111" t="n">
        <v>20.62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69.29000000000001</v>
      </c>
      <c r="AV111" t="n">
        <v>0</v>
      </c>
      <c r="AW111" t="n">
        <v>174.84</v>
      </c>
      <c r="AX111" t="inlineStr">
        <is>
          <t>settled</t>
        </is>
      </c>
      <c r="AY111" t="inlineStr">
        <is>
          <t>2026-01-14 05:30:00</t>
        </is>
      </c>
      <c r="AZ111" t="inlineStr">
        <is>
          <t>CITIN26605478364</t>
        </is>
      </c>
      <c r="BA111" t="n">
        <v>0</v>
      </c>
      <c r="BB111" t="inlineStr">
        <is>
          <t>477da8ad03704c04c5694133c80831da8d16703aca8f01397f9af78faa2c3d2c</t>
        </is>
      </c>
    </row>
    <row r="112">
      <c r="A112" t="inlineStr">
        <is>
          <t>107</t>
        </is>
      </c>
      <c r="B112" t="inlineStr">
        <is>
          <t>7652959614</t>
        </is>
      </c>
      <c r="C112" t="inlineStr">
        <is>
          <t>2026-01-07 17:21:34</t>
        </is>
      </c>
      <c r="D112" t="inlineStr">
        <is>
          <t>2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219</v>
      </c>
      <c r="P112" t="n">
        <v>3.5</v>
      </c>
      <c r="Q112" t="n">
        <v>0</v>
      </c>
      <c r="R112" t="n">
        <v>65.7</v>
      </c>
      <c r="S112" t="n">
        <v>0</v>
      </c>
      <c r="T112" t="n">
        <v>0</v>
      </c>
      <c r="U112" t="n">
        <v>0</v>
      </c>
      <c r="V112" t="n">
        <v>7.84</v>
      </c>
      <c r="W112" t="n">
        <v>164.64</v>
      </c>
      <c r="X112" t="n">
        <v>156.8</v>
      </c>
      <c r="Y112" t="n">
        <v>19</v>
      </c>
      <c r="Z112" t="n">
        <v>29.79</v>
      </c>
      <c r="AA112" t="n">
        <v>3.03</v>
      </c>
      <c r="AB112" t="n">
        <v>32.82</v>
      </c>
      <c r="AC112" t="n">
        <v>5.91</v>
      </c>
      <c r="AD112" t="n">
        <v>0</v>
      </c>
      <c r="AE112" t="n">
        <v>156.8</v>
      </c>
      <c r="AF112" t="n">
        <v>0</v>
      </c>
      <c r="AG112" t="n">
        <v>0</v>
      </c>
      <c r="AH112" t="n">
        <v>0.16</v>
      </c>
      <c r="AI112" t="n">
        <v>7.85</v>
      </c>
      <c r="AJ112" t="n">
        <v>-0.01</v>
      </c>
      <c r="AK112" t="n">
        <v>13.92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46.74</v>
      </c>
      <c r="AV112" t="n">
        <v>0</v>
      </c>
      <c r="AW112" t="n">
        <v>117.9</v>
      </c>
      <c r="AX112" t="inlineStr">
        <is>
          <t>settled</t>
        </is>
      </c>
      <c r="AY112" t="inlineStr">
        <is>
          <t>2026-01-14 05:30:00</t>
        </is>
      </c>
      <c r="AZ112" t="inlineStr">
        <is>
          <t>CITIN26605478364</t>
        </is>
      </c>
      <c r="BA112" t="n">
        <v>0</v>
      </c>
      <c r="BB112" t="inlineStr">
        <is>
          <t>185cbfdb59e6f39207e7e37bcf84de6ee7f820b378e5e9a0aa67fd000cc1960e</t>
        </is>
      </c>
    </row>
    <row r="113">
      <c r="A113" t="inlineStr">
        <is>
          <t>108</t>
        </is>
      </c>
      <c r="B113" t="inlineStr">
        <is>
          <t>7660137781</t>
        </is>
      </c>
      <c r="C113" t="inlineStr">
        <is>
          <t>2026-01-07 17:29:24</t>
        </is>
      </c>
      <c r="D113" t="inlineStr">
        <is>
          <t>2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30% off upto ₹75 (2025-06-25 - 2031-01-01)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229</v>
      </c>
      <c r="P113" t="n">
        <v>3.5</v>
      </c>
      <c r="Q113" t="n">
        <v>0</v>
      </c>
      <c r="R113" t="n">
        <v>68.7</v>
      </c>
      <c r="S113" t="n">
        <v>0</v>
      </c>
      <c r="T113" t="n">
        <v>0</v>
      </c>
      <c r="U113" t="n">
        <v>0</v>
      </c>
      <c r="V113" t="n">
        <v>8.19</v>
      </c>
      <c r="W113" t="n">
        <v>171.99</v>
      </c>
      <c r="X113" t="n">
        <v>163.8</v>
      </c>
      <c r="Y113" t="n">
        <v>19</v>
      </c>
      <c r="Z113" t="n">
        <v>31.12</v>
      </c>
      <c r="AA113" t="n">
        <v>3.16</v>
      </c>
      <c r="AB113" t="n">
        <v>34.28</v>
      </c>
      <c r="AC113" t="n">
        <v>6.17</v>
      </c>
      <c r="AD113" t="n">
        <v>0</v>
      </c>
      <c r="AE113" t="n">
        <v>163.8</v>
      </c>
      <c r="AF113" t="n">
        <v>0</v>
      </c>
      <c r="AG113" t="n">
        <v>0</v>
      </c>
      <c r="AH113" t="n">
        <v>0.16</v>
      </c>
      <c r="AI113" t="n">
        <v>8.199999999999999</v>
      </c>
      <c r="AJ113" t="n">
        <v>-0.01</v>
      </c>
      <c r="AK113" t="n">
        <v>14.53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48.81</v>
      </c>
      <c r="AV113" t="n">
        <v>0</v>
      </c>
      <c r="AW113" t="n">
        <v>123.18</v>
      </c>
      <c r="AX113" t="inlineStr">
        <is>
          <t>settled</t>
        </is>
      </c>
      <c r="AY113" t="inlineStr">
        <is>
          <t>2026-01-14 05:30:00</t>
        </is>
      </c>
      <c r="AZ113" t="inlineStr">
        <is>
          <t>CITIN26605478364</t>
        </is>
      </c>
      <c r="BA113" t="n">
        <v>0</v>
      </c>
      <c r="BB113" t="inlineStr">
        <is>
          <t>66f9109d451f65658e47602abb95b90ba77893174f1b3489a1f354247a5965e1</t>
        </is>
      </c>
    </row>
    <row r="114">
      <c r="A114" t="inlineStr">
        <is>
          <t>109</t>
        </is>
      </c>
      <c r="B114" t="inlineStr">
        <is>
          <t>7663748940</t>
        </is>
      </c>
      <c r="C114" t="inlineStr">
        <is>
          <t>2026-01-07 18:25:17</t>
        </is>
      </c>
      <c r="D114" t="inlineStr">
        <is>
          <t>2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30% off upto ₹75 (2025-06-25 - 2031-01-01)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219</v>
      </c>
      <c r="P114" t="n">
        <v>3.5</v>
      </c>
      <c r="Q114" t="n">
        <v>0</v>
      </c>
      <c r="R114" t="n">
        <v>65.7</v>
      </c>
      <c r="S114" t="n">
        <v>0</v>
      </c>
      <c r="T114" t="n">
        <v>0</v>
      </c>
      <c r="U114" t="n">
        <v>0</v>
      </c>
      <c r="V114" t="n">
        <v>7.84</v>
      </c>
      <c r="W114" t="n">
        <v>164.64</v>
      </c>
      <c r="X114" t="n">
        <v>156.8</v>
      </c>
      <c r="Y114" t="n">
        <v>19</v>
      </c>
      <c r="Z114" t="n">
        <v>29.79</v>
      </c>
      <c r="AA114" t="n">
        <v>3.03</v>
      </c>
      <c r="AB114" t="n">
        <v>32.82</v>
      </c>
      <c r="AC114" t="n">
        <v>5.91</v>
      </c>
      <c r="AD114" t="n">
        <v>0</v>
      </c>
      <c r="AE114" t="n">
        <v>156.8</v>
      </c>
      <c r="AF114" t="n">
        <v>0</v>
      </c>
      <c r="AG114" t="n">
        <v>0</v>
      </c>
      <c r="AH114" t="n">
        <v>0.16</v>
      </c>
      <c r="AI114" t="n">
        <v>7.85</v>
      </c>
      <c r="AJ114" t="n">
        <v>-0.01</v>
      </c>
      <c r="AK114" t="n">
        <v>13.92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46.74</v>
      </c>
      <c r="AV114" t="n">
        <v>0</v>
      </c>
      <c r="AW114" t="n">
        <v>117.9</v>
      </c>
      <c r="AX114" t="inlineStr">
        <is>
          <t>settled</t>
        </is>
      </c>
      <c r="AY114" t="inlineStr">
        <is>
          <t>2026-01-14 05:30:00</t>
        </is>
      </c>
      <c r="AZ114" t="inlineStr">
        <is>
          <t>CITIN26605478364</t>
        </is>
      </c>
      <c r="BA114" t="n">
        <v>0</v>
      </c>
      <c r="BB114" t="inlineStr">
        <is>
          <t>133169e6519ffbe5057070dd1bed624075d3385bb73d2267397a7321f78b5a54</t>
        </is>
      </c>
    </row>
    <row r="115">
      <c r="A115" t="inlineStr">
        <is>
          <t>110</t>
        </is>
      </c>
      <c r="B115" t="inlineStr">
        <is>
          <t>7661800436</t>
        </is>
      </c>
      <c r="C115" t="inlineStr">
        <is>
          <t>2026-01-07 19:12:29</t>
        </is>
      </c>
      <c r="D115" t="inlineStr">
        <is>
          <t>2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438</v>
      </c>
      <c r="P115" t="n">
        <v>3.5</v>
      </c>
      <c r="Q115" t="n">
        <v>0</v>
      </c>
      <c r="R115" t="n">
        <v>75</v>
      </c>
      <c r="S115" t="n">
        <v>0</v>
      </c>
      <c r="T115" t="n">
        <v>0</v>
      </c>
      <c r="U115" t="n">
        <v>0</v>
      </c>
      <c r="V115" t="n">
        <v>18.33</v>
      </c>
      <c r="W115" t="n">
        <v>384.83</v>
      </c>
      <c r="X115" t="n">
        <v>366.5</v>
      </c>
      <c r="Y115" t="n">
        <v>19</v>
      </c>
      <c r="Z115" t="n">
        <v>69.64</v>
      </c>
      <c r="AA115" t="n">
        <v>7.08</v>
      </c>
      <c r="AB115" t="n">
        <v>76.72</v>
      </c>
      <c r="AC115" t="n">
        <v>13.81</v>
      </c>
      <c r="AD115" t="n">
        <v>0</v>
      </c>
      <c r="AE115" t="n">
        <v>366.5</v>
      </c>
      <c r="AF115" t="n">
        <v>0</v>
      </c>
      <c r="AG115" t="n">
        <v>0</v>
      </c>
      <c r="AH115" t="n">
        <v>0.37</v>
      </c>
      <c r="AI115" t="n">
        <v>18.33</v>
      </c>
      <c r="AJ115" t="n">
        <v>0</v>
      </c>
      <c r="AK115" t="n">
        <v>32.51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109.23</v>
      </c>
      <c r="AV115" t="n">
        <v>0</v>
      </c>
      <c r="AW115" t="n">
        <v>275.6</v>
      </c>
      <c r="AX115" t="inlineStr">
        <is>
          <t>settled</t>
        </is>
      </c>
      <c r="AY115" t="inlineStr">
        <is>
          <t>2026-01-14 05:30:00</t>
        </is>
      </c>
      <c r="AZ115" t="inlineStr">
        <is>
          <t>CITIN26605478364</t>
        </is>
      </c>
      <c r="BA115" t="n">
        <v>0</v>
      </c>
      <c r="BB115" t="inlineStr">
        <is>
          <t>dd220e47b7286523ef3cbc8d821f92d6e4b83808f5c25bf98cb0bc643ac88909</t>
        </is>
      </c>
    </row>
    <row r="116">
      <c r="A116" t="inlineStr">
        <is>
          <t>111</t>
        </is>
      </c>
      <c r="B116" t="inlineStr">
        <is>
          <t>7660367052</t>
        </is>
      </c>
      <c r="C116" t="inlineStr">
        <is>
          <t>2026-01-07 19:45:18</t>
        </is>
      </c>
      <c r="D116" t="inlineStr">
        <is>
          <t>2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229</v>
      </c>
      <c r="P116" t="n">
        <v>3.5</v>
      </c>
      <c r="Q116" t="n">
        <v>0</v>
      </c>
      <c r="R116" t="n">
        <v>68.7</v>
      </c>
      <c r="S116" t="n">
        <v>0</v>
      </c>
      <c r="T116" t="n">
        <v>0</v>
      </c>
      <c r="U116" t="n">
        <v>0</v>
      </c>
      <c r="V116" t="n">
        <v>8.19</v>
      </c>
      <c r="W116" t="n">
        <v>171.99</v>
      </c>
      <c r="X116" t="n">
        <v>163.8</v>
      </c>
      <c r="Y116" t="n">
        <v>19</v>
      </c>
      <c r="Z116" t="n">
        <v>31.12</v>
      </c>
      <c r="AA116" t="n">
        <v>3.16</v>
      </c>
      <c r="AB116" t="n">
        <v>34.28</v>
      </c>
      <c r="AC116" t="n">
        <v>6.17</v>
      </c>
      <c r="AD116" t="n">
        <v>0</v>
      </c>
      <c r="AE116" t="n">
        <v>163.8</v>
      </c>
      <c r="AF116" t="n">
        <v>0</v>
      </c>
      <c r="AG116" t="n">
        <v>0</v>
      </c>
      <c r="AH116" t="n">
        <v>0.16</v>
      </c>
      <c r="AI116" t="n">
        <v>8.199999999999999</v>
      </c>
      <c r="AJ116" t="n">
        <v>-0.01</v>
      </c>
      <c r="AK116" t="n">
        <v>14.53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48.81</v>
      </c>
      <c r="AV116" t="n">
        <v>0</v>
      </c>
      <c r="AW116" t="n">
        <v>123.18</v>
      </c>
      <c r="AX116" t="inlineStr">
        <is>
          <t>settled</t>
        </is>
      </c>
      <c r="AY116" t="inlineStr">
        <is>
          <t>2026-01-14 05:30:00</t>
        </is>
      </c>
      <c r="AZ116" t="inlineStr">
        <is>
          <t>CITIN26605478364</t>
        </is>
      </c>
      <c r="BA116" t="n">
        <v>0</v>
      </c>
      <c r="BB116" t="inlineStr">
        <is>
          <t>06fc6a216c498c812f60c4897d3c7ca56c5b54764a2b027681e519fa4ead0ddd</t>
        </is>
      </c>
    </row>
    <row r="117">
      <c r="A117" t="inlineStr">
        <is>
          <t>112</t>
        </is>
      </c>
      <c r="B117" t="inlineStr">
        <is>
          <t>7662858901</t>
        </is>
      </c>
      <c r="C117" t="inlineStr">
        <is>
          <t>2026-01-07 20:08:10</t>
        </is>
      </c>
      <c r="D117" t="inlineStr">
        <is>
          <t>2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NA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229</v>
      </c>
      <c r="P117" t="n">
        <v>3.5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11.63</v>
      </c>
      <c r="W117" t="n">
        <v>244.13</v>
      </c>
      <c r="X117" t="n">
        <v>232.5</v>
      </c>
      <c r="Y117" t="n">
        <v>19</v>
      </c>
      <c r="Z117" t="n">
        <v>44.18</v>
      </c>
      <c r="AA117" t="n">
        <v>4.49</v>
      </c>
      <c r="AB117" t="n">
        <v>48.67</v>
      </c>
      <c r="AC117" t="n">
        <v>8.76</v>
      </c>
      <c r="AD117" t="n">
        <v>0</v>
      </c>
      <c r="AE117" t="n">
        <v>232.5</v>
      </c>
      <c r="AF117" t="n">
        <v>0</v>
      </c>
      <c r="AG117" t="n">
        <v>0</v>
      </c>
      <c r="AH117" t="n">
        <v>0.23</v>
      </c>
      <c r="AI117" t="n">
        <v>11.63</v>
      </c>
      <c r="AJ117" t="n">
        <v>0</v>
      </c>
      <c r="AK117" t="n">
        <v>20.62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69.29000000000001</v>
      </c>
      <c r="AV117" t="n">
        <v>0</v>
      </c>
      <c r="AW117" t="n">
        <v>174.84</v>
      </c>
      <c r="AX117" t="inlineStr">
        <is>
          <t>settled</t>
        </is>
      </c>
      <c r="AY117" t="inlineStr">
        <is>
          <t>2026-01-14 05:30:00</t>
        </is>
      </c>
      <c r="AZ117" t="inlineStr">
        <is>
          <t>CITIN26605478364</t>
        </is>
      </c>
      <c r="BA117" t="n">
        <v>0</v>
      </c>
      <c r="BB117" t="inlineStr">
        <is>
          <t>67bbaeef55cc02dfa1b620caff1109e15a7b37e0340e44935b0fd02d3534f7e9</t>
        </is>
      </c>
    </row>
    <row r="118">
      <c r="A118" t="inlineStr">
        <is>
          <t>113</t>
        </is>
      </c>
      <c r="B118" t="inlineStr">
        <is>
          <t>7661679335</t>
        </is>
      </c>
      <c r="C118" t="inlineStr">
        <is>
          <t>2026-01-07 20:34:54</t>
        </is>
      </c>
      <c r="D118" t="inlineStr">
        <is>
          <t>2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229</v>
      </c>
      <c r="P118" t="n">
        <v>3.5</v>
      </c>
      <c r="Q118" t="n">
        <v>0</v>
      </c>
      <c r="R118" t="n">
        <v>68.7</v>
      </c>
      <c r="S118" t="n">
        <v>0</v>
      </c>
      <c r="T118" t="n">
        <v>0</v>
      </c>
      <c r="U118" t="n">
        <v>0</v>
      </c>
      <c r="V118" t="n">
        <v>8.19</v>
      </c>
      <c r="W118" t="n">
        <v>171.99</v>
      </c>
      <c r="X118" t="n">
        <v>163.8</v>
      </c>
      <c r="Y118" t="n">
        <v>19</v>
      </c>
      <c r="Z118" t="n">
        <v>31.12</v>
      </c>
      <c r="AA118" t="n">
        <v>3.16</v>
      </c>
      <c r="AB118" t="n">
        <v>34.28</v>
      </c>
      <c r="AC118" t="n">
        <v>6.17</v>
      </c>
      <c r="AD118" t="n">
        <v>0</v>
      </c>
      <c r="AE118" t="n">
        <v>163.8</v>
      </c>
      <c r="AF118" t="n">
        <v>0</v>
      </c>
      <c r="AG118" t="n">
        <v>0</v>
      </c>
      <c r="AH118" t="n">
        <v>0.16</v>
      </c>
      <c r="AI118" t="n">
        <v>8.199999999999999</v>
      </c>
      <c r="AJ118" t="n">
        <v>-0.01</v>
      </c>
      <c r="AK118" t="n">
        <v>14.53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48.81</v>
      </c>
      <c r="AV118" t="n">
        <v>0</v>
      </c>
      <c r="AW118" t="n">
        <v>123.18</v>
      </c>
      <c r="AX118" t="inlineStr">
        <is>
          <t>settled</t>
        </is>
      </c>
      <c r="AY118" t="inlineStr">
        <is>
          <t>2026-01-14 05:30:00</t>
        </is>
      </c>
      <c r="AZ118" t="inlineStr">
        <is>
          <t>CITIN26605478364</t>
        </is>
      </c>
      <c r="BA118" t="n">
        <v>0</v>
      </c>
      <c r="BB118" t="inlineStr">
        <is>
          <t>7b45f8b51c19b2e3513dd15bcf06b019e7fb7b8f22a58c3ad6d690f97f72766a</t>
        </is>
      </c>
    </row>
    <row r="119">
      <c r="A119" t="inlineStr">
        <is>
          <t>114</t>
        </is>
      </c>
      <c r="B119" t="inlineStr">
        <is>
          <t>7662405512</t>
        </is>
      </c>
      <c r="C119" t="inlineStr">
        <is>
          <t>2026-01-07 21:00:57</t>
        </is>
      </c>
      <c r="D119" t="inlineStr">
        <is>
          <t>2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229</v>
      </c>
      <c r="P119" t="n">
        <v>3.5</v>
      </c>
      <c r="Q119" t="n">
        <v>0</v>
      </c>
      <c r="R119" t="n">
        <v>68.7</v>
      </c>
      <c r="S119" t="n">
        <v>0</v>
      </c>
      <c r="T119" t="n">
        <v>0</v>
      </c>
      <c r="U119" t="n">
        <v>0</v>
      </c>
      <c r="V119" t="n">
        <v>8.19</v>
      </c>
      <c r="W119" t="n">
        <v>171.99</v>
      </c>
      <c r="X119" t="n">
        <v>163.8</v>
      </c>
      <c r="Y119" t="n">
        <v>19</v>
      </c>
      <c r="Z119" t="n">
        <v>31.12</v>
      </c>
      <c r="AA119" t="n">
        <v>3.16</v>
      </c>
      <c r="AB119" t="n">
        <v>34.28</v>
      </c>
      <c r="AC119" t="n">
        <v>6.17</v>
      </c>
      <c r="AD119" t="n">
        <v>0</v>
      </c>
      <c r="AE119" t="n">
        <v>163.8</v>
      </c>
      <c r="AF119" t="n">
        <v>0</v>
      </c>
      <c r="AG119" t="n">
        <v>0</v>
      </c>
      <c r="AH119" t="n">
        <v>0.16</v>
      </c>
      <c r="AI119" t="n">
        <v>8.199999999999999</v>
      </c>
      <c r="AJ119" t="n">
        <v>-0.01</v>
      </c>
      <c r="AK119" t="n">
        <v>14.53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48.81</v>
      </c>
      <c r="AV119" t="n">
        <v>0</v>
      </c>
      <c r="AW119" t="n">
        <v>123.18</v>
      </c>
      <c r="AX119" t="inlineStr">
        <is>
          <t>settled</t>
        </is>
      </c>
      <c r="AY119" t="inlineStr">
        <is>
          <t>2026-01-14 05:30:00</t>
        </is>
      </c>
      <c r="AZ119" t="inlineStr">
        <is>
          <t>CITIN26605478364</t>
        </is>
      </c>
      <c r="BA119" t="n">
        <v>0</v>
      </c>
      <c r="BB119" t="inlineStr">
        <is>
          <t>7772605777d4ffb604dc8b54c85436b1123d5a00d7304a4507c3289bd0b3e8b2</t>
        </is>
      </c>
    </row>
    <row r="120">
      <c r="A120" t="inlineStr">
        <is>
          <t>115</t>
        </is>
      </c>
      <c r="B120" t="inlineStr">
        <is>
          <t>7658774995</t>
        </is>
      </c>
      <c r="C120" t="inlineStr">
        <is>
          <t>2026-01-07 21:09:18</t>
        </is>
      </c>
      <c r="D120" t="inlineStr">
        <is>
          <t>2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30% off upto ₹75 (2025-06-25 - 2031-01-01)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407</v>
      </c>
      <c r="P120" t="n">
        <v>3.5</v>
      </c>
      <c r="Q120" t="n">
        <v>0</v>
      </c>
      <c r="R120" t="n">
        <v>75</v>
      </c>
      <c r="S120" t="n">
        <v>0</v>
      </c>
      <c r="T120" t="n">
        <v>0</v>
      </c>
      <c r="U120" t="n">
        <v>0</v>
      </c>
      <c r="V120" t="n">
        <v>16.78</v>
      </c>
      <c r="W120" t="n">
        <v>352.28</v>
      </c>
      <c r="X120" t="n">
        <v>335.5</v>
      </c>
      <c r="Y120" t="n">
        <v>19</v>
      </c>
      <c r="Z120" t="n">
        <v>63.74</v>
      </c>
      <c r="AA120" t="n">
        <v>6.48</v>
      </c>
      <c r="AB120" t="n">
        <v>70.22</v>
      </c>
      <c r="AC120" t="n">
        <v>12.64</v>
      </c>
      <c r="AD120" t="n">
        <v>0</v>
      </c>
      <c r="AE120" t="n">
        <v>335.5</v>
      </c>
      <c r="AF120" t="n">
        <v>0</v>
      </c>
      <c r="AG120" t="n">
        <v>0</v>
      </c>
      <c r="AH120" t="n">
        <v>0.34</v>
      </c>
      <c r="AI120" t="n">
        <v>16.78</v>
      </c>
      <c r="AJ120" t="n">
        <v>0</v>
      </c>
      <c r="AK120" t="n">
        <v>29.76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99.98</v>
      </c>
      <c r="AV120" t="n">
        <v>0</v>
      </c>
      <c r="AW120" t="n">
        <v>252.3</v>
      </c>
      <c r="AX120" t="inlineStr">
        <is>
          <t>settled</t>
        </is>
      </c>
      <c r="AY120" t="inlineStr">
        <is>
          <t>2026-01-14 05:30:00</t>
        </is>
      </c>
      <c r="AZ120" t="inlineStr">
        <is>
          <t>CITIN26605478364</t>
        </is>
      </c>
      <c r="BA120" t="n">
        <v>0</v>
      </c>
      <c r="BB120" t="inlineStr">
        <is>
          <t>d7eb2e8fb2c5033d2655cace2ebe546671a2a1d675bf04465fda34e5c6669aa8</t>
        </is>
      </c>
    </row>
    <row r="121">
      <c r="A121" t="inlineStr">
        <is>
          <t>116</t>
        </is>
      </c>
      <c r="B121" t="inlineStr">
        <is>
          <t>7660852006</t>
        </is>
      </c>
      <c r="C121" t="inlineStr">
        <is>
          <t>2026-01-07 21:41:18</t>
        </is>
      </c>
      <c r="D121" t="inlineStr">
        <is>
          <t>2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NA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229</v>
      </c>
      <c r="P121" t="n">
        <v>3.5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11.63</v>
      </c>
      <c r="W121" t="n">
        <v>244.13</v>
      </c>
      <c r="X121" t="n">
        <v>232.5</v>
      </c>
      <c r="Y121" t="n">
        <v>19</v>
      </c>
      <c r="Z121" t="n">
        <v>44.18</v>
      </c>
      <c r="AA121" t="n">
        <v>4.49</v>
      </c>
      <c r="AB121" t="n">
        <v>48.67</v>
      </c>
      <c r="AC121" t="n">
        <v>8.76</v>
      </c>
      <c r="AD121" t="n">
        <v>0</v>
      </c>
      <c r="AE121" t="n">
        <v>232.5</v>
      </c>
      <c r="AF121" t="n">
        <v>0</v>
      </c>
      <c r="AG121" t="n">
        <v>0</v>
      </c>
      <c r="AH121" t="n">
        <v>0.23</v>
      </c>
      <c r="AI121" t="n">
        <v>11.63</v>
      </c>
      <c r="AJ121" t="n">
        <v>0</v>
      </c>
      <c r="AK121" t="n">
        <v>20.62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69.29000000000001</v>
      </c>
      <c r="AV121" t="n">
        <v>0</v>
      </c>
      <c r="AW121" t="n">
        <v>174.84</v>
      </c>
      <c r="AX121" t="inlineStr">
        <is>
          <t>settled</t>
        </is>
      </c>
      <c r="AY121" t="inlineStr">
        <is>
          <t>2026-01-14 05:30:00</t>
        </is>
      </c>
      <c r="AZ121" t="inlineStr">
        <is>
          <t>CITIN26605478364</t>
        </is>
      </c>
      <c r="BA121" t="n">
        <v>0</v>
      </c>
      <c r="BB121" t="inlineStr">
        <is>
          <t>738616912e510ee97daee11a0b5232e665a24cde492dd3555650c66abe739867</t>
        </is>
      </c>
    </row>
    <row r="122">
      <c r="A122" t="inlineStr">
        <is>
          <t>117</t>
        </is>
      </c>
      <c r="B122" t="inlineStr">
        <is>
          <t>7658821353</t>
        </is>
      </c>
      <c r="C122" t="inlineStr">
        <is>
          <t>2026-01-07 21:43:05</t>
        </is>
      </c>
      <c r="D122" t="inlineStr">
        <is>
          <t>2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NA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219</v>
      </c>
      <c r="P122" t="n">
        <v>3.5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11.13</v>
      </c>
      <c r="W122" t="n">
        <v>233.63</v>
      </c>
      <c r="X122" t="n">
        <v>222.5</v>
      </c>
      <c r="Y122" t="n">
        <v>19</v>
      </c>
      <c r="Z122" t="n">
        <v>42.28</v>
      </c>
      <c r="AA122" t="n">
        <v>4.3</v>
      </c>
      <c r="AB122" t="n">
        <v>46.58</v>
      </c>
      <c r="AC122" t="n">
        <v>8.380000000000001</v>
      </c>
      <c r="AD122" t="n">
        <v>0</v>
      </c>
      <c r="AE122" t="n">
        <v>222.5</v>
      </c>
      <c r="AF122" t="n">
        <v>0</v>
      </c>
      <c r="AG122" t="n">
        <v>0</v>
      </c>
      <c r="AH122" t="n">
        <v>0.22</v>
      </c>
      <c r="AI122" t="n">
        <v>11.13</v>
      </c>
      <c r="AJ122" t="n">
        <v>0</v>
      </c>
      <c r="AK122" t="n">
        <v>19.73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66.31</v>
      </c>
      <c r="AV122" t="n">
        <v>0</v>
      </c>
      <c r="AW122" t="n">
        <v>167.32</v>
      </c>
      <c r="AX122" t="inlineStr">
        <is>
          <t>settled</t>
        </is>
      </c>
      <c r="AY122" t="inlineStr">
        <is>
          <t>2026-01-14 05:30:00</t>
        </is>
      </c>
      <c r="AZ122" t="inlineStr">
        <is>
          <t>CITIN26605478364</t>
        </is>
      </c>
      <c r="BA122" t="n">
        <v>0</v>
      </c>
      <c r="BB122" t="inlineStr">
        <is>
          <t>738616912e510ee97daee11a0b5232e665a24cde492dd3555650c66abe739867</t>
        </is>
      </c>
    </row>
    <row r="123">
      <c r="A123" t="inlineStr">
        <is>
          <t>118</t>
        </is>
      </c>
      <c r="B123" t="inlineStr">
        <is>
          <t>7658940871</t>
        </is>
      </c>
      <c r="C123" t="inlineStr">
        <is>
          <t>2026-01-07 22:25:10</t>
        </is>
      </c>
      <c r="D123" t="inlineStr">
        <is>
          <t>2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NA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687</v>
      </c>
      <c r="P123" t="n">
        <v>3.5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34.53</v>
      </c>
      <c r="W123" t="n">
        <v>725.03</v>
      </c>
      <c r="X123" t="n">
        <v>690.5</v>
      </c>
      <c r="Y123" t="n">
        <v>19</v>
      </c>
      <c r="Z123" t="n">
        <v>131.2</v>
      </c>
      <c r="AA123" t="n">
        <v>13.34</v>
      </c>
      <c r="AB123" t="n">
        <v>144.54</v>
      </c>
      <c r="AC123" t="n">
        <v>26.02</v>
      </c>
      <c r="AD123" t="n">
        <v>0</v>
      </c>
      <c r="AE123" t="n">
        <v>690.5</v>
      </c>
      <c r="AF123" t="n">
        <v>0</v>
      </c>
      <c r="AG123" t="n">
        <v>0</v>
      </c>
      <c r="AH123" t="n">
        <v>0.6899999999999999</v>
      </c>
      <c r="AI123" t="n">
        <v>34.53</v>
      </c>
      <c r="AJ123" t="n">
        <v>0</v>
      </c>
      <c r="AK123" t="n">
        <v>61.24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205.78</v>
      </c>
      <c r="AV123" t="n">
        <v>0</v>
      </c>
      <c r="AW123" t="n">
        <v>519.25</v>
      </c>
      <c r="AX123" t="inlineStr">
        <is>
          <t>settled</t>
        </is>
      </c>
      <c r="AY123" t="inlineStr">
        <is>
          <t>2026-01-14 05:30:00</t>
        </is>
      </c>
      <c r="AZ123" t="inlineStr">
        <is>
          <t>CITIN26605478364</t>
        </is>
      </c>
      <c r="BA123" t="n">
        <v>0</v>
      </c>
      <c r="BB123" t="inlineStr">
        <is>
          <t>15e8cdaa37d6e96b585372c6476be1ce1e5c9c651a0b77064250be2a8b6d88af</t>
        </is>
      </c>
    </row>
    <row r="124">
      <c r="A124" t="inlineStr">
        <is>
          <t>119</t>
        </is>
      </c>
      <c r="B124" t="inlineStr">
        <is>
          <t>7668014482</t>
        </is>
      </c>
      <c r="C124" t="inlineStr">
        <is>
          <t>2026-01-07 22:52:28</t>
        </is>
      </c>
      <c r="D124" t="inlineStr">
        <is>
          <t>2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229</v>
      </c>
      <c r="P124" t="n">
        <v>3.5</v>
      </c>
      <c r="Q124" t="n">
        <v>0</v>
      </c>
      <c r="R124" t="n">
        <v>68.7</v>
      </c>
      <c r="S124" t="n">
        <v>0</v>
      </c>
      <c r="T124" t="n">
        <v>0</v>
      </c>
      <c r="U124" t="n">
        <v>0</v>
      </c>
      <c r="V124" t="n">
        <v>8.19</v>
      </c>
      <c r="W124" t="n">
        <v>171.99</v>
      </c>
      <c r="X124" t="n">
        <v>163.8</v>
      </c>
      <c r="Y124" t="n">
        <v>19</v>
      </c>
      <c r="Z124" t="n">
        <v>31.12</v>
      </c>
      <c r="AA124" t="n">
        <v>3.16</v>
      </c>
      <c r="AB124" t="n">
        <v>34.28</v>
      </c>
      <c r="AC124" t="n">
        <v>6.17</v>
      </c>
      <c r="AD124" t="n">
        <v>0</v>
      </c>
      <c r="AE124" t="n">
        <v>163.8</v>
      </c>
      <c r="AF124" t="n">
        <v>0</v>
      </c>
      <c r="AG124" t="n">
        <v>0</v>
      </c>
      <c r="AH124" t="n">
        <v>0.16</v>
      </c>
      <c r="AI124" t="n">
        <v>8.199999999999999</v>
      </c>
      <c r="AJ124" t="n">
        <v>-0.01</v>
      </c>
      <c r="AK124" t="n">
        <v>14.53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48.81</v>
      </c>
      <c r="AV124" t="n">
        <v>0</v>
      </c>
      <c r="AW124" t="n">
        <v>123.18</v>
      </c>
      <c r="AX124" t="inlineStr">
        <is>
          <t>settled</t>
        </is>
      </c>
      <c r="AY124" t="inlineStr">
        <is>
          <t>2026-01-14 05:30:00</t>
        </is>
      </c>
      <c r="AZ124" t="inlineStr">
        <is>
          <t>CITIN26605478364</t>
        </is>
      </c>
      <c r="BA124" t="n">
        <v>0</v>
      </c>
      <c r="BB124" t="inlineStr">
        <is>
          <t>6dff611b05790baee4606405cc9e3c8b06f949019174ec0a54714148086d0694</t>
        </is>
      </c>
    </row>
    <row r="125">
      <c r="A125" t="inlineStr">
        <is>
          <t>120</t>
        </is>
      </c>
      <c r="B125" t="inlineStr">
        <is>
          <t>7664538667</t>
        </is>
      </c>
      <c r="C125" t="inlineStr">
        <is>
          <t>2026-01-07 22:55:43</t>
        </is>
      </c>
      <c r="D125" t="inlineStr">
        <is>
          <t>2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settled</t>
        </is>
      </c>
      <c r="AY125" t="inlineStr">
        <is>
          <t>2026-01-14 05:30:00</t>
        </is>
      </c>
      <c r="AZ125" t="inlineStr">
        <is>
          <t>CITIN26605478364</t>
        </is>
      </c>
      <c r="BA125" t="n">
        <v>0</v>
      </c>
      <c r="BB125" t="inlineStr">
        <is>
          <t>b3accd37a508e8400a60006f1792f1204733368e34ca75fd4920ff7f90455a45</t>
        </is>
      </c>
    </row>
    <row r="126">
      <c r="A126" t="inlineStr">
        <is>
          <t>121</t>
        </is>
      </c>
      <c r="B126" t="inlineStr">
        <is>
          <t>7667301284</t>
        </is>
      </c>
      <c r="C126" t="inlineStr">
        <is>
          <t>2026-01-07 23:11:55</t>
        </is>
      </c>
      <c r="D126" t="inlineStr">
        <is>
          <t>2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219</v>
      </c>
      <c r="P126" t="n">
        <v>3.5</v>
      </c>
      <c r="Q126" t="n">
        <v>0</v>
      </c>
      <c r="R126" t="n">
        <v>65.7</v>
      </c>
      <c r="S126" t="n">
        <v>0</v>
      </c>
      <c r="T126" t="n">
        <v>0</v>
      </c>
      <c r="U126" t="n">
        <v>0</v>
      </c>
      <c r="V126" t="n">
        <v>7.84</v>
      </c>
      <c r="W126" t="n">
        <v>164.64</v>
      </c>
      <c r="X126" t="n">
        <v>156.8</v>
      </c>
      <c r="Y126" t="n">
        <v>19</v>
      </c>
      <c r="Z126" t="n">
        <v>29.79</v>
      </c>
      <c r="AA126" t="n">
        <v>3.03</v>
      </c>
      <c r="AB126" t="n">
        <v>32.82</v>
      </c>
      <c r="AC126" t="n">
        <v>5.91</v>
      </c>
      <c r="AD126" t="n">
        <v>0</v>
      </c>
      <c r="AE126" t="n">
        <v>156.8</v>
      </c>
      <c r="AF126" t="n">
        <v>0</v>
      </c>
      <c r="AG126" t="n">
        <v>0</v>
      </c>
      <c r="AH126" t="n">
        <v>0.16</v>
      </c>
      <c r="AI126" t="n">
        <v>7.85</v>
      </c>
      <c r="AJ126" t="n">
        <v>-0.01</v>
      </c>
      <c r="AK126" t="n">
        <v>13.92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46.74</v>
      </c>
      <c r="AV126" t="n">
        <v>0</v>
      </c>
      <c r="AW126" t="n">
        <v>117.9</v>
      </c>
      <c r="AX126" t="inlineStr">
        <is>
          <t>settled</t>
        </is>
      </c>
      <c r="AY126" t="inlineStr">
        <is>
          <t>2026-01-14 05:30:00</t>
        </is>
      </c>
      <c r="AZ126" t="inlineStr">
        <is>
          <t>CITIN26605478364</t>
        </is>
      </c>
      <c r="BA126" t="n">
        <v>0</v>
      </c>
      <c r="BB126" t="inlineStr">
        <is>
          <t>e2089c461a35b6978442d72000626d7559c5749f498511bf44cd8bf13c40ee03</t>
        </is>
      </c>
    </row>
    <row r="127">
      <c r="A127" t="inlineStr">
        <is>
          <t>122</t>
        </is>
      </c>
      <c r="B127" t="inlineStr">
        <is>
          <t>7664084575</t>
        </is>
      </c>
      <c r="C127" t="inlineStr">
        <is>
          <t>2026-01-07 23:18:30</t>
        </is>
      </c>
      <c r="D127" t="inlineStr">
        <is>
          <t>2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30% off upto ₹75 (2025-06-25 - 2031-01-01)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258</v>
      </c>
      <c r="P127" t="n">
        <v>3.5</v>
      </c>
      <c r="Q127" t="n">
        <v>0</v>
      </c>
      <c r="R127" t="n">
        <v>75</v>
      </c>
      <c r="S127" t="n">
        <v>0</v>
      </c>
      <c r="T127" t="n">
        <v>0</v>
      </c>
      <c r="U127" t="n">
        <v>0</v>
      </c>
      <c r="V127" t="n">
        <v>9.33</v>
      </c>
      <c r="W127" t="n">
        <v>195.83</v>
      </c>
      <c r="X127" t="n">
        <v>186.5</v>
      </c>
      <c r="Y127" t="n">
        <v>19</v>
      </c>
      <c r="Z127" t="n">
        <v>35.44</v>
      </c>
      <c r="AA127" t="n">
        <v>3.6</v>
      </c>
      <c r="AB127" t="n">
        <v>39.04</v>
      </c>
      <c r="AC127" t="n">
        <v>7.03</v>
      </c>
      <c r="AD127" t="n">
        <v>0</v>
      </c>
      <c r="AE127" t="n">
        <v>186.5</v>
      </c>
      <c r="AF127" t="n">
        <v>0</v>
      </c>
      <c r="AG127" t="n">
        <v>0</v>
      </c>
      <c r="AH127" t="n">
        <v>0.19</v>
      </c>
      <c r="AI127" t="n">
        <v>9.33</v>
      </c>
      <c r="AJ127" t="n">
        <v>0</v>
      </c>
      <c r="AK127" t="n">
        <v>16.55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55.59</v>
      </c>
      <c r="AV127" t="n">
        <v>0</v>
      </c>
      <c r="AW127" t="n">
        <v>140.24</v>
      </c>
      <c r="AX127" t="inlineStr">
        <is>
          <t>settled</t>
        </is>
      </c>
      <c r="AY127" t="inlineStr">
        <is>
          <t>2026-01-14 05:30:00</t>
        </is>
      </c>
      <c r="AZ127" t="inlineStr">
        <is>
          <t>CITIN26605478364</t>
        </is>
      </c>
      <c r="BA127" t="n">
        <v>0</v>
      </c>
      <c r="BB127" t="inlineStr">
        <is>
          <t>4f60c89f2ab51f850c63b7ce29718021fe7cc6b7073d1ad678b971bf67dabb46</t>
        </is>
      </c>
    </row>
    <row r="128">
      <c r="A128" t="inlineStr">
        <is>
          <t>123</t>
        </is>
      </c>
      <c r="B128" t="inlineStr">
        <is>
          <t>7652665516</t>
        </is>
      </c>
      <c r="C128" t="inlineStr">
        <is>
          <t>2026-01-07 23:38:42</t>
        </is>
      </c>
      <c r="D128" t="inlineStr">
        <is>
          <t>2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30% off upto ₹75 (2025-06-25 - 2031-01-01)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229</v>
      </c>
      <c r="P128" t="n">
        <v>3.5</v>
      </c>
      <c r="Q128" t="n">
        <v>0</v>
      </c>
      <c r="R128" t="n">
        <v>68.7</v>
      </c>
      <c r="S128" t="n">
        <v>0</v>
      </c>
      <c r="T128" t="n">
        <v>0</v>
      </c>
      <c r="U128" t="n">
        <v>0</v>
      </c>
      <c r="V128" t="n">
        <v>8.19</v>
      </c>
      <c r="W128" t="n">
        <v>171.99</v>
      </c>
      <c r="X128" t="n">
        <v>163.8</v>
      </c>
      <c r="Y128" t="n">
        <v>19</v>
      </c>
      <c r="Z128" t="n">
        <v>31.12</v>
      </c>
      <c r="AA128" t="n">
        <v>3.16</v>
      </c>
      <c r="AB128" t="n">
        <v>34.28</v>
      </c>
      <c r="AC128" t="n">
        <v>6.17</v>
      </c>
      <c r="AD128" t="n">
        <v>0</v>
      </c>
      <c r="AE128" t="n">
        <v>163.8</v>
      </c>
      <c r="AF128" t="n">
        <v>0</v>
      </c>
      <c r="AG128" t="n">
        <v>0</v>
      </c>
      <c r="AH128" t="n">
        <v>0.16</v>
      </c>
      <c r="AI128" t="n">
        <v>8.199999999999999</v>
      </c>
      <c r="AJ128" t="n">
        <v>-0.01</v>
      </c>
      <c r="AK128" t="n">
        <v>14.53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48.81</v>
      </c>
      <c r="AV128" t="n">
        <v>0</v>
      </c>
      <c r="AW128" t="n">
        <v>123.18</v>
      </c>
      <c r="AX128" t="inlineStr">
        <is>
          <t>settled</t>
        </is>
      </c>
      <c r="AY128" t="inlineStr">
        <is>
          <t>2026-01-14 05:30:00</t>
        </is>
      </c>
      <c r="AZ128" t="inlineStr">
        <is>
          <t>CITIN26605478364</t>
        </is>
      </c>
      <c r="BA128" t="n">
        <v>0</v>
      </c>
      <c r="BB128" t="inlineStr">
        <is>
          <t>7f526500f880d0276fc1a03132cb41f6a4a215e680110aa0fe3b05ec2927d144</t>
        </is>
      </c>
    </row>
    <row r="129">
      <c r="A129" t="inlineStr">
        <is>
          <t>124</t>
        </is>
      </c>
      <c r="B129" t="inlineStr">
        <is>
          <t>7665117719</t>
        </is>
      </c>
      <c r="C129" t="inlineStr">
        <is>
          <t>2026-01-07 23:43:38</t>
        </is>
      </c>
      <c r="D129" t="inlineStr">
        <is>
          <t>2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518</v>
      </c>
      <c r="P129" t="n">
        <v>3.5</v>
      </c>
      <c r="Q129" t="n">
        <v>0</v>
      </c>
      <c r="R129" t="n">
        <v>75</v>
      </c>
      <c r="S129" t="n">
        <v>0</v>
      </c>
      <c r="T129" t="n">
        <v>0</v>
      </c>
      <c r="U129" t="n">
        <v>0</v>
      </c>
      <c r="V129" t="n">
        <v>22.33</v>
      </c>
      <c r="W129" t="n">
        <v>468.83</v>
      </c>
      <c r="X129" t="n">
        <v>446.5</v>
      </c>
      <c r="Y129" t="n">
        <v>19</v>
      </c>
      <c r="Z129" t="n">
        <v>84.84</v>
      </c>
      <c r="AA129" t="n">
        <v>8.630000000000001</v>
      </c>
      <c r="AB129" t="n">
        <v>93.47</v>
      </c>
      <c r="AC129" t="n">
        <v>16.82</v>
      </c>
      <c r="AD129" t="n">
        <v>0</v>
      </c>
      <c r="AE129" t="n">
        <v>446.5</v>
      </c>
      <c r="AF129" t="n">
        <v>0</v>
      </c>
      <c r="AG129" t="n">
        <v>0</v>
      </c>
      <c r="AH129" t="n">
        <v>0.45</v>
      </c>
      <c r="AI129" t="n">
        <v>22.33</v>
      </c>
      <c r="AJ129" t="n">
        <v>0</v>
      </c>
      <c r="AK129" t="n">
        <v>39.6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133.07</v>
      </c>
      <c r="AV129" t="n">
        <v>0</v>
      </c>
      <c r="AW129" t="n">
        <v>335.76</v>
      </c>
      <c r="AX129" t="inlineStr">
        <is>
          <t>settled</t>
        </is>
      </c>
      <c r="AY129" t="inlineStr">
        <is>
          <t>2026-01-14 05:30:00</t>
        </is>
      </c>
      <c r="AZ129" t="inlineStr">
        <is>
          <t>CITIN26605478364</t>
        </is>
      </c>
      <c r="BA129" t="n">
        <v>0</v>
      </c>
      <c r="BB129" t="inlineStr">
        <is>
          <t>2f00143a68cd836a050ed5d0d35962c5f36c9dee8aefa18ac76c2c2ac36c509a</t>
        </is>
      </c>
    </row>
    <row r="130">
      <c r="A130" t="inlineStr">
        <is>
          <t>125</t>
        </is>
      </c>
      <c r="B130" t="inlineStr">
        <is>
          <t>7666899999</t>
        </is>
      </c>
      <c r="C130" t="inlineStr">
        <is>
          <t>2026-01-07 23:56:43</t>
        </is>
      </c>
      <c r="D130" t="inlineStr">
        <is>
          <t>2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30% off upto ₹75 (2025-06-25 - 2031-01-01)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358</v>
      </c>
      <c r="P130" t="n">
        <v>3.5</v>
      </c>
      <c r="Q130" t="n">
        <v>0</v>
      </c>
      <c r="R130" t="n">
        <v>75</v>
      </c>
      <c r="S130" t="n">
        <v>0</v>
      </c>
      <c r="T130" t="n">
        <v>0</v>
      </c>
      <c r="U130" t="n">
        <v>0</v>
      </c>
      <c r="V130" t="n">
        <v>14.33</v>
      </c>
      <c r="W130" t="n">
        <v>300.83</v>
      </c>
      <c r="X130" t="n">
        <v>286.5</v>
      </c>
      <c r="Y130" t="n">
        <v>19</v>
      </c>
      <c r="Z130" t="n">
        <v>54.44</v>
      </c>
      <c r="AA130" t="n">
        <v>5.54</v>
      </c>
      <c r="AB130" t="n">
        <v>59.98</v>
      </c>
      <c r="AC130" t="n">
        <v>10.8</v>
      </c>
      <c r="AD130" t="n">
        <v>0</v>
      </c>
      <c r="AE130" t="n">
        <v>286.5</v>
      </c>
      <c r="AF130" t="n">
        <v>0</v>
      </c>
      <c r="AG130" t="n">
        <v>0</v>
      </c>
      <c r="AH130" t="n">
        <v>0.29</v>
      </c>
      <c r="AI130" t="n">
        <v>14.33</v>
      </c>
      <c r="AJ130" t="n">
        <v>0</v>
      </c>
      <c r="AK130" t="n">
        <v>25.42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85.40000000000001</v>
      </c>
      <c r="AV130" t="n">
        <v>0</v>
      </c>
      <c r="AW130" t="n">
        <v>215.43</v>
      </c>
      <c r="AX130" t="inlineStr">
        <is>
          <t>settled</t>
        </is>
      </c>
      <c r="AY130" t="inlineStr">
        <is>
          <t>2026-01-14 05:30:00</t>
        </is>
      </c>
      <c r="AZ130" t="inlineStr">
        <is>
          <t>CITIN26605478364</t>
        </is>
      </c>
      <c r="BA130" t="n">
        <v>0</v>
      </c>
      <c r="BB130" t="inlineStr">
        <is>
          <t>d193bba377f8dd4cbeca91a37b7e484def4082a392c91d3fc0c4e57a93aa8aca</t>
        </is>
      </c>
    </row>
    <row r="131">
      <c r="A131" t="inlineStr">
        <is>
          <t>126</t>
        </is>
      </c>
      <c r="B131" t="inlineStr">
        <is>
          <t>7653606554</t>
        </is>
      </c>
      <c r="C131" t="inlineStr">
        <is>
          <t>2026-01-08 00:12:18</t>
        </is>
      </c>
      <c r="D131" t="inlineStr">
        <is>
          <t>2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NA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229</v>
      </c>
      <c r="P131" t="n">
        <v>3.5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11.63</v>
      </c>
      <c r="W131" t="n">
        <v>244.13</v>
      </c>
      <c r="X131" t="n">
        <v>232.5</v>
      </c>
      <c r="Y131" t="n">
        <v>19</v>
      </c>
      <c r="Z131" t="n">
        <v>44.18</v>
      </c>
      <c r="AA131" t="n">
        <v>4.49</v>
      </c>
      <c r="AB131" t="n">
        <v>48.67</v>
      </c>
      <c r="AC131" t="n">
        <v>8.76</v>
      </c>
      <c r="AD131" t="n">
        <v>0</v>
      </c>
      <c r="AE131" t="n">
        <v>232.5</v>
      </c>
      <c r="AF131" t="n">
        <v>0</v>
      </c>
      <c r="AG131" t="n">
        <v>0</v>
      </c>
      <c r="AH131" t="n">
        <v>0.23</v>
      </c>
      <c r="AI131" t="n">
        <v>11.63</v>
      </c>
      <c r="AJ131" t="n">
        <v>0</v>
      </c>
      <c r="AK131" t="n">
        <v>20.62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69.29000000000001</v>
      </c>
      <c r="AV131" t="n">
        <v>0</v>
      </c>
      <c r="AW131" t="n">
        <v>174.84</v>
      </c>
      <c r="AX131" t="inlineStr">
        <is>
          <t>settled</t>
        </is>
      </c>
      <c r="AY131" t="inlineStr">
        <is>
          <t>2026-01-14 05:30:00</t>
        </is>
      </c>
      <c r="AZ131" t="inlineStr">
        <is>
          <t>CITIN26605478364</t>
        </is>
      </c>
      <c r="BA131" t="n">
        <v>0</v>
      </c>
      <c r="BB131" t="inlineStr">
        <is>
          <t>ba0a673f2bb31e82d45a780ec3c6ef39be4289cce6b72ed33cda2552fcfe2d43</t>
        </is>
      </c>
    </row>
    <row r="132">
      <c r="A132" t="inlineStr">
        <is>
          <t>127</t>
        </is>
      </c>
      <c r="B132" t="inlineStr">
        <is>
          <t>7660762836</t>
        </is>
      </c>
      <c r="C132" t="inlineStr">
        <is>
          <t>2026-01-08 00:27:33</t>
        </is>
      </c>
      <c r="D132" t="inlineStr">
        <is>
          <t>2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2026-01-14 05:30:00</t>
        </is>
      </c>
      <c r="AZ132" t="inlineStr">
        <is>
          <t>CITIN26605478364</t>
        </is>
      </c>
      <c r="BA132" t="n">
        <v>0</v>
      </c>
      <c r="BB132" t="inlineStr">
        <is>
          <t>302f4aa3519faabc6709ff4bcbedac639b6da866c924177f02e3b0b3a9d4193c</t>
        </is>
      </c>
    </row>
    <row r="133">
      <c r="A133" t="inlineStr">
        <is>
          <t>128</t>
        </is>
      </c>
      <c r="B133" t="inlineStr">
        <is>
          <t>7668024847</t>
        </is>
      </c>
      <c r="C133" t="inlineStr">
        <is>
          <t>2026-01-08 00:31:08</t>
        </is>
      </c>
      <c r="D133" t="inlineStr">
        <is>
          <t>2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229</v>
      </c>
      <c r="P133" t="n">
        <v>3.5</v>
      </c>
      <c r="Q133" t="n">
        <v>0</v>
      </c>
      <c r="R133" t="n">
        <v>68.7</v>
      </c>
      <c r="S133" t="n">
        <v>0</v>
      </c>
      <c r="T133" t="n">
        <v>0</v>
      </c>
      <c r="U133" t="n">
        <v>0</v>
      </c>
      <c r="V133" t="n">
        <v>8.19</v>
      </c>
      <c r="W133" t="n">
        <v>171.99</v>
      </c>
      <c r="X133" t="n">
        <v>163.8</v>
      </c>
      <c r="Y133" t="n">
        <v>19</v>
      </c>
      <c r="Z133" t="n">
        <v>31.12</v>
      </c>
      <c r="AA133" t="n">
        <v>3.16</v>
      </c>
      <c r="AB133" t="n">
        <v>34.28</v>
      </c>
      <c r="AC133" t="n">
        <v>6.17</v>
      </c>
      <c r="AD133" t="n">
        <v>0</v>
      </c>
      <c r="AE133" t="n">
        <v>163.8</v>
      </c>
      <c r="AF133" t="n">
        <v>0</v>
      </c>
      <c r="AG133" t="n">
        <v>0</v>
      </c>
      <c r="AH133" t="n">
        <v>0.16</v>
      </c>
      <c r="AI133" t="n">
        <v>8.199999999999999</v>
      </c>
      <c r="AJ133" t="n">
        <v>-0.01</v>
      </c>
      <c r="AK133" t="n">
        <v>14.53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48.81</v>
      </c>
      <c r="AV133" t="n">
        <v>0</v>
      </c>
      <c r="AW133" t="n">
        <v>123.18</v>
      </c>
      <c r="AX133" t="inlineStr">
        <is>
          <t>settled</t>
        </is>
      </c>
      <c r="AY133" t="inlineStr">
        <is>
          <t>2026-01-14 05:30:00</t>
        </is>
      </c>
      <c r="AZ133" t="inlineStr">
        <is>
          <t>CITIN26605478364</t>
        </is>
      </c>
      <c r="BA133" t="n">
        <v>0</v>
      </c>
      <c r="BB133" t="inlineStr">
        <is>
          <t>f3315036b4ee0b70e348ee3021ad75d17752b5f1799400c8f9362d5c14a685fc</t>
        </is>
      </c>
    </row>
    <row r="134">
      <c r="A134" t="inlineStr">
        <is>
          <t>129</t>
        </is>
      </c>
      <c r="B134" t="inlineStr">
        <is>
          <t>7667178775</t>
        </is>
      </c>
      <c r="C134" t="inlineStr">
        <is>
          <t>2026-01-08 00:31:31</t>
        </is>
      </c>
      <c r="D134" t="inlineStr">
        <is>
          <t>2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NA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229</v>
      </c>
      <c r="P134" t="n">
        <v>3.5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11.63</v>
      </c>
      <c r="W134" t="n">
        <v>244.13</v>
      </c>
      <c r="X134" t="n">
        <v>232.5</v>
      </c>
      <c r="Y134" t="n">
        <v>19</v>
      </c>
      <c r="Z134" t="n">
        <v>44.18</v>
      </c>
      <c r="AA134" t="n">
        <v>4.49</v>
      </c>
      <c r="AB134" t="n">
        <v>48.67</v>
      </c>
      <c r="AC134" t="n">
        <v>8.76</v>
      </c>
      <c r="AD134" t="n">
        <v>0</v>
      </c>
      <c r="AE134" t="n">
        <v>232.5</v>
      </c>
      <c r="AF134" t="n">
        <v>0</v>
      </c>
      <c r="AG134" t="n">
        <v>0</v>
      </c>
      <c r="AH134" t="n">
        <v>0.23</v>
      </c>
      <c r="AI134" t="n">
        <v>11.63</v>
      </c>
      <c r="AJ134" t="n">
        <v>0</v>
      </c>
      <c r="AK134" t="n">
        <v>20.62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69.29000000000001</v>
      </c>
      <c r="AV134" t="n">
        <v>0</v>
      </c>
      <c r="AW134" t="n">
        <v>174.84</v>
      </c>
      <c r="AX134" t="inlineStr">
        <is>
          <t>settled</t>
        </is>
      </c>
      <c r="AY134" t="inlineStr">
        <is>
          <t>2026-01-14 05:30:00</t>
        </is>
      </c>
      <c r="AZ134" t="inlineStr">
        <is>
          <t>CITIN26605478364</t>
        </is>
      </c>
      <c r="BA134" t="n">
        <v>0</v>
      </c>
      <c r="BB134" t="inlineStr">
        <is>
          <t>3d6571398185bfa738fb0ca21ca42fee6ba9f6341126989b053c0226bf841b9a</t>
        </is>
      </c>
    </row>
    <row r="135">
      <c r="A135" t="inlineStr">
        <is>
          <t>130</t>
        </is>
      </c>
      <c r="B135" t="inlineStr">
        <is>
          <t>7664377662</t>
        </is>
      </c>
      <c r="C135" t="inlineStr">
        <is>
          <t>2026-01-08 00:46:11</t>
        </is>
      </c>
      <c r="D135" t="inlineStr">
        <is>
          <t>2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30% off upto ₹75 (2025-06-25 - 2031-01-01)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289</v>
      </c>
      <c r="P135" t="n">
        <v>3.5</v>
      </c>
      <c r="Q135" t="n">
        <v>0</v>
      </c>
      <c r="R135" t="n">
        <v>75</v>
      </c>
      <c r="S135" t="n">
        <v>0</v>
      </c>
      <c r="T135" t="n">
        <v>0</v>
      </c>
      <c r="U135" t="n">
        <v>0</v>
      </c>
      <c r="V135" t="n">
        <v>10.88</v>
      </c>
      <c r="W135" t="n">
        <v>228.38</v>
      </c>
      <c r="X135" t="n">
        <v>217.5</v>
      </c>
      <c r="Y135" t="n">
        <v>19</v>
      </c>
      <c r="Z135" t="n">
        <v>41.32</v>
      </c>
      <c r="AA135" t="n">
        <v>4.2</v>
      </c>
      <c r="AB135" t="n">
        <v>45.52</v>
      </c>
      <c r="AC135" t="n">
        <v>8.199999999999999</v>
      </c>
      <c r="AD135" t="n">
        <v>0</v>
      </c>
      <c r="AE135" t="n">
        <v>217.5</v>
      </c>
      <c r="AF135" t="n">
        <v>0</v>
      </c>
      <c r="AG135" t="n">
        <v>0</v>
      </c>
      <c r="AH135" t="n">
        <v>0.22</v>
      </c>
      <c r="AI135" t="n">
        <v>10.88</v>
      </c>
      <c r="AJ135" t="n">
        <v>0</v>
      </c>
      <c r="AK135" t="n">
        <v>19.3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64.81999999999999</v>
      </c>
      <c r="AV135" t="n">
        <v>0</v>
      </c>
      <c r="AW135" t="n">
        <v>163.56</v>
      </c>
      <c r="AX135" t="inlineStr">
        <is>
          <t>settled</t>
        </is>
      </c>
      <c r="AY135" t="inlineStr">
        <is>
          <t>2026-01-14 05:30:00</t>
        </is>
      </c>
      <c r="AZ135" t="inlineStr">
        <is>
          <t>CITIN26605478364</t>
        </is>
      </c>
      <c r="BA135" t="n">
        <v>0</v>
      </c>
      <c r="BB135" t="inlineStr">
        <is>
          <t>d195cd0f73dfd917280829287abb6c6cea2c42dfedfe5bb7cda6fd0f9f6b0a04</t>
        </is>
      </c>
    </row>
    <row r="136">
      <c r="A136" t="inlineStr">
        <is>
          <t>131</t>
        </is>
      </c>
      <c r="B136" t="inlineStr">
        <is>
          <t>7667289841</t>
        </is>
      </c>
      <c r="C136" t="inlineStr">
        <is>
          <t>2026-01-08 00:46:26</t>
        </is>
      </c>
      <c r="D136" t="inlineStr">
        <is>
          <t>2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508</v>
      </c>
      <c r="P136" t="n">
        <v>3.5</v>
      </c>
      <c r="Q136" t="n">
        <v>0</v>
      </c>
      <c r="R136" t="n">
        <v>75</v>
      </c>
      <c r="S136" t="n">
        <v>0</v>
      </c>
      <c r="T136" t="n">
        <v>0</v>
      </c>
      <c r="U136" t="n">
        <v>0</v>
      </c>
      <c r="V136" t="n">
        <v>21.83</v>
      </c>
      <c r="W136" t="n">
        <v>458.33</v>
      </c>
      <c r="X136" t="n">
        <v>436.5</v>
      </c>
      <c r="Y136" t="n">
        <v>19</v>
      </c>
      <c r="Z136" t="n">
        <v>82.94</v>
      </c>
      <c r="AA136" t="n">
        <v>8.43</v>
      </c>
      <c r="AB136" t="n">
        <v>91.37</v>
      </c>
      <c r="AC136" t="n">
        <v>16.45</v>
      </c>
      <c r="AD136" t="n">
        <v>0</v>
      </c>
      <c r="AE136" t="n">
        <v>436.5</v>
      </c>
      <c r="AF136" t="n">
        <v>0</v>
      </c>
      <c r="AG136" t="n">
        <v>0</v>
      </c>
      <c r="AH136" t="n">
        <v>0.44</v>
      </c>
      <c r="AI136" t="n">
        <v>21.83</v>
      </c>
      <c r="AJ136" t="n">
        <v>0</v>
      </c>
      <c r="AK136" t="n">
        <v>38.72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130.09</v>
      </c>
      <c r="AV136" t="n">
        <v>0</v>
      </c>
      <c r="AW136" t="n">
        <v>328.24</v>
      </c>
      <c r="AX136" t="inlineStr">
        <is>
          <t>settled</t>
        </is>
      </c>
      <c r="AY136" t="inlineStr">
        <is>
          <t>2026-01-14 05:30:00</t>
        </is>
      </c>
      <c r="AZ136" t="inlineStr">
        <is>
          <t>CITIN26605478364</t>
        </is>
      </c>
      <c r="BA136" t="n">
        <v>0</v>
      </c>
      <c r="BB136" t="inlineStr">
        <is>
          <t>8e10c309c50ffb8b413c2e28172b6fd20131f8e60cc595e6a5402bfadef0d76d</t>
        </is>
      </c>
    </row>
    <row r="137">
      <c r="A137" t="inlineStr">
        <is>
          <t>132</t>
        </is>
      </c>
      <c r="B137" t="inlineStr">
        <is>
          <t>7655988610</t>
        </is>
      </c>
      <c r="C137" t="inlineStr">
        <is>
          <t>2026-01-08 01:05:34</t>
        </is>
      </c>
      <c r="D137" t="inlineStr">
        <is>
          <t>2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229</v>
      </c>
      <c r="P137" t="n">
        <v>3.5</v>
      </c>
      <c r="Q137" t="n">
        <v>0</v>
      </c>
      <c r="R137" t="n">
        <v>68.7</v>
      </c>
      <c r="S137" t="n">
        <v>0</v>
      </c>
      <c r="T137" t="n">
        <v>0</v>
      </c>
      <c r="U137" t="n">
        <v>0</v>
      </c>
      <c r="V137" t="n">
        <v>8.19</v>
      </c>
      <c r="W137" t="n">
        <v>171.99</v>
      </c>
      <c r="X137" t="n">
        <v>163.8</v>
      </c>
      <c r="Y137" t="n">
        <v>19</v>
      </c>
      <c r="Z137" t="n">
        <v>31.12</v>
      </c>
      <c r="AA137" t="n">
        <v>3.16</v>
      </c>
      <c r="AB137" t="n">
        <v>34.28</v>
      </c>
      <c r="AC137" t="n">
        <v>6.17</v>
      </c>
      <c r="AD137" t="n">
        <v>0</v>
      </c>
      <c r="AE137" t="n">
        <v>163.8</v>
      </c>
      <c r="AF137" t="n">
        <v>0</v>
      </c>
      <c r="AG137" t="n">
        <v>0</v>
      </c>
      <c r="AH137" t="n">
        <v>0.16</v>
      </c>
      <c r="AI137" t="n">
        <v>8.199999999999999</v>
      </c>
      <c r="AJ137" t="n">
        <v>-0.01</v>
      </c>
      <c r="AK137" t="n">
        <v>14.53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48.81</v>
      </c>
      <c r="AV137" t="n">
        <v>0</v>
      </c>
      <c r="AW137" t="n">
        <v>123.18</v>
      </c>
      <c r="AX137" t="inlineStr">
        <is>
          <t>settled</t>
        </is>
      </c>
      <c r="AY137" t="inlineStr">
        <is>
          <t>2026-01-14 05:30:00</t>
        </is>
      </c>
      <c r="AZ137" t="inlineStr">
        <is>
          <t>CITIN26605478364</t>
        </is>
      </c>
      <c r="BA137" t="n">
        <v>0</v>
      </c>
      <c r="BB137" t="inlineStr">
        <is>
          <t>18617946e72945a608f33309237dc3d20c84a9d67268de8bb1d1c520a4792a01</t>
        </is>
      </c>
    </row>
    <row r="138">
      <c r="A138" t="inlineStr">
        <is>
          <t>133</t>
        </is>
      </c>
      <c r="B138" t="inlineStr">
        <is>
          <t>7667702149</t>
        </is>
      </c>
      <c r="C138" t="inlineStr">
        <is>
          <t>2026-01-08 01:07:17</t>
        </is>
      </c>
      <c r="D138" t="inlineStr">
        <is>
          <t>2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219</v>
      </c>
      <c r="P138" t="n">
        <v>3.5</v>
      </c>
      <c r="Q138" t="n">
        <v>0</v>
      </c>
      <c r="R138" t="n">
        <v>65.7</v>
      </c>
      <c r="S138" t="n">
        <v>0</v>
      </c>
      <c r="T138" t="n">
        <v>0</v>
      </c>
      <c r="U138" t="n">
        <v>0</v>
      </c>
      <c r="V138" t="n">
        <v>7.84</v>
      </c>
      <c r="W138" t="n">
        <v>164.64</v>
      </c>
      <c r="X138" t="n">
        <v>156.8</v>
      </c>
      <c r="Y138" t="n">
        <v>19</v>
      </c>
      <c r="Z138" t="n">
        <v>29.79</v>
      </c>
      <c r="AA138" t="n">
        <v>3.03</v>
      </c>
      <c r="AB138" t="n">
        <v>32.82</v>
      </c>
      <c r="AC138" t="n">
        <v>5.91</v>
      </c>
      <c r="AD138" t="n">
        <v>0</v>
      </c>
      <c r="AE138" t="n">
        <v>156.8</v>
      </c>
      <c r="AF138" t="n">
        <v>0</v>
      </c>
      <c r="AG138" t="n">
        <v>0</v>
      </c>
      <c r="AH138" t="n">
        <v>0.16</v>
      </c>
      <c r="AI138" t="n">
        <v>7.85</v>
      </c>
      <c r="AJ138" t="n">
        <v>-0.01</v>
      </c>
      <c r="AK138" t="n">
        <v>13.92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46.74</v>
      </c>
      <c r="AV138" t="n">
        <v>0</v>
      </c>
      <c r="AW138" t="n">
        <v>117.9</v>
      </c>
      <c r="AX138" t="inlineStr">
        <is>
          <t>settled</t>
        </is>
      </c>
      <c r="AY138" t="inlineStr">
        <is>
          <t>2026-01-14 05:30:00</t>
        </is>
      </c>
      <c r="AZ138" t="inlineStr">
        <is>
          <t>CITIN26605478364</t>
        </is>
      </c>
      <c r="BA138" t="n">
        <v>0</v>
      </c>
      <c r="BB138" t="inlineStr">
        <is>
          <t>d1ca48f3b8ef4d3c6ab072b028bb5bcf1e0bb4f096108260d16494f4964a016e</t>
        </is>
      </c>
    </row>
    <row r="139">
      <c r="A139" t="inlineStr">
        <is>
          <t>134</t>
        </is>
      </c>
      <c r="B139" t="inlineStr">
        <is>
          <t>7664537856</t>
        </is>
      </c>
      <c r="C139" t="inlineStr">
        <is>
          <t>2026-01-08 01:23:44</t>
        </is>
      </c>
      <c r="D139" t="inlineStr">
        <is>
          <t>2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355</v>
      </c>
      <c r="P139" t="n">
        <v>3.5</v>
      </c>
      <c r="Q139" t="n">
        <v>0</v>
      </c>
      <c r="R139" t="n">
        <v>75</v>
      </c>
      <c r="S139" t="n">
        <v>0</v>
      </c>
      <c r="T139" t="n">
        <v>0</v>
      </c>
      <c r="U139" t="n">
        <v>0</v>
      </c>
      <c r="V139" t="n">
        <v>14.18</v>
      </c>
      <c r="W139" t="n">
        <v>297.68</v>
      </c>
      <c r="X139" t="n">
        <v>283.5</v>
      </c>
      <c r="Y139" t="n">
        <v>19</v>
      </c>
      <c r="Z139" t="n">
        <v>53.86</v>
      </c>
      <c r="AA139" t="n">
        <v>5.48</v>
      </c>
      <c r="AB139" t="n">
        <v>59.34</v>
      </c>
      <c r="AC139" t="n">
        <v>10.68</v>
      </c>
      <c r="AD139" t="n">
        <v>0</v>
      </c>
      <c r="AE139" t="n">
        <v>283.5</v>
      </c>
      <c r="AF139" t="n">
        <v>0</v>
      </c>
      <c r="AG139" t="n">
        <v>0</v>
      </c>
      <c r="AH139" t="n">
        <v>0.28</v>
      </c>
      <c r="AI139" t="n">
        <v>14.18</v>
      </c>
      <c r="AJ139" t="n">
        <v>0</v>
      </c>
      <c r="AK139" t="n">
        <v>25.14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84.48</v>
      </c>
      <c r="AV139" t="n">
        <v>0</v>
      </c>
      <c r="AW139" t="n">
        <v>213.2</v>
      </c>
      <c r="AX139" t="inlineStr">
        <is>
          <t>settled</t>
        </is>
      </c>
      <c r="AY139" t="inlineStr">
        <is>
          <t>2026-01-14 05:30:00</t>
        </is>
      </c>
      <c r="AZ139" t="inlineStr">
        <is>
          <t>CITIN26605478364</t>
        </is>
      </c>
      <c r="BA139" t="n">
        <v>0</v>
      </c>
      <c r="BB139" t="inlineStr">
        <is>
          <t>05fe876cd1b0cdf1226557b7fdb2a1f243349d8468798e9f49a26a09af19314e</t>
        </is>
      </c>
    </row>
    <row r="140">
      <c r="A140" t="inlineStr">
        <is>
          <t>135</t>
        </is>
      </c>
      <c r="B140" t="inlineStr">
        <is>
          <t>7660056986</t>
        </is>
      </c>
      <c r="C140" t="inlineStr">
        <is>
          <t>2026-01-08 01:32:58</t>
        </is>
      </c>
      <c r="D140" t="inlineStr">
        <is>
          <t>2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30% off upto ₹75 (2025-06-25 - 2031-01-01)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229</v>
      </c>
      <c r="P140" t="n">
        <v>3.5</v>
      </c>
      <c r="Q140" t="n">
        <v>0</v>
      </c>
      <c r="R140" t="n">
        <v>68.7</v>
      </c>
      <c r="S140" t="n">
        <v>0</v>
      </c>
      <c r="T140" t="n">
        <v>0</v>
      </c>
      <c r="U140" t="n">
        <v>0</v>
      </c>
      <c r="V140" t="n">
        <v>8.19</v>
      </c>
      <c r="W140" t="n">
        <v>171.99</v>
      </c>
      <c r="X140" t="n">
        <v>163.8</v>
      </c>
      <c r="Y140" t="n">
        <v>19</v>
      </c>
      <c r="Z140" t="n">
        <v>31.12</v>
      </c>
      <c r="AA140" t="n">
        <v>3.16</v>
      </c>
      <c r="AB140" t="n">
        <v>34.28</v>
      </c>
      <c r="AC140" t="n">
        <v>6.17</v>
      </c>
      <c r="AD140" t="n">
        <v>0</v>
      </c>
      <c r="AE140" t="n">
        <v>163.8</v>
      </c>
      <c r="AF140" t="n">
        <v>0</v>
      </c>
      <c r="AG140" t="n">
        <v>0</v>
      </c>
      <c r="AH140" t="n">
        <v>0.16</v>
      </c>
      <c r="AI140" t="n">
        <v>8.199999999999999</v>
      </c>
      <c r="AJ140" t="n">
        <v>-0.01</v>
      </c>
      <c r="AK140" t="n">
        <v>14.53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48.81</v>
      </c>
      <c r="AV140" t="n">
        <v>0</v>
      </c>
      <c r="AW140" t="n">
        <v>123.18</v>
      </c>
      <c r="AX140" t="inlineStr">
        <is>
          <t>settled</t>
        </is>
      </c>
      <c r="AY140" t="inlineStr">
        <is>
          <t>2026-01-14 05:30:00</t>
        </is>
      </c>
      <c r="AZ140" t="inlineStr">
        <is>
          <t>CITIN26605478364</t>
        </is>
      </c>
      <c r="BA140" t="n">
        <v>0</v>
      </c>
      <c r="BB140" t="inlineStr">
        <is>
          <t>2c53f17d08ab4b653aa83e103fbd2f32229b5d763d45f36b9378713ffd0a749e</t>
        </is>
      </c>
    </row>
    <row r="141">
      <c r="A141" t="inlineStr">
        <is>
          <t>136</t>
        </is>
      </c>
      <c r="B141" t="inlineStr">
        <is>
          <t>7667126062</t>
        </is>
      </c>
      <c r="C141" t="inlineStr">
        <is>
          <t>2026-01-08 01:40:13</t>
        </is>
      </c>
      <c r="D141" t="inlineStr">
        <is>
          <t>2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30% off upto ₹75 (2025-06-25 - 2031-01-01)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458</v>
      </c>
      <c r="P141" t="n">
        <v>3.5</v>
      </c>
      <c r="Q141" t="n">
        <v>0</v>
      </c>
      <c r="R141" t="n">
        <v>75</v>
      </c>
      <c r="S141" t="n">
        <v>0</v>
      </c>
      <c r="T141" t="n">
        <v>0</v>
      </c>
      <c r="U141" t="n">
        <v>0</v>
      </c>
      <c r="V141" t="n">
        <v>19.33</v>
      </c>
      <c r="W141" t="n">
        <v>405.83</v>
      </c>
      <c r="X141" t="n">
        <v>386.5</v>
      </c>
      <c r="Y141" t="n">
        <v>19</v>
      </c>
      <c r="Z141" t="n">
        <v>73.44</v>
      </c>
      <c r="AA141" t="n">
        <v>7.47</v>
      </c>
      <c r="AB141" t="n">
        <v>80.91</v>
      </c>
      <c r="AC141" t="n">
        <v>14.56</v>
      </c>
      <c r="AD141" t="n">
        <v>0</v>
      </c>
      <c r="AE141" t="n">
        <v>386.5</v>
      </c>
      <c r="AF141" t="n">
        <v>0</v>
      </c>
      <c r="AG141" t="n">
        <v>0</v>
      </c>
      <c r="AH141" t="n">
        <v>0.39</v>
      </c>
      <c r="AI141" t="n">
        <v>19.33</v>
      </c>
      <c r="AJ141" t="n">
        <v>0</v>
      </c>
      <c r="AK141" t="n">
        <v>34.28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115.19</v>
      </c>
      <c r="AV141" t="n">
        <v>0</v>
      </c>
      <c r="AW141" t="n">
        <v>290.64</v>
      </c>
      <c r="AX141" t="inlineStr">
        <is>
          <t>settled</t>
        </is>
      </c>
      <c r="AY141" t="inlineStr">
        <is>
          <t>2026-01-14 05:30:00</t>
        </is>
      </c>
      <c r="AZ141" t="inlineStr">
        <is>
          <t>CITIN26605478364</t>
        </is>
      </c>
      <c r="BA141" t="n">
        <v>0</v>
      </c>
      <c r="BB141" t="inlineStr">
        <is>
          <t>c7241f6af7bd606ba9c9d7267ebb33e5e2d52940cbba83627603e0bbc83ba96b</t>
        </is>
      </c>
    </row>
    <row r="142">
      <c r="A142" t="inlineStr">
        <is>
          <t>137</t>
        </is>
      </c>
      <c r="B142" t="inlineStr">
        <is>
          <t>7662746581</t>
        </is>
      </c>
      <c r="C142" t="inlineStr">
        <is>
          <t>2026-01-08 02:20:29</t>
        </is>
      </c>
      <c r="D142" t="inlineStr">
        <is>
          <t>2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30% off upto ₹75 (2025-06-25 - 2031-01-01)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219</v>
      </c>
      <c r="P142" t="n">
        <v>3.5</v>
      </c>
      <c r="Q142" t="n">
        <v>0</v>
      </c>
      <c r="R142" t="n">
        <v>65.7</v>
      </c>
      <c r="S142" t="n">
        <v>0</v>
      </c>
      <c r="T142" t="n">
        <v>0</v>
      </c>
      <c r="U142" t="n">
        <v>0</v>
      </c>
      <c r="V142" t="n">
        <v>7.84</v>
      </c>
      <c r="W142" t="n">
        <v>164.64</v>
      </c>
      <c r="X142" t="n">
        <v>156.8</v>
      </c>
      <c r="Y142" t="n">
        <v>19</v>
      </c>
      <c r="Z142" t="n">
        <v>29.79</v>
      </c>
      <c r="AA142" t="n">
        <v>3.03</v>
      </c>
      <c r="AB142" t="n">
        <v>32.82</v>
      </c>
      <c r="AC142" t="n">
        <v>5.91</v>
      </c>
      <c r="AD142" t="n">
        <v>0</v>
      </c>
      <c r="AE142" t="n">
        <v>156.8</v>
      </c>
      <c r="AF142" t="n">
        <v>0</v>
      </c>
      <c r="AG142" t="n">
        <v>0</v>
      </c>
      <c r="AH142" t="n">
        <v>0.16</v>
      </c>
      <c r="AI142" t="n">
        <v>7.85</v>
      </c>
      <c r="AJ142" t="n">
        <v>-0.01</v>
      </c>
      <c r="AK142" t="n">
        <v>13.92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46.74</v>
      </c>
      <c r="AV142" t="n">
        <v>0</v>
      </c>
      <c r="AW142" t="n">
        <v>117.9</v>
      </c>
      <c r="AX142" t="inlineStr">
        <is>
          <t>settled</t>
        </is>
      </c>
      <c r="AY142" t="inlineStr">
        <is>
          <t>2026-01-14 05:30:00</t>
        </is>
      </c>
      <c r="AZ142" t="inlineStr">
        <is>
          <t>CITIN26605478364</t>
        </is>
      </c>
      <c r="BA142" t="n">
        <v>0</v>
      </c>
      <c r="BB142" t="inlineStr">
        <is>
          <t>8717c078e4118e48d510e6c6c2eecbf89a36e13a044886c468af53900beb51c7</t>
        </is>
      </c>
    </row>
    <row r="143">
      <c r="A143" t="inlineStr">
        <is>
          <t>138</t>
        </is>
      </c>
      <c r="B143" t="inlineStr">
        <is>
          <t>7662101279</t>
        </is>
      </c>
      <c r="C143" t="inlineStr">
        <is>
          <t>2026-01-08 02:37:15</t>
        </is>
      </c>
      <c r="D143" t="inlineStr">
        <is>
          <t>2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30% off upto ₹75 (2025-06-25 - 2031-01-01)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219</v>
      </c>
      <c r="P143" t="n">
        <v>3.5</v>
      </c>
      <c r="Q143" t="n">
        <v>0</v>
      </c>
      <c r="R143" t="n">
        <v>65.7</v>
      </c>
      <c r="S143" t="n">
        <v>0</v>
      </c>
      <c r="T143" t="n">
        <v>0</v>
      </c>
      <c r="U143" t="n">
        <v>0</v>
      </c>
      <c r="V143" t="n">
        <v>7.84</v>
      </c>
      <c r="W143" t="n">
        <v>164.64</v>
      </c>
      <c r="X143" t="n">
        <v>156.8</v>
      </c>
      <c r="Y143" t="n">
        <v>19</v>
      </c>
      <c r="Z143" t="n">
        <v>29.79</v>
      </c>
      <c r="AA143" t="n">
        <v>3.03</v>
      </c>
      <c r="AB143" t="n">
        <v>32.82</v>
      </c>
      <c r="AC143" t="n">
        <v>5.91</v>
      </c>
      <c r="AD143" t="n">
        <v>0</v>
      </c>
      <c r="AE143" t="n">
        <v>156.8</v>
      </c>
      <c r="AF143" t="n">
        <v>0</v>
      </c>
      <c r="AG143" t="n">
        <v>0</v>
      </c>
      <c r="AH143" t="n">
        <v>0.16</v>
      </c>
      <c r="AI143" t="n">
        <v>7.85</v>
      </c>
      <c r="AJ143" t="n">
        <v>-0.01</v>
      </c>
      <c r="AK143" t="n">
        <v>13.92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46.74</v>
      </c>
      <c r="AV143" t="n">
        <v>0</v>
      </c>
      <c r="AW143" t="n">
        <v>117.9</v>
      </c>
      <c r="AX143" t="inlineStr">
        <is>
          <t>settled</t>
        </is>
      </c>
      <c r="AY143" t="inlineStr">
        <is>
          <t>2026-01-14 05:30:00</t>
        </is>
      </c>
      <c r="AZ143" t="inlineStr">
        <is>
          <t>CITIN26605478364</t>
        </is>
      </c>
      <c r="BA143" t="n">
        <v>0</v>
      </c>
      <c r="BB143" t="inlineStr">
        <is>
          <t>edff66c1755e98dfb1164f9eb456ee11947d56da6e27bdc6cd4405bd71b1a908</t>
        </is>
      </c>
    </row>
    <row r="144">
      <c r="A144" t="inlineStr">
        <is>
          <t>139</t>
        </is>
      </c>
      <c r="B144" t="inlineStr">
        <is>
          <t>7659001294</t>
        </is>
      </c>
      <c r="C144" t="inlineStr">
        <is>
          <t>2026-01-08 02:41:12</t>
        </is>
      </c>
      <c r="D144" t="inlineStr">
        <is>
          <t>2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229</v>
      </c>
      <c r="P144" t="n">
        <v>3.5</v>
      </c>
      <c r="Q144" t="n">
        <v>0</v>
      </c>
      <c r="R144" t="n">
        <v>68.7</v>
      </c>
      <c r="S144" t="n">
        <v>0</v>
      </c>
      <c r="T144" t="n">
        <v>0</v>
      </c>
      <c r="U144" t="n">
        <v>0</v>
      </c>
      <c r="V144" t="n">
        <v>8.19</v>
      </c>
      <c r="W144" t="n">
        <v>171.99</v>
      </c>
      <c r="X144" t="n">
        <v>163.8</v>
      </c>
      <c r="Y144" t="n">
        <v>19</v>
      </c>
      <c r="Z144" t="n">
        <v>31.12</v>
      </c>
      <c r="AA144" t="n">
        <v>3.16</v>
      </c>
      <c r="AB144" t="n">
        <v>34.28</v>
      </c>
      <c r="AC144" t="n">
        <v>6.17</v>
      </c>
      <c r="AD144" t="n">
        <v>0</v>
      </c>
      <c r="AE144" t="n">
        <v>163.8</v>
      </c>
      <c r="AF144" t="n">
        <v>0</v>
      </c>
      <c r="AG144" t="n">
        <v>0</v>
      </c>
      <c r="AH144" t="n">
        <v>0.16</v>
      </c>
      <c r="AI144" t="n">
        <v>8.199999999999999</v>
      </c>
      <c r="AJ144" t="n">
        <v>-0.01</v>
      </c>
      <c r="AK144" t="n">
        <v>14.53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48.81</v>
      </c>
      <c r="AV144" t="n">
        <v>0</v>
      </c>
      <c r="AW144" t="n">
        <v>123.18</v>
      </c>
      <c r="AX144" t="inlineStr">
        <is>
          <t>settled</t>
        </is>
      </c>
      <c r="AY144" t="inlineStr">
        <is>
          <t>2026-01-14 05:30:00</t>
        </is>
      </c>
      <c r="AZ144" t="inlineStr">
        <is>
          <t>CITIN26605478364</t>
        </is>
      </c>
      <c r="BA144" t="n">
        <v>0</v>
      </c>
      <c r="BB144" t="inlineStr">
        <is>
          <t>02c64a40bd47010f8d2f3b80673826bb2eef711364806eeeb63d21660421d832</t>
        </is>
      </c>
    </row>
    <row r="145">
      <c r="A145" t="inlineStr">
        <is>
          <t>140</t>
        </is>
      </c>
      <c r="B145" t="inlineStr">
        <is>
          <t>7666868355</t>
        </is>
      </c>
      <c r="C145" t="inlineStr">
        <is>
          <t>2026-01-08 02:54:09</t>
        </is>
      </c>
      <c r="D145" t="inlineStr">
        <is>
          <t>2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30% off upto ₹75 (2025-06-25 - 2031-01-01)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68.7</v>
      </c>
      <c r="S145" t="n">
        <v>0</v>
      </c>
      <c r="T145" t="n">
        <v>0</v>
      </c>
      <c r="U145" t="n">
        <v>0</v>
      </c>
      <c r="V145" t="n">
        <v>8.19</v>
      </c>
      <c r="W145" t="n">
        <v>171.99</v>
      </c>
      <c r="X145" t="n">
        <v>163.8</v>
      </c>
      <c r="Y145" t="n">
        <v>19</v>
      </c>
      <c r="Z145" t="n">
        <v>31.12</v>
      </c>
      <c r="AA145" t="n">
        <v>3.16</v>
      </c>
      <c r="AB145" t="n">
        <v>34.28</v>
      </c>
      <c r="AC145" t="n">
        <v>6.17</v>
      </c>
      <c r="AD145" t="n">
        <v>0</v>
      </c>
      <c r="AE145" t="n">
        <v>163.8</v>
      </c>
      <c r="AF145" t="n">
        <v>0</v>
      </c>
      <c r="AG145" t="n">
        <v>0</v>
      </c>
      <c r="AH145" t="n">
        <v>0.16</v>
      </c>
      <c r="AI145" t="n">
        <v>8.199999999999999</v>
      </c>
      <c r="AJ145" t="n">
        <v>-0.01</v>
      </c>
      <c r="AK145" t="n">
        <v>14.53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48.81</v>
      </c>
      <c r="AV145" t="n">
        <v>0</v>
      </c>
      <c r="AW145" t="n">
        <v>123.18</v>
      </c>
      <c r="AX145" t="inlineStr">
        <is>
          <t>settled</t>
        </is>
      </c>
      <c r="AY145" t="inlineStr">
        <is>
          <t>2026-01-14 05:30:00</t>
        </is>
      </c>
      <c r="AZ145" t="inlineStr">
        <is>
          <t>CITIN26605478364</t>
        </is>
      </c>
      <c r="BA145" t="n">
        <v>0</v>
      </c>
      <c r="BB145" t="inlineStr">
        <is>
          <t>52486cee711af870a1fd0453142ed247c88111d3efb2eb93b2365d42e399e3ef</t>
        </is>
      </c>
    </row>
    <row r="146">
      <c r="A146" t="inlineStr">
        <is>
          <t>141</t>
        </is>
      </c>
      <c r="B146" t="inlineStr">
        <is>
          <t>7654040470</t>
        </is>
      </c>
      <c r="C146" t="inlineStr">
        <is>
          <t>2026-01-08 03:19:04</t>
        </is>
      </c>
      <c r="D146" t="inlineStr">
        <is>
          <t>2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30% off upto ₹75 (2025-06-25 - 2031-01-01)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68.7</v>
      </c>
      <c r="S146" t="n">
        <v>0</v>
      </c>
      <c r="T146" t="n">
        <v>0</v>
      </c>
      <c r="U146" t="n">
        <v>0</v>
      </c>
      <c r="V146" t="n">
        <v>8.19</v>
      </c>
      <c r="W146" t="n">
        <v>171.99</v>
      </c>
      <c r="X146" t="n">
        <v>163.8</v>
      </c>
      <c r="Y146" t="n">
        <v>19</v>
      </c>
      <c r="Z146" t="n">
        <v>31.12</v>
      </c>
      <c r="AA146" t="n">
        <v>3.16</v>
      </c>
      <c r="AB146" t="n">
        <v>34.28</v>
      </c>
      <c r="AC146" t="n">
        <v>6.17</v>
      </c>
      <c r="AD146" t="n">
        <v>0</v>
      </c>
      <c r="AE146" t="n">
        <v>163.8</v>
      </c>
      <c r="AF146" t="n">
        <v>0</v>
      </c>
      <c r="AG146" t="n">
        <v>0</v>
      </c>
      <c r="AH146" t="n">
        <v>0.16</v>
      </c>
      <c r="AI146" t="n">
        <v>8.199999999999999</v>
      </c>
      <c r="AJ146" t="n">
        <v>-0.01</v>
      </c>
      <c r="AK146" t="n">
        <v>14.53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48.81</v>
      </c>
      <c r="AV146" t="n">
        <v>0</v>
      </c>
      <c r="AW146" t="n">
        <v>123.18</v>
      </c>
      <c r="AX146" t="inlineStr">
        <is>
          <t>settled</t>
        </is>
      </c>
      <c r="AY146" t="inlineStr">
        <is>
          <t>2026-01-14 05:30:00</t>
        </is>
      </c>
      <c r="AZ146" t="inlineStr">
        <is>
          <t>CITIN26605478364</t>
        </is>
      </c>
      <c r="BA146" t="n">
        <v>0</v>
      </c>
      <c r="BB146" t="inlineStr">
        <is>
          <t>7c260a360edc35a1e45904e849f37430a3edf5ff7f4b8962d2ccaf6134bd4f14</t>
        </is>
      </c>
    </row>
    <row r="147">
      <c r="A147" t="inlineStr">
        <is>
          <t>142</t>
        </is>
      </c>
      <c r="B147" t="inlineStr">
        <is>
          <t>7668310481</t>
        </is>
      </c>
      <c r="C147" t="inlineStr">
        <is>
          <t>2026-01-08 03:21:18</t>
        </is>
      </c>
      <c r="D147" t="inlineStr">
        <is>
          <t>2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30% off upto ₹75 (2025-06-25 - 2031-01-01)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229</v>
      </c>
      <c r="P147" t="n">
        <v>3.5</v>
      </c>
      <c r="Q147" t="n">
        <v>0</v>
      </c>
      <c r="R147" t="n">
        <v>68.7</v>
      </c>
      <c r="S147" t="n">
        <v>0</v>
      </c>
      <c r="T147" t="n">
        <v>0</v>
      </c>
      <c r="U147" t="n">
        <v>0</v>
      </c>
      <c r="V147" t="n">
        <v>8.19</v>
      </c>
      <c r="W147" t="n">
        <v>171.99</v>
      </c>
      <c r="X147" t="n">
        <v>163.8</v>
      </c>
      <c r="Y147" t="n">
        <v>19</v>
      </c>
      <c r="Z147" t="n">
        <v>31.12</v>
      </c>
      <c r="AA147" t="n">
        <v>3.16</v>
      </c>
      <c r="AB147" t="n">
        <v>34.28</v>
      </c>
      <c r="AC147" t="n">
        <v>6.17</v>
      </c>
      <c r="AD147" t="n">
        <v>0</v>
      </c>
      <c r="AE147" t="n">
        <v>163.8</v>
      </c>
      <c r="AF147" t="n">
        <v>0</v>
      </c>
      <c r="AG147" t="n">
        <v>0</v>
      </c>
      <c r="AH147" t="n">
        <v>0.16</v>
      </c>
      <c r="AI147" t="n">
        <v>8.199999999999999</v>
      </c>
      <c r="AJ147" t="n">
        <v>-0.01</v>
      </c>
      <c r="AK147" t="n">
        <v>14.53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48.81</v>
      </c>
      <c r="AV147" t="n">
        <v>0</v>
      </c>
      <c r="AW147" t="n">
        <v>123.18</v>
      </c>
      <c r="AX147" t="inlineStr">
        <is>
          <t>settled</t>
        </is>
      </c>
      <c r="AY147" t="inlineStr">
        <is>
          <t>2026-01-14 05:30:00</t>
        </is>
      </c>
      <c r="AZ147" t="inlineStr">
        <is>
          <t>CITIN26605478364</t>
        </is>
      </c>
      <c r="BA147" t="n">
        <v>0</v>
      </c>
      <c r="BB147" t="inlineStr">
        <is>
          <t>48977de9fe52bc7dfef184540852136163d58477147f43aef06a008b21b868c9</t>
        </is>
      </c>
    </row>
    <row r="148">
      <c r="A148" t="inlineStr">
        <is>
          <t>143</t>
        </is>
      </c>
      <c r="B148" t="inlineStr">
        <is>
          <t>7667620742</t>
        </is>
      </c>
      <c r="C148" t="inlineStr">
        <is>
          <t>2026-01-08 04:07:51</t>
        </is>
      </c>
      <c r="D148" t="inlineStr">
        <is>
          <t>2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settled</t>
        </is>
      </c>
      <c r="AY148" t="inlineStr">
        <is>
          <t>2026-01-14 05:30:00</t>
        </is>
      </c>
      <c r="AZ148" t="inlineStr">
        <is>
          <t>CITIN26605478364</t>
        </is>
      </c>
      <c r="BA148" t="n">
        <v>0</v>
      </c>
      <c r="BB148" t="inlineStr">
        <is>
          <t>54d5a099dd0ae1a57757c17528abfc015fd725c85e1fd4455d2bd4ff5d06e4b8</t>
        </is>
      </c>
    </row>
    <row r="149">
      <c r="A149" t="inlineStr">
        <is>
          <t>144</t>
        </is>
      </c>
      <c r="B149" t="inlineStr">
        <is>
          <t>7660637694</t>
        </is>
      </c>
      <c r="C149" t="inlineStr">
        <is>
          <t>2026-01-08 12:45:04</t>
        </is>
      </c>
      <c r="D149" t="inlineStr">
        <is>
          <t>2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229</v>
      </c>
      <c r="P149" t="n">
        <v>3.5</v>
      </c>
      <c r="Q149" t="n">
        <v>0</v>
      </c>
      <c r="R149" t="n">
        <v>68.7</v>
      </c>
      <c r="S149" t="n">
        <v>0</v>
      </c>
      <c r="T149" t="n">
        <v>0</v>
      </c>
      <c r="U149" t="n">
        <v>0</v>
      </c>
      <c r="V149" t="n">
        <v>8.19</v>
      </c>
      <c r="W149" t="n">
        <v>171.99</v>
      </c>
      <c r="X149" t="n">
        <v>163.8</v>
      </c>
      <c r="Y149" t="n">
        <v>19</v>
      </c>
      <c r="Z149" t="n">
        <v>31.12</v>
      </c>
      <c r="AA149" t="n">
        <v>3.16</v>
      </c>
      <c r="AB149" t="n">
        <v>34.28</v>
      </c>
      <c r="AC149" t="n">
        <v>6.17</v>
      </c>
      <c r="AD149" t="n">
        <v>0</v>
      </c>
      <c r="AE149" t="n">
        <v>163.8</v>
      </c>
      <c r="AF149" t="n">
        <v>0</v>
      </c>
      <c r="AG149" t="n">
        <v>0</v>
      </c>
      <c r="AH149" t="n">
        <v>0.16</v>
      </c>
      <c r="AI149" t="n">
        <v>8.199999999999999</v>
      </c>
      <c r="AJ149" t="n">
        <v>-0.01</v>
      </c>
      <c r="AK149" t="n">
        <v>14.53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48.81</v>
      </c>
      <c r="AV149" t="n">
        <v>0</v>
      </c>
      <c r="AW149" t="n">
        <v>123.18</v>
      </c>
      <c r="AX149" t="inlineStr">
        <is>
          <t>settled</t>
        </is>
      </c>
      <c r="AY149" t="inlineStr">
        <is>
          <t>2026-01-14 05:30:00</t>
        </is>
      </c>
      <c r="AZ149" t="inlineStr">
        <is>
          <t>CITIN26605478364</t>
        </is>
      </c>
      <c r="BA149" t="n">
        <v>0</v>
      </c>
      <c r="BB149" t="inlineStr">
        <is>
          <t>e09ef2bed83d533b151188b819e42d7e397630d3d73acf3730ef204d0f4fde06</t>
        </is>
      </c>
    </row>
    <row r="150">
      <c r="A150" t="inlineStr">
        <is>
          <t>145</t>
        </is>
      </c>
      <c r="B150" t="inlineStr">
        <is>
          <t>7663887582</t>
        </is>
      </c>
      <c r="C150" t="inlineStr">
        <is>
          <t>2026-01-08 12:59:00</t>
        </is>
      </c>
      <c r="D150" t="inlineStr">
        <is>
          <t>2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NA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229</v>
      </c>
      <c r="P150" t="n">
        <v>3.5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11.63</v>
      </c>
      <c r="W150" t="n">
        <v>244.13</v>
      </c>
      <c r="X150" t="n">
        <v>232.5</v>
      </c>
      <c r="Y150" t="n">
        <v>19</v>
      </c>
      <c r="Z150" t="n">
        <v>44.18</v>
      </c>
      <c r="AA150" t="n">
        <v>4.49</v>
      </c>
      <c r="AB150" t="n">
        <v>48.67</v>
      </c>
      <c r="AC150" t="n">
        <v>8.76</v>
      </c>
      <c r="AD150" t="n">
        <v>0</v>
      </c>
      <c r="AE150" t="n">
        <v>232.5</v>
      </c>
      <c r="AF150" t="n">
        <v>0</v>
      </c>
      <c r="AG150" t="n">
        <v>0</v>
      </c>
      <c r="AH150" t="n">
        <v>0.23</v>
      </c>
      <c r="AI150" t="n">
        <v>11.63</v>
      </c>
      <c r="AJ150" t="n">
        <v>0</v>
      </c>
      <c r="AK150" t="n">
        <v>20.62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69.29000000000001</v>
      </c>
      <c r="AV150" t="n">
        <v>0</v>
      </c>
      <c r="AW150" t="n">
        <v>174.84</v>
      </c>
      <c r="AX150" t="inlineStr">
        <is>
          <t>settled</t>
        </is>
      </c>
      <c r="AY150" t="inlineStr">
        <is>
          <t>2026-01-14 05:30:00</t>
        </is>
      </c>
      <c r="AZ150" t="inlineStr">
        <is>
          <t>CITIN26605478364</t>
        </is>
      </c>
      <c r="BA150" t="n">
        <v>0</v>
      </c>
      <c r="BB150" t="inlineStr">
        <is>
          <t>bbe7cbc11856a1ec5c46b2be96abf6e8ded1d3ea7af8685611b9696e7e20dd85</t>
        </is>
      </c>
    </row>
    <row r="151">
      <c r="A151" t="inlineStr">
        <is>
          <t>146</t>
        </is>
      </c>
      <c r="B151" t="inlineStr">
        <is>
          <t>7652858426</t>
        </is>
      </c>
      <c r="C151" t="inlineStr">
        <is>
          <t>2026-01-08 13:00:31</t>
        </is>
      </c>
      <c r="D151" t="inlineStr">
        <is>
          <t>2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NA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11.63</v>
      </c>
      <c r="W151" t="n">
        <v>244.13</v>
      </c>
      <c r="X151" t="n">
        <v>232.5</v>
      </c>
      <c r="Y151" t="n">
        <v>19</v>
      </c>
      <c r="Z151" t="n">
        <v>44.18</v>
      </c>
      <c r="AA151" t="n">
        <v>4.49</v>
      </c>
      <c r="AB151" t="n">
        <v>48.67</v>
      </c>
      <c r="AC151" t="n">
        <v>8.76</v>
      </c>
      <c r="AD151" t="n">
        <v>0</v>
      </c>
      <c r="AE151" t="n">
        <v>232.5</v>
      </c>
      <c r="AF151" t="n">
        <v>0</v>
      </c>
      <c r="AG151" t="n">
        <v>0</v>
      </c>
      <c r="AH151" t="n">
        <v>0.23</v>
      </c>
      <c r="AI151" t="n">
        <v>11.63</v>
      </c>
      <c r="AJ151" t="n">
        <v>0</v>
      </c>
      <c r="AK151" t="n">
        <v>20.62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69.29000000000001</v>
      </c>
      <c r="AV151" t="n">
        <v>0</v>
      </c>
      <c r="AW151" t="n">
        <v>174.84</v>
      </c>
      <c r="AX151" t="inlineStr">
        <is>
          <t>settled</t>
        </is>
      </c>
      <c r="AY151" t="inlineStr">
        <is>
          <t>2026-01-14 05:30:00</t>
        </is>
      </c>
      <c r="AZ151" t="inlineStr">
        <is>
          <t>CITIN26605478364</t>
        </is>
      </c>
      <c r="BA151" t="n">
        <v>0</v>
      </c>
      <c r="BB151" t="inlineStr">
        <is>
          <t>69fabb6c880956766681f7463e89ec0a12baf6575c69ceccd1fb3165f5e0cc6f</t>
        </is>
      </c>
    </row>
    <row r="152">
      <c r="A152" t="inlineStr">
        <is>
          <t>147</t>
        </is>
      </c>
      <c r="B152" t="inlineStr">
        <is>
          <t>7668204479</t>
        </is>
      </c>
      <c r="C152" t="inlineStr">
        <is>
          <t>2026-01-08 14:02:13</t>
        </is>
      </c>
      <c r="D152" t="inlineStr">
        <is>
          <t>2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448</v>
      </c>
      <c r="P152" t="n">
        <v>3.5</v>
      </c>
      <c r="Q152" t="n">
        <v>0</v>
      </c>
      <c r="R152" t="n">
        <v>75</v>
      </c>
      <c r="S152" t="n">
        <v>0</v>
      </c>
      <c r="T152" t="n">
        <v>0</v>
      </c>
      <c r="U152" t="n">
        <v>0</v>
      </c>
      <c r="V152" t="n">
        <v>18.83</v>
      </c>
      <c r="W152" t="n">
        <v>395.33</v>
      </c>
      <c r="X152" t="n">
        <v>376.5</v>
      </c>
      <c r="Y152" t="n">
        <v>19</v>
      </c>
      <c r="Z152" t="n">
        <v>71.54000000000001</v>
      </c>
      <c r="AA152" t="n">
        <v>7.27</v>
      </c>
      <c r="AB152" t="n">
        <v>78.81</v>
      </c>
      <c r="AC152" t="n">
        <v>14.19</v>
      </c>
      <c r="AD152" t="n">
        <v>0</v>
      </c>
      <c r="AE152" t="n">
        <v>376.5</v>
      </c>
      <c r="AF152" t="n">
        <v>0</v>
      </c>
      <c r="AG152" t="n">
        <v>0</v>
      </c>
      <c r="AH152" t="n">
        <v>0.38</v>
      </c>
      <c r="AI152" t="n">
        <v>18.83</v>
      </c>
      <c r="AJ152" t="n">
        <v>0</v>
      </c>
      <c r="AK152" t="n">
        <v>33.4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112.21</v>
      </c>
      <c r="AV152" t="n">
        <v>0</v>
      </c>
      <c r="AW152" t="n">
        <v>283.12</v>
      </c>
      <c r="AX152" t="inlineStr">
        <is>
          <t>settled</t>
        </is>
      </c>
      <c r="AY152" t="inlineStr">
        <is>
          <t>2026-01-14 05:30:00</t>
        </is>
      </c>
      <c r="AZ152" t="inlineStr">
        <is>
          <t>CITIN26605478364</t>
        </is>
      </c>
      <c r="BA152" t="n">
        <v>0</v>
      </c>
      <c r="BB152" t="inlineStr">
        <is>
          <t>0898d551dd7310dee939b63308bf66267ff1f5d9639adef932b61bda28a85480</t>
        </is>
      </c>
    </row>
    <row r="153">
      <c r="A153" t="inlineStr">
        <is>
          <t>148</t>
        </is>
      </c>
      <c r="B153" t="inlineStr">
        <is>
          <t>7660037133</t>
        </is>
      </c>
      <c r="C153" t="inlineStr">
        <is>
          <t>2026-01-08 14:24:02</t>
        </is>
      </c>
      <c r="D153" t="inlineStr">
        <is>
          <t>2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30% off upto ₹75 (2025-06-25 - 2031-01-01)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687</v>
      </c>
      <c r="P153" t="n">
        <v>3.5</v>
      </c>
      <c r="Q153" t="n">
        <v>0</v>
      </c>
      <c r="R153" t="n">
        <v>75</v>
      </c>
      <c r="S153" t="n">
        <v>0</v>
      </c>
      <c r="T153" t="n">
        <v>0</v>
      </c>
      <c r="U153" t="n">
        <v>0</v>
      </c>
      <c r="V153" t="n">
        <v>30.78</v>
      </c>
      <c r="W153" t="n">
        <v>646.28</v>
      </c>
      <c r="X153" t="n">
        <v>615.5</v>
      </c>
      <c r="Y153" t="n">
        <v>19</v>
      </c>
      <c r="Z153" t="n">
        <v>116.94</v>
      </c>
      <c r="AA153" t="n">
        <v>11.89</v>
      </c>
      <c r="AB153" t="n">
        <v>128.83</v>
      </c>
      <c r="AC153" t="n">
        <v>23.19</v>
      </c>
      <c r="AD153" t="n">
        <v>0</v>
      </c>
      <c r="AE153" t="n">
        <v>615.5</v>
      </c>
      <c r="AF153" t="n">
        <v>0</v>
      </c>
      <c r="AG153" t="n">
        <v>0</v>
      </c>
      <c r="AH153" t="n">
        <v>0.62</v>
      </c>
      <c r="AI153" t="n">
        <v>30.78</v>
      </c>
      <c r="AJ153" t="n">
        <v>0</v>
      </c>
      <c r="AK153" t="n">
        <v>54.59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183.42</v>
      </c>
      <c r="AV153" t="n">
        <v>0</v>
      </c>
      <c r="AW153" t="n">
        <v>462.86</v>
      </c>
      <c r="AX153" t="inlineStr">
        <is>
          <t>settled</t>
        </is>
      </c>
      <c r="AY153" t="inlineStr">
        <is>
          <t>2026-01-14 05:30:00</t>
        </is>
      </c>
      <c r="AZ153" t="inlineStr">
        <is>
          <t>CITIN26605478364</t>
        </is>
      </c>
      <c r="BA153" t="n">
        <v>0</v>
      </c>
      <c r="BB153" t="inlineStr">
        <is>
          <t>8592b4c15c2f0e74c725934e394774fc7eeb899a95cd9196c67e5d34908c889c</t>
        </is>
      </c>
    </row>
    <row r="154">
      <c r="A154" t="inlineStr">
        <is>
          <t>149</t>
        </is>
      </c>
      <c r="B154" t="inlineStr">
        <is>
          <t>7668827206</t>
        </is>
      </c>
      <c r="C154" t="inlineStr">
        <is>
          <t>2026-01-08 14:44:31</t>
        </is>
      </c>
      <c r="D154" t="inlineStr">
        <is>
          <t>2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30% off upto ₹75 (2025-06-25 - 2031-01-01)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289</v>
      </c>
      <c r="P154" t="n">
        <v>3.5</v>
      </c>
      <c r="Q154" t="n">
        <v>0</v>
      </c>
      <c r="R154" t="n">
        <v>75</v>
      </c>
      <c r="S154" t="n">
        <v>0</v>
      </c>
      <c r="T154" t="n">
        <v>0</v>
      </c>
      <c r="U154" t="n">
        <v>0</v>
      </c>
      <c r="V154" t="n">
        <v>10.88</v>
      </c>
      <c r="W154" t="n">
        <v>228.38</v>
      </c>
      <c r="X154" t="n">
        <v>217.5</v>
      </c>
      <c r="Y154" t="n">
        <v>19</v>
      </c>
      <c r="Z154" t="n">
        <v>41.32</v>
      </c>
      <c r="AA154" t="n">
        <v>4.2</v>
      </c>
      <c r="AB154" t="n">
        <v>45.52</v>
      </c>
      <c r="AC154" t="n">
        <v>8.199999999999999</v>
      </c>
      <c r="AD154" t="n">
        <v>0</v>
      </c>
      <c r="AE154" t="n">
        <v>217.5</v>
      </c>
      <c r="AF154" t="n">
        <v>0</v>
      </c>
      <c r="AG154" t="n">
        <v>0</v>
      </c>
      <c r="AH154" t="n">
        <v>0.22</v>
      </c>
      <c r="AI154" t="n">
        <v>10.88</v>
      </c>
      <c r="AJ154" t="n">
        <v>0</v>
      </c>
      <c r="AK154" t="n">
        <v>19.3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64.81999999999999</v>
      </c>
      <c r="AV154" t="n">
        <v>0</v>
      </c>
      <c r="AW154" t="n">
        <v>163.56</v>
      </c>
      <c r="AX154" t="inlineStr">
        <is>
          <t>settled</t>
        </is>
      </c>
      <c r="AY154" t="inlineStr">
        <is>
          <t>2026-01-14 05:30:00</t>
        </is>
      </c>
      <c r="AZ154" t="inlineStr">
        <is>
          <t>CITIN26605478364</t>
        </is>
      </c>
      <c r="BA154" t="n">
        <v>0</v>
      </c>
      <c r="BB154" t="inlineStr">
        <is>
          <t>f93f8dd4aa098e10baf12687b2107f2eef616ad1c4d157d0fcb43b2ec97683e6</t>
        </is>
      </c>
    </row>
    <row r="155">
      <c r="A155" t="inlineStr">
        <is>
          <t>150</t>
        </is>
      </c>
      <c r="B155" t="inlineStr">
        <is>
          <t>7659991518</t>
        </is>
      </c>
      <c r="C155" t="inlineStr">
        <is>
          <t>2026-01-08 14:57:11</t>
        </is>
      </c>
      <c r="D155" t="inlineStr">
        <is>
          <t>2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NA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229</v>
      </c>
      <c r="P155" t="n">
        <v>3.5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11.63</v>
      </c>
      <c r="W155" t="n">
        <v>244.13</v>
      </c>
      <c r="X155" t="n">
        <v>232.5</v>
      </c>
      <c r="Y155" t="n">
        <v>19</v>
      </c>
      <c r="Z155" t="n">
        <v>44.18</v>
      </c>
      <c r="AA155" t="n">
        <v>4.49</v>
      </c>
      <c r="AB155" t="n">
        <v>48.67</v>
      </c>
      <c r="AC155" t="n">
        <v>8.76</v>
      </c>
      <c r="AD155" t="n">
        <v>0</v>
      </c>
      <c r="AE155" t="n">
        <v>232.5</v>
      </c>
      <c r="AF155" t="n">
        <v>0</v>
      </c>
      <c r="AG155" t="n">
        <v>0</v>
      </c>
      <c r="AH155" t="n">
        <v>0.23</v>
      </c>
      <c r="AI155" t="n">
        <v>11.63</v>
      </c>
      <c r="AJ155" t="n">
        <v>0</v>
      </c>
      <c r="AK155" t="n">
        <v>20.62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69.29000000000001</v>
      </c>
      <c r="AV155" t="n">
        <v>0</v>
      </c>
      <c r="AW155" t="n">
        <v>174.84</v>
      </c>
      <c r="AX155" t="inlineStr">
        <is>
          <t>settled</t>
        </is>
      </c>
      <c r="AY155" t="inlineStr">
        <is>
          <t>2026-01-14 05:30:00</t>
        </is>
      </c>
      <c r="AZ155" t="inlineStr">
        <is>
          <t>CITIN26605478364</t>
        </is>
      </c>
      <c r="BA155" t="n">
        <v>0</v>
      </c>
      <c r="BB155" t="inlineStr">
        <is>
          <t>cee49eec92da90f655f02ca36467c9fb2ce0e80bf7448381504c57f762495199</t>
        </is>
      </c>
    </row>
    <row r="156">
      <c r="A156" t="inlineStr">
        <is>
          <t>151</t>
        </is>
      </c>
      <c r="B156" t="inlineStr">
        <is>
          <t>7667774229</t>
        </is>
      </c>
      <c r="C156" t="inlineStr">
        <is>
          <t>2026-01-08 15:02:52</t>
        </is>
      </c>
      <c r="D156" t="inlineStr">
        <is>
          <t>2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30% off upto ₹75 (2025-06-25 - 2031-01-01)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229</v>
      </c>
      <c r="P156" t="n">
        <v>3.5</v>
      </c>
      <c r="Q156" t="n">
        <v>0</v>
      </c>
      <c r="R156" t="n">
        <v>68.7</v>
      </c>
      <c r="S156" t="n">
        <v>0</v>
      </c>
      <c r="T156" t="n">
        <v>0</v>
      </c>
      <c r="U156" t="n">
        <v>0</v>
      </c>
      <c r="V156" t="n">
        <v>8.19</v>
      </c>
      <c r="W156" t="n">
        <v>171.99</v>
      </c>
      <c r="X156" t="n">
        <v>163.8</v>
      </c>
      <c r="Y156" t="n">
        <v>19</v>
      </c>
      <c r="Z156" t="n">
        <v>31.12</v>
      </c>
      <c r="AA156" t="n">
        <v>3.16</v>
      </c>
      <c r="AB156" t="n">
        <v>34.28</v>
      </c>
      <c r="AC156" t="n">
        <v>6.17</v>
      </c>
      <c r="AD156" t="n">
        <v>0</v>
      </c>
      <c r="AE156" t="n">
        <v>163.8</v>
      </c>
      <c r="AF156" t="n">
        <v>0</v>
      </c>
      <c r="AG156" t="n">
        <v>0</v>
      </c>
      <c r="AH156" t="n">
        <v>0.16</v>
      </c>
      <c r="AI156" t="n">
        <v>8.199999999999999</v>
      </c>
      <c r="AJ156" t="n">
        <v>-0.01</v>
      </c>
      <c r="AK156" t="n">
        <v>14.53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48.81</v>
      </c>
      <c r="AV156" t="n">
        <v>0</v>
      </c>
      <c r="AW156" t="n">
        <v>123.18</v>
      </c>
      <c r="AX156" t="inlineStr">
        <is>
          <t>settled</t>
        </is>
      </c>
      <c r="AY156" t="inlineStr">
        <is>
          <t>2026-01-14 05:30:00</t>
        </is>
      </c>
      <c r="AZ156" t="inlineStr">
        <is>
          <t>CITIN26605478364</t>
        </is>
      </c>
      <c r="BA156" t="n">
        <v>0</v>
      </c>
      <c r="BB156" t="inlineStr">
        <is>
          <t>e9ba4ad17920e6044f99a38224f9e65b4699fd4d84cce5ae7ef04db85a500aa7</t>
        </is>
      </c>
    </row>
    <row r="157">
      <c r="A157" t="inlineStr">
        <is>
          <t>152</t>
        </is>
      </c>
      <c r="B157" t="inlineStr">
        <is>
          <t>7667142169</t>
        </is>
      </c>
      <c r="C157" t="inlineStr">
        <is>
          <t>2026-01-08 15:23:18</t>
        </is>
      </c>
      <c r="D157" t="inlineStr">
        <is>
          <t>2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NA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229</v>
      </c>
      <c r="P157" t="n">
        <v>3.5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11.63</v>
      </c>
      <c r="W157" t="n">
        <v>244.13</v>
      </c>
      <c r="X157" t="n">
        <v>232.5</v>
      </c>
      <c r="Y157" t="n">
        <v>19</v>
      </c>
      <c r="Z157" t="n">
        <v>44.18</v>
      </c>
      <c r="AA157" t="n">
        <v>4.49</v>
      </c>
      <c r="AB157" t="n">
        <v>48.67</v>
      </c>
      <c r="AC157" t="n">
        <v>8.76</v>
      </c>
      <c r="AD157" t="n">
        <v>0</v>
      </c>
      <c r="AE157" t="n">
        <v>232.5</v>
      </c>
      <c r="AF157" t="n">
        <v>0</v>
      </c>
      <c r="AG157" t="n">
        <v>0</v>
      </c>
      <c r="AH157" t="n">
        <v>0.23</v>
      </c>
      <c r="AI157" t="n">
        <v>11.63</v>
      </c>
      <c r="AJ157" t="n">
        <v>0</v>
      </c>
      <c r="AK157" t="n">
        <v>20.62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69.29000000000001</v>
      </c>
      <c r="AV157" t="n">
        <v>0</v>
      </c>
      <c r="AW157" t="n">
        <v>174.84</v>
      </c>
      <c r="AX157" t="inlineStr">
        <is>
          <t>settled</t>
        </is>
      </c>
      <c r="AY157" t="inlineStr">
        <is>
          <t>2026-01-14 05:30:00</t>
        </is>
      </c>
      <c r="AZ157" t="inlineStr">
        <is>
          <t>CITIN26605478364</t>
        </is>
      </c>
      <c r="BA157" t="n">
        <v>0</v>
      </c>
      <c r="BB157" t="inlineStr">
        <is>
          <t>2c70419a9d9960052c1c4d4810f742b6b79843c037f15b92e84c72262de7934b</t>
        </is>
      </c>
    </row>
    <row r="158">
      <c r="A158" t="inlineStr">
        <is>
          <t>153</t>
        </is>
      </c>
      <c r="B158" t="inlineStr">
        <is>
          <t>7666011012</t>
        </is>
      </c>
      <c r="C158" t="inlineStr">
        <is>
          <t>2026-01-08 16:19:22</t>
        </is>
      </c>
      <c r="D158" t="inlineStr">
        <is>
          <t>2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229</v>
      </c>
      <c r="P158" t="n">
        <v>3.5</v>
      </c>
      <c r="Q158" t="n">
        <v>0</v>
      </c>
      <c r="R158" t="n">
        <v>68.7</v>
      </c>
      <c r="S158" t="n">
        <v>0</v>
      </c>
      <c r="T158" t="n">
        <v>0</v>
      </c>
      <c r="U158" t="n">
        <v>0</v>
      </c>
      <c r="V158" t="n">
        <v>8.19</v>
      </c>
      <c r="W158" t="n">
        <v>171.99</v>
      </c>
      <c r="X158" t="n">
        <v>163.8</v>
      </c>
      <c r="Y158" t="n">
        <v>19</v>
      </c>
      <c r="Z158" t="n">
        <v>31.12</v>
      </c>
      <c r="AA158" t="n">
        <v>3.16</v>
      </c>
      <c r="AB158" t="n">
        <v>34.28</v>
      </c>
      <c r="AC158" t="n">
        <v>6.17</v>
      </c>
      <c r="AD158" t="n">
        <v>0</v>
      </c>
      <c r="AE158" t="n">
        <v>163.8</v>
      </c>
      <c r="AF158" t="n">
        <v>0</v>
      </c>
      <c r="AG158" t="n">
        <v>0</v>
      </c>
      <c r="AH158" t="n">
        <v>0.16</v>
      </c>
      <c r="AI158" t="n">
        <v>8.199999999999999</v>
      </c>
      <c r="AJ158" t="n">
        <v>-0.01</v>
      </c>
      <c r="AK158" t="n">
        <v>14.53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48.81</v>
      </c>
      <c r="AV158" t="n">
        <v>0</v>
      </c>
      <c r="AW158" t="n">
        <v>123.18</v>
      </c>
      <c r="AX158" t="inlineStr">
        <is>
          <t>settled</t>
        </is>
      </c>
      <c r="AY158" t="inlineStr">
        <is>
          <t>2026-01-14 05:30:00</t>
        </is>
      </c>
      <c r="AZ158" t="inlineStr">
        <is>
          <t>CITIN26605478364</t>
        </is>
      </c>
      <c r="BA158" t="n">
        <v>0</v>
      </c>
      <c r="BB158" t="inlineStr">
        <is>
          <t>e9b318c3501b4a2297c6bc3a2490d85afab860b5a6d825c5bd525576791e7ae2</t>
        </is>
      </c>
    </row>
    <row r="159">
      <c r="A159" t="inlineStr">
        <is>
          <t>154</t>
        </is>
      </c>
      <c r="B159" t="inlineStr">
        <is>
          <t>7644250836</t>
        </is>
      </c>
      <c r="C159" t="inlineStr">
        <is>
          <t>2026-01-08 16:52:12</t>
        </is>
      </c>
      <c r="D159" t="inlineStr">
        <is>
          <t>2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NA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219</v>
      </c>
      <c r="P159" t="n">
        <v>3.5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11.13</v>
      </c>
      <c r="W159" t="n">
        <v>233.63</v>
      </c>
      <c r="X159" t="n">
        <v>222.5</v>
      </c>
      <c r="Y159" t="n">
        <v>19</v>
      </c>
      <c r="Z159" t="n">
        <v>42.28</v>
      </c>
      <c r="AA159" t="n">
        <v>4.3</v>
      </c>
      <c r="AB159" t="n">
        <v>46.58</v>
      </c>
      <c r="AC159" t="n">
        <v>8.380000000000001</v>
      </c>
      <c r="AD159" t="n">
        <v>0</v>
      </c>
      <c r="AE159" t="n">
        <v>222.5</v>
      </c>
      <c r="AF159" t="n">
        <v>0</v>
      </c>
      <c r="AG159" t="n">
        <v>0</v>
      </c>
      <c r="AH159" t="n">
        <v>0.22</v>
      </c>
      <c r="AI159" t="n">
        <v>11.13</v>
      </c>
      <c r="AJ159" t="n">
        <v>0</v>
      </c>
      <c r="AK159" t="n">
        <v>19.73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66.31</v>
      </c>
      <c r="AV159" t="n">
        <v>0</v>
      </c>
      <c r="AW159" t="n">
        <v>167.32</v>
      </c>
      <c r="AX159" t="inlineStr">
        <is>
          <t>settled</t>
        </is>
      </c>
      <c r="AY159" t="inlineStr">
        <is>
          <t>2026-01-14 05:30:00</t>
        </is>
      </c>
      <c r="AZ159" t="inlineStr">
        <is>
          <t>CITIN26605478364</t>
        </is>
      </c>
      <c r="BA159" t="n">
        <v>0</v>
      </c>
      <c r="BB159" t="inlineStr">
        <is>
          <t>e142d58137ec1e557263c77a8e0833632d97f132f57c604f2a9d0b45a869be7a</t>
        </is>
      </c>
    </row>
    <row r="160">
      <c r="A160" t="inlineStr">
        <is>
          <t>155</t>
        </is>
      </c>
      <c r="B160" t="inlineStr">
        <is>
          <t>7658658930</t>
        </is>
      </c>
      <c r="C160" t="inlineStr">
        <is>
          <t>2026-01-08 17:01:04</t>
        </is>
      </c>
      <c r="D160" t="inlineStr">
        <is>
          <t>2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229</v>
      </c>
      <c r="P160" t="n">
        <v>3.5</v>
      </c>
      <c r="Q160" t="n">
        <v>0</v>
      </c>
      <c r="R160" t="n">
        <v>68.7</v>
      </c>
      <c r="S160" t="n">
        <v>0</v>
      </c>
      <c r="T160" t="n">
        <v>0</v>
      </c>
      <c r="U160" t="n">
        <v>0</v>
      </c>
      <c r="V160" t="n">
        <v>8.19</v>
      </c>
      <c r="W160" t="n">
        <v>171.99</v>
      </c>
      <c r="X160" t="n">
        <v>163.8</v>
      </c>
      <c r="Y160" t="n">
        <v>19</v>
      </c>
      <c r="Z160" t="n">
        <v>31.12</v>
      </c>
      <c r="AA160" t="n">
        <v>3.16</v>
      </c>
      <c r="AB160" t="n">
        <v>34.28</v>
      </c>
      <c r="AC160" t="n">
        <v>6.17</v>
      </c>
      <c r="AD160" t="n">
        <v>0</v>
      </c>
      <c r="AE160" t="n">
        <v>163.8</v>
      </c>
      <c r="AF160" t="n">
        <v>0</v>
      </c>
      <c r="AG160" t="n">
        <v>0</v>
      </c>
      <c r="AH160" t="n">
        <v>0.16</v>
      </c>
      <c r="AI160" t="n">
        <v>8.199999999999999</v>
      </c>
      <c r="AJ160" t="n">
        <v>-0.01</v>
      </c>
      <c r="AK160" t="n">
        <v>14.53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48.81</v>
      </c>
      <c r="AV160" t="n">
        <v>0</v>
      </c>
      <c r="AW160" t="n">
        <v>123.18</v>
      </c>
      <c r="AX160" t="inlineStr">
        <is>
          <t>settled</t>
        </is>
      </c>
      <c r="AY160" t="inlineStr">
        <is>
          <t>2026-01-14 05:30:00</t>
        </is>
      </c>
      <c r="AZ160" t="inlineStr">
        <is>
          <t>CITIN26605478364</t>
        </is>
      </c>
      <c r="BA160" t="n">
        <v>0</v>
      </c>
      <c r="BB160" t="inlineStr">
        <is>
          <t>5cc2f03c8590276779f39c01f69a689ec6d63720b29c8409995247ea800e30fa</t>
        </is>
      </c>
    </row>
    <row r="161">
      <c r="A161" t="inlineStr">
        <is>
          <t>156</t>
        </is>
      </c>
      <c r="B161" t="inlineStr">
        <is>
          <t>7667063491</t>
        </is>
      </c>
      <c r="C161" t="inlineStr">
        <is>
          <t>2026-01-08 17:07:00</t>
        </is>
      </c>
      <c r="D161" t="inlineStr">
        <is>
          <t>2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229</v>
      </c>
      <c r="P161" t="n">
        <v>3.5</v>
      </c>
      <c r="Q161" t="n">
        <v>0</v>
      </c>
      <c r="R161" t="n">
        <v>68.7</v>
      </c>
      <c r="S161" t="n">
        <v>0</v>
      </c>
      <c r="T161" t="n">
        <v>0</v>
      </c>
      <c r="U161" t="n">
        <v>0</v>
      </c>
      <c r="V161" t="n">
        <v>8.19</v>
      </c>
      <c r="W161" t="n">
        <v>171.99</v>
      </c>
      <c r="X161" t="n">
        <v>163.8</v>
      </c>
      <c r="Y161" t="n">
        <v>19</v>
      </c>
      <c r="Z161" t="n">
        <v>31.12</v>
      </c>
      <c r="AA161" t="n">
        <v>3.16</v>
      </c>
      <c r="AB161" t="n">
        <v>34.28</v>
      </c>
      <c r="AC161" t="n">
        <v>6.17</v>
      </c>
      <c r="AD161" t="n">
        <v>0</v>
      </c>
      <c r="AE161" t="n">
        <v>163.8</v>
      </c>
      <c r="AF161" t="n">
        <v>0</v>
      </c>
      <c r="AG161" t="n">
        <v>0</v>
      </c>
      <c r="AH161" t="n">
        <v>0.16</v>
      </c>
      <c r="AI161" t="n">
        <v>8.199999999999999</v>
      </c>
      <c r="AJ161" t="n">
        <v>-0.01</v>
      </c>
      <c r="AK161" t="n">
        <v>14.53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48.81</v>
      </c>
      <c r="AV161" t="n">
        <v>0</v>
      </c>
      <c r="AW161" t="n">
        <v>123.18</v>
      </c>
      <c r="AX161" t="inlineStr">
        <is>
          <t>settled</t>
        </is>
      </c>
      <c r="AY161" t="inlineStr">
        <is>
          <t>2026-01-14 05:30:00</t>
        </is>
      </c>
      <c r="AZ161" t="inlineStr">
        <is>
          <t>CITIN26605478364</t>
        </is>
      </c>
      <c r="BA161" t="n">
        <v>0</v>
      </c>
      <c r="BB161" t="inlineStr">
        <is>
          <t>683096cdd59dfcee62cbeb1ae20175adbbae62ab5f00ce72767e11af17be732a</t>
        </is>
      </c>
    </row>
    <row r="162">
      <c r="A162" t="inlineStr">
        <is>
          <t>157</t>
        </is>
      </c>
      <c r="B162" t="inlineStr">
        <is>
          <t>7668074091</t>
        </is>
      </c>
      <c r="C162" t="inlineStr">
        <is>
          <t>2026-01-08 17:40:16</t>
        </is>
      </c>
      <c r="D162" t="inlineStr">
        <is>
          <t>2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NA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11.63</v>
      </c>
      <c r="W162" t="n">
        <v>244.13</v>
      </c>
      <c r="X162" t="n">
        <v>232.5</v>
      </c>
      <c r="Y162" t="n">
        <v>19</v>
      </c>
      <c r="Z162" t="n">
        <v>44.18</v>
      </c>
      <c r="AA162" t="n">
        <v>4.49</v>
      </c>
      <c r="AB162" t="n">
        <v>48.67</v>
      </c>
      <c r="AC162" t="n">
        <v>8.76</v>
      </c>
      <c r="AD162" t="n">
        <v>0</v>
      </c>
      <c r="AE162" t="n">
        <v>232.5</v>
      </c>
      <c r="AF162" t="n">
        <v>0</v>
      </c>
      <c r="AG162" t="n">
        <v>0</v>
      </c>
      <c r="AH162" t="n">
        <v>0.23</v>
      </c>
      <c r="AI162" t="n">
        <v>11.63</v>
      </c>
      <c r="AJ162" t="n">
        <v>0</v>
      </c>
      <c r="AK162" t="n">
        <v>20.62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69.29000000000001</v>
      </c>
      <c r="AV162" t="n">
        <v>0</v>
      </c>
      <c r="AW162" t="n">
        <v>174.84</v>
      </c>
      <c r="AX162" t="inlineStr">
        <is>
          <t>settled</t>
        </is>
      </c>
      <c r="AY162" t="inlineStr">
        <is>
          <t>2026-01-14 05:30:00</t>
        </is>
      </c>
      <c r="AZ162" t="inlineStr">
        <is>
          <t>CITIN26605478364</t>
        </is>
      </c>
      <c r="BA162" t="n">
        <v>0</v>
      </c>
      <c r="BB162" t="inlineStr">
        <is>
          <t>66f9109d451f65658e47602abb95b90ba77893174f1b3489a1f354247a5965e1</t>
        </is>
      </c>
    </row>
    <row r="163">
      <c r="A163" t="inlineStr">
        <is>
          <t>158</t>
        </is>
      </c>
      <c r="B163" t="inlineStr">
        <is>
          <t>7667439068</t>
        </is>
      </c>
      <c r="C163" t="inlineStr">
        <is>
          <t>2026-01-08 18:25:44</t>
        </is>
      </c>
      <c r="D163" t="inlineStr">
        <is>
          <t>2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338</v>
      </c>
      <c r="P163" t="n">
        <v>3.5</v>
      </c>
      <c r="Q163" t="n">
        <v>0</v>
      </c>
      <c r="R163" t="n">
        <v>75</v>
      </c>
      <c r="S163" t="n">
        <v>0</v>
      </c>
      <c r="T163" t="n">
        <v>0</v>
      </c>
      <c r="U163" t="n">
        <v>0</v>
      </c>
      <c r="V163" t="n">
        <v>13.33</v>
      </c>
      <c r="W163" t="n">
        <v>279.83</v>
      </c>
      <c r="X163" t="n">
        <v>266.5</v>
      </c>
      <c r="Y163" t="n">
        <v>19</v>
      </c>
      <c r="Z163" t="n">
        <v>50.64</v>
      </c>
      <c r="AA163" t="n">
        <v>5.15</v>
      </c>
      <c r="AB163" t="n">
        <v>55.79</v>
      </c>
      <c r="AC163" t="n">
        <v>10.05</v>
      </c>
      <c r="AD163" t="n">
        <v>0</v>
      </c>
      <c r="AE163" t="n">
        <v>266.5</v>
      </c>
      <c r="AF163" t="n">
        <v>0</v>
      </c>
      <c r="AG163" t="n">
        <v>0</v>
      </c>
      <c r="AH163" t="n">
        <v>0.27</v>
      </c>
      <c r="AI163" t="n">
        <v>13.33</v>
      </c>
      <c r="AJ163" t="n">
        <v>0</v>
      </c>
      <c r="AK163" t="n">
        <v>23.65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79.44</v>
      </c>
      <c r="AV163" t="n">
        <v>0</v>
      </c>
      <c r="AW163" t="n">
        <v>200.39</v>
      </c>
      <c r="AX163" t="inlineStr">
        <is>
          <t>settled</t>
        </is>
      </c>
      <c r="AY163" t="inlineStr">
        <is>
          <t>2026-01-14 05:30:00</t>
        </is>
      </c>
      <c r="AZ163" t="inlineStr">
        <is>
          <t>CITIN26605478364</t>
        </is>
      </c>
      <c r="BA163" t="n">
        <v>0</v>
      </c>
      <c r="BB163" t="inlineStr">
        <is>
          <t>e8be4a53a534ff11c8f03ed366b9db48a25f12e678d2fcda4854acf1666bfc97</t>
        </is>
      </c>
    </row>
    <row r="164">
      <c r="A164" t="inlineStr">
        <is>
          <t>159</t>
        </is>
      </c>
      <c r="B164" t="inlineStr">
        <is>
          <t>7663249107</t>
        </is>
      </c>
      <c r="C164" t="inlineStr">
        <is>
          <t>2026-01-08 18:30:21</t>
        </is>
      </c>
      <c r="D164" t="inlineStr">
        <is>
          <t>2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30% off upto ₹75 (2025-06-25 - 2031-01-01)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229</v>
      </c>
      <c r="P164" t="n">
        <v>3.5</v>
      </c>
      <c r="Q164" t="n">
        <v>0</v>
      </c>
      <c r="R164" t="n">
        <v>68.7</v>
      </c>
      <c r="S164" t="n">
        <v>0</v>
      </c>
      <c r="T164" t="n">
        <v>0</v>
      </c>
      <c r="U164" t="n">
        <v>0</v>
      </c>
      <c r="V164" t="n">
        <v>8.19</v>
      </c>
      <c r="W164" t="n">
        <v>171.99</v>
      </c>
      <c r="X164" t="n">
        <v>163.8</v>
      </c>
      <c r="Y164" t="n">
        <v>19</v>
      </c>
      <c r="Z164" t="n">
        <v>31.12</v>
      </c>
      <c r="AA164" t="n">
        <v>3.16</v>
      </c>
      <c r="AB164" t="n">
        <v>34.28</v>
      </c>
      <c r="AC164" t="n">
        <v>6.17</v>
      </c>
      <c r="AD164" t="n">
        <v>0</v>
      </c>
      <c r="AE164" t="n">
        <v>163.8</v>
      </c>
      <c r="AF164" t="n">
        <v>0</v>
      </c>
      <c r="AG164" t="n">
        <v>0</v>
      </c>
      <c r="AH164" t="n">
        <v>0.16</v>
      </c>
      <c r="AI164" t="n">
        <v>8.199999999999999</v>
      </c>
      <c r="AJ164" t="n">
        <v>-0.01</v>
      </c>
      <c r="AK164" t="n">
        <v>14.53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48.81</v>
      </c>
      <c r="AV164" t="n">
        <v>0</v>
      </c>
      <c r="AW164" t="n">
        <v>123.18</v>
      </c>
      <c r="AX164" t="inlineStr">
        <is>
          <t>settled</t>
        </is>
      </c>
      <c r="AY164" t="inlineStr">
        <is>
          <t>2026-01-14 05:30:00</t>
        </is>
      </c>
      <c r="AZ164" t="inlineStr">
        <is>
          <t>CITIN26605478364</t>
        </is>
      </c>
      <c r="BA164" t="n">
        <v>0</v>
      </c>
      <c r="BB164" t="inlineStr">
        <is>
          <t>e6f84e1a5e814ded6cb82b36031fafef921a8fecc4b36ed6fa28c74f749fd495</t>
        </is>
      </c>
    </row>
    <row r="165">
      <c r="A165" t="inlineStr">
        <is>
          <t>160</t>
        </is>
      </c>
      <c r="B165" t="inlineStr">
        <is>
          <t>7670025911</t>
        </is>
      </c>
      <c r="C165" t="inlineStr">
        <is>
          <t>2026-01-08 19:51:28</t>
        </is>
      </c>
      <c r="D165" t="inlineStr">
        <is>
          <t>2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458</v>
      </c>
      <c r="P165" t="n">
        <v>3.5</v>
      </c>
      <c r="Q165" t="n">
        <v>0</v>
      </c>
      <c r="R165" t="n">
        <v>75</v>
      </c>
      <c r="S165" t="n">
        <v>0</v>
      </c>
      <c r="T165" t="n">
        <v>0</v>
      </c>
      <c r="U165" t="n">
        <v>0</v>
      </c>
      <c r="V165" t="n">
        <v>19.33</v>
      </c>
      <c r="W165" t="n">
        <v>405.83</v>
      </c>
      <c r="X165" t="n">
        <v>386.5</v>
      </c>
      <c r="Y165" t="n">
        <v>19</v>
      </c>
      <c r="Z165" t="n">
        <v>73.44</v>
      </c>
      <c r="AA165" t="n">
        <v>7.47</v>
      </c>
      <c r="AB165" t="n">
        <v>80.91</v>
      </c>
      <c r="AC165" t="n">
        <v>14.56</v>
      </c>
      <c r="AD165" t="n">
        <v>0</v>
      </c>
      <c r="AE165" t="n">
        <v>386.5</v>
      </c>
      <c r="AF165" t="n">
        <v>0</v>
      </c>
      <c r="AG165" t="n">
        <v>0</v>
      </c>
      <c r="AH165" t="n">
        <v>0.39</v>
      </c>
      <c r="AI165" t="n">
        <v>19.33</v>
      </c>
      <c r="AJ165" t="n">
        <v>0</v>
      </c>
      <c r="AK165" t="n">
        <v>34.28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115.19</v>
      </c>
      <c r="AV165" t="n">
        <v>0</v>
      </c>
      <c r="AW165" t="n">
        <v>290.64</v>
      </c>
      <c r="AX165" t="inlineStr">
        <is>
          <t>settled</t>
        </is>
      </c>
      <c r="AY165" t="inlineStr">
        <is>
          <t>2026-01-14 05:30:00</t>
        </is>
      </c>
      <c r="AZ165" t="inlineStr">
        <is>
          <t>CITIN26605478364</t>
        </is>
      </c>
      <c r="BA165" t="n">
        <v>0</v>
      </c>
      <c r="BB165" t="inlineStr">
        <is>
          <t>c8627fb9179e03c3f5f1b68d2c77a7908aa267b9cc2ef9c22733ba47577c9135</t>
        </is>
      </c>
    </row>
    <row r="166">
      <c r="A166" t="inlineStr">
        <is>
          <t>161</t>
        </is>
      </c>
      <c r="B166" t="inlineStr">
        <is>
          <t>7664665776</t>
        </is>
      </c>
      <c r="C166" t="inlineStr">
        <is>
          <t>2026-01-08 20:20:02</t>
        </is>
      </c>
      <c r="D166" t="inlineStr">
        <is>
          <t>2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229</v>
      </c>
      <c r="P166" t="n">
        <v>3.5</v>
      </c>
      <c r="Q166" t="n">
        <v>0</v>
      </c>
      <c r="R166" t="n">
        <v>68.7</v>
      </c>
      <c r="S166" t="n">
        <v>0</v>
      </c>
      <c r="T166" t="n">
        <v>0</v>
      </c>
      <c r="U166" t="n">
        <v>0</v>
      </c>
      <c r="V166" t="n">
        <v>8.19</v>
      </c>
      <c r="W166" t="n">
        <v>171.99</v>
      </c>
      <c r="X166" t="n">
        <v>163.8</v>
      </c>
      <c r="Y166" t="n">
        <v>19</v>
      </c>
      <c r="Z166" t="n">
        <v>31.12</v>
      </c>
      <c r="AA166" t="n">
        <v>3.16</v>
      </c>
      <c r="AB166" t="n">
        <v>34.28</v>
      </c>
      <c r="AC166" t="n">
        <v>6.17</v>
      </c>
      <c r="AD166" t="n">
        <v>0</v>
      </c>
      <c r="AE166" t="n">
        <v>163.8</v>
      </c>
      <c r="AF166" t="n">
        <v>0</v>
      </c>
      <c r="AG166" t="n">
        <v>0</v>
      </c>
      <c r="AH166" t="n">
        <v>0.16</v>
      </c>
      <c r="AI166" t="n">
        <v>8.199999999999999</v>
      </c>
      <c r="AJ166" t="n">
        <v>-0.01</v>
      </c>
      <c r="AK166" t="n">
        <v>14.53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48.81</v>
      </c>
      <c r="AV166" t="n">
        <v>0</v>
      </c>
      <c r="AW166" t="n">
        <v>123.18</v>
      </c>
      <c r="AX166" t="inlineStr">
        <is>
          <t>settled</t>
        </is>
      </c>
      <c r="AY166" t="inlineStr">
        <is>
          <t>2026-01-14 05:30:00</t>
        </is>
      </c>
      <c r="AZ166" t="inlineStr">
        <is>
          <t>CITIN26605478364</t>
        </is>
      </c>
      <c r="BA166" t="n">
        <v>0</v>
      </c>
      <c r="BB166" t="inlineStr">
        <is>
          <t>e009e8cc66465b7cb7e43b03dfb8033677d6ea0ebe190b17f363d3ce19fc5eff</t>
        </is>
      </c>
    </row>
    <row r="167">
      <c r="A167" t="inlineStr">
        <is>
          <t>162</t>
        </is>
      </c>
      <c r="B167" t="inlineStr">
        <is>
          <t>7669243450</t>
        </is>
      </c>
      <c r="C167" t="inlineStr">
        <is>
          <t>2026-01-08 20:21:33</t>
        </is>
      </c>
      <c r="D167" t="inlineStr">
        <is>
          <t>2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68.7</v>
      </c>
      <c r="S167" t="n">
        <v>0</v>
      </c>
      <c r="T167" t="n">
        <v>0</v>
      </c>
      <c r="U167" t="n">
        <v>0</v>
      </c>
      <c r="V167" t="n">
        <v>8.19</v>
      </c>
      <c r="W167" t="n">
        <v>171.99</v>
      </c>
      <c r="X167" t="n">
        <v>163.8</v>
      </c>
      <c r="Y167" t="n">
        <v>19</v>
      </c>
      <c r="Z167" t="n">
        <v>31.12</v>
      </c>
      <c r="AA167" t="n">
        <v>3.16</v>
      </c>
      <c r="AB167" t="n">
        <v>34.28</v>
      </c>
      <c r="AC167" t="n">
        <v>6.17</v>
      </c>
      <c r="AD167" t="n">
        <v>0</v>
      </c>
      <c r="AE167" t="n">
        <v>163.8</v>
      </c>
      <c r="AF167" t="n">
        <v>0</v>
      </c>
      <c r="AG167" t="n">
        <v>0</v>
      </c>
      <c r="AH167" t="n">
        <v>0.16</v>
      </c>
      <c r="AI167" t="n">
        <v>8.199999999999999</v>
      </c>
      <c r="AJ167" t="n">
        <v>-0.01</v>
      </c>
      <c r="AK167" t="n">
        <v>14.53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48.81</v>
      </c>
      <c r="AV167" t="n">
        <v>0</v>
      </c>
      <c r="AW167" t="n">
        <v>123.18</v>
      </c>
      <c r="AX167" t="inlineStr">
        <is>
          <t>settled</t>
        </is>
      </c>
      <c r="AY167" t="inlineStr">
        <is>
          <t>2026-01-14 05:30:00</t>
        </is>
      </c>
      <c r="AZ167" t="inlineStr">
        <is>
          <t>CITIN26605478364</t>
        </is>
      </c>
      <c r="BA167" t="n">
        <v>0</v>
      </c>
      <c r="BB167" t="inlineStr">
        <is>
          <t>216a8d1e6f43740fe94618f3b63f4a4008405587b5bfbba1f18798c500263cb7</t>
        </is>
      </c>
    </row>
    <row r="168">
      <c r="A168" t="inlineStr">
        <is>
          <t>163</t>
        </is>
      </c>
      <c r="B168" t="inlineStr">
        <is>
          <t>7661876262</t>
        </is>
      </c>
      <c r="C168" t="inlineStr">
        <is>
          <t>2026-01-08 20:24:52</t>
        </is>
      </c>
      <c r="D168" t="inlineStr">
        <is>
          <t>2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NA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219</v>
      </c>
      <c r="P168" t="n">
        <v>3.5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11.13</v>
      </c>
      <c r="W168" t="n">
        <v>233.63</v>
      </c>
      <c r="X168" t="n">
        <v>222.5</v>
      </c>
      <c r="Y168" t="n">
        <v>19</v>
      </c>
      <c r="Z168" t="n">
        <v>42.28</v>
      </c>
      <c r="AA168" t="n">
        <v>4.3</v>
      </c>
      <c r="AB168" t="n">
        <v>46.58</v>
      </c>
      <c r="AC168" t="n">
        <v>8.380000000000001</v>
      </c>
      <c r="AD168" t="n">
        <v>0</v>
      </c>
      <c r="AE168" t="n">
        <v>222.5</v>
      </c>
      <c r="AF168" t="n">
        <v>0</v>
      </c>
      <c r="AG168" t="n">
        <v>0</v>
      </c>
      <c r="AH168" t="n">
        <v>0.22</v>
      </c>
      <c r="AI168" t="n">
        <v>11.13</v>
      </c>
      <c r="AJ168" t="n">
        <v>0</v>
      </c>
      <c r="AK168" t="n">
        <v>19.73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66.31</v>
      </c>
      <c r="AV168" t="n">
        <v>0</v>
      </c>
      <c r="AW168" t="n">
        <v>167.32</v>
      </c>
      <c r="AX168" t="inlineStr">
        <is>
          <t>settled</t>
        </is>
      </c>
      <c r="AY168" t="inlineStr">
        <is>
          <t>2026-01-14 05:30:00</t>
        </is>
      </c>
      <c r="AZ168" t="inlineStr">
        <is>
          <t>CITIN26605478364</t>
        </is>
      </c>
      <c r="BA168" t="n">
        <v>0</v>
      </c>
      <c r="BB168" t="inlineStr">
        <is>
          <t>ad5d8916e2bd2d79a2f2acfdb55fc949ba55bcc0d6a21c6349ea7a8ac7f524c4</t>
        </is>
      </c>
    </row>
    <row r="169">
      <c r="A169" t="inlineStr">
        <is>
          <t>164</t>
        </is>
      </c>
      <c r="B169" t="inlineStr">
        <is>
          <t>7667770584</t>
        </is>
      </c>
      <c r="C169" t="inlineStr">
        <is>
          <t>2026-01-08 20:26:43</t>
        </is>
      </c>
      <c r="D169" t="inlineStr">
        <is>
          <t>2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229</v>
      </c>
      <c r="P169" t="n">
        <v>3.5</v>
      </c>
      <c r="Q169" t="n">
        <v>0</v>
      </c>
      <c r="R169" t="n">
        <v>68.7</v>
      </c>
      <c r="S169" t="n">
        <v>0</v>
      </c>
      <c r="T169" t="n">
        <v>0</v>
      </c>
      <c r="U169" t="n">
        <v>0</v>
      </c>
      <c r="V169" t="n">
        <v>8.19</v>
      </c>
      <c r="W169" t="n">
        <v>171.99</v>
      </c>
      <c r="X169" t="n">
        <v>163.8</v>
      </c>
      <c r="Y169" t="n">
        <v>19</v>
      </c>
      <c r="Z169" t="n">
        <v>31.12</v>
      </c>
      <c r="AA169" t="n">
        <v>3.16</v>
      </c>
      <c r="AB169" t="n">
        <v>34.28</v>
      </c>
      <c r="AC169" t="n">
        <v>6.17</v>
      </c>
      <c r="AD169" t="n">
        <v>0</v>
      </c>
      <c r="AE169" t="n">
        <v>163.8</v>
      </c>
      <c r="AF169" t="n">
        <v>0</v>
      </c>
      <c r="AG169" t="n">
        <v>0</v>
      </c>
      <c r="AH169" t="n">
        <v>0.16</v>
      </c>
      <c r="AI169" t="n">
        <v>8.199999999999999</v>
      </c>
      <c r="AJ169" t="n">
        <v>-0.01</v>
      </c>
      <c r="AK169" t="n">
        <v>14.53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48.81</v>
      </c>
      <c r="AV169" t="n">
        <v>0</v>
      </c>
      <c r="AW169" t="n">
        <v>123.18</v>
      </c>
      <c r="AX169" t="inlineStr">
        <is>
          <t>settled</t>
        </is>
      </c>
      <c r="AY169" t="inlineStr">
        <is>
          <t>2026-01-14 05:30:00</t>
        </is>
      </c>
      <c r="AZ169" t="inlineStr">
        <is>
          <t>CITIN26605478364</t>
        </is>
      </c>
      <c r="BA169" t="n">
        <v>0</v>
      </c>
      <c r="BB169" t="inlineStr">
        <is>
          <t>68600d28145cc06d4d98bab0ef8c4aec67c96fcee27065271f2773d52fcd773f</t>
        </is>
      </c>
    </row>
    <row r="170">
      <c r="A170" t="inlineStr">
        <is>
          <t>165</t>
        </is>
      </c>
      <c r="B170" t="inlineStr">
        <is>
          <t>7666592440</t>
        </is>
      </c>
      <c r="C170" t="inlineStr">
        <is>
          <t>2026-01-08 21:05:31</t>
        </is>
      </c>
      <c r="D170" t="inlineStr">
        <is>
          <t>2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229</v>
      </c>
      <c r="P170" t="n">
        <v>3.5</v>
      </c>
      <c r="Q170" t="n">
        <v>0</v>
      </c>
      <c r="R170" t="n">
        <v>68.7</v>
      </c>
      <c r="S170" t="n">
        <v>0</v>
      </c>
      <c r="T170" t="n">
        <v>0</v>
      </c>
      <c r="U170" t="n">
        <v>0</v>
      </c>
      <c r="V170" t="n">
        <v>8.19</v>
      </c>
      <c r="W170" t="n">
        <v>171.99</v>
      </c>
      <c r="X170" t="n">
        <v>163.8</v>
      </c>
      <c r="Y170" t="n">
        <v>19</v>
      </c>
      <c r="Z170" t="n">
        <v>31.12</v>
      </c>
      <c r="AA170" t="n">
        <v>3.16</v>
      </c>
      <c r="AB170" t="n">
        <v>34.28</v>
      </c>
      <c r="AC170" t="n">
        <v>6.17</v>
      </c>
      <c r="AD170" t="n">
        <v>0</v>
      </c>
      <c r="AE170" t="n">
        <v>163.8</v>
      </c>
      <c r="AF170" t="n">
        <v>0</v>
      </c>
      <c r="AG170" t="n">
        <v>0</v>
      </c>
      <c r="AH170" t="n">
        <v>0.16</v>
      </c>
      <c r="AI170" t="n">
        <v>8.199999999999999</v>
      </c>
      <c r="AJ170" t="n">
        <v>-0.01</v>
      </c>
      <c r="AK170" t="n">
        <v>14.53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48.81</v>
      </c>
      <c r="AV170" t="n">
        <v>0</v>
      </c>
      <c r="AW170" t="n">
        <v>123.18</v>
      </c>
      <c r="AX170" t="inlineStr">
        <is>
          <t>settled</t>
        </is>
      </c>
      <c r="AY170" t="inlineStr">
        <is>
          <t>2026-01-14 05:30:00</t>
        </is>
      </c>
      <c r="AZ170" t="inlineStr">
        <is>
          <t>CITIN26605478364</t>
        </is>
      </c>
      <c r="BA170" t="n">
        <v>0</v>
      </c>
      <c r="BB170" t="inlineStr">
        <is>
          <t>19c169837356dda29ad2098f97811adc3df979375d0883a8c58c45f35caaeeae</t>
        </is>
      </c>
    </row>
    <row r="171">
      <c r="A171" t="inlineStr">
        <is>
          <t>166</t>
        </is>
      </c>
      <c r="B171" t="inlineStr">
        <is>
          <t>7668246208</t>
        </is>
      </c>
      <c r="C171" t="inlineStr">
        <is>
          <t>2026-01-08 21:05:36</t>
        </is>
      </c>
      <c r="D171" t="inlineStr">
        <is>
          <t>2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229</v>
      </c>
      <c r="P171" t="n">
        <v>3.5</v>
      </c>
      <c r="Q171" t="n">
        <v>0</v>
      </c>
      <c r="R171" t="n">
        <v>68.7</v>
      </c>
      <c r="S171" t="n">
        <v>0</v>
      </c>
      <c r="T171" t="n">
        <v>0</v>
      </c>
      <c r="U171" t="n">
        <v>0</v>
      </c>
      <c r="V171" t="n">
        <v>8.19</v>
      </c>
      <c r="W171" t="n">
        <v>171.99</v>
      </c>
      <c r="X171" t="n">
        <v>163.8</v>
      </c>
      <c r="Y171" t="n">
        <v>19</v>
      </c>
      <c r="Z171" t="n">
        <v>31.12</v>
      </c>
      <c r="AA171" t="n">
        <v>3.16</v>
      </c>
      <c r="AB171" t="n">
        <v>34.28</v>
      </c>
      <c r="AC171" t="n">
        <v>6.17</v>
      </c>
      <c r="AD171" t="n">
        <v>0</v>
      </c>
      <c r="AE171" t="n">
        <v>163.8</v>
      </c>
      <c r="AF171" t="n">
        <v>0</v>
      </c>
      <c r="AG171" t="n">
        <v>0</v>
      </c>
      <c r="AH171" t="n">
        <v>0.16</v>
      </c>
      <c r="AI171" t="n">
        <v>8.199999999999999</v>
      </c>
      <c r="AJ171" t="n">
        <v>-0.01</v>
      </c>
      <c r="AK171" t="n">
        <v>14.53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48.81</v>
      </c>
      <c r="AV171" t="n">
        <v>0</v>
      </c>
      <c r="AW171" t="n">
        <v>123.18</v>
      </c>
      <c r="AX171" t="inlineStr">
        <is>
          <t>settled</t>
        </is>
      </c>
      <c r="AY171" t="inlineStr">
        <is>
          <t>2026-01-14 05:30:00</t>
        </is>
      </c>
      <c r="AZ171" t="inlineStr">
        <is>
          <t>CITIN26605478364</t>
        </is>
      </c>
      <c r="BA171" t="n">
        <v>0</v>
      </c>
      <c r="BB171" t="inlineStr">
        <is>
          <t>5bbf14df8938f95d3b7c17a99beb70d7782f65008db9840edde8a35ba5e8e65f</t>
        </is>
      </c>
    </row>
    <row r="172">
      <c r="A172" t="inlineStr">
        <is>
          <t>167</t>
        </is>
      </c>
      <c r="B172" t="inlineStr">
        <is>
          <t>7662877231</t>
        </is>
      </c>
      <c r="C172" t="inlineStr">
        <is>
          <t>2026-01-08 21:06:07</t>
        </is>
      </c>
      <c r="D172" t="inlineStr">
        <is>
          <t>2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NA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448</v>
      </c>
      <c r="P172" t="n">
        <v>3.5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22.58</v>
      </c>
      <c r="W172" t="n">
        <v>474.08</v>
      </c>
      <c r="X172" t="n">
        <v>451.5</v>
      </c>
      <c r="Y172" t="n">
        <v>19</v>
      </c>
      <c r="Z172" t="n">
        <v>85.78</v>
      </c>
      <c r="AA172" t="n">
        <v>8.720000000000001</v>
      </c>
      <c r="AB172" t="n">
        <v>94.5</v>
      </c>
      <c r="AC172" t="n">
        <v>17.01</v>
      </c>
      <c r="AD172" t="n">
        <v>0</v>
      </c>
      <c r="AE172" t="n">
        <v>451.5</v>
      </c>
      <c r="AF172" t="n">
        <v>0</v>
      </c>
      <c r="AG172" t="n">
        <v>0</v>
      </c>
      <c r="AH172" t="n">
        <v>0.45</v>
      </c>
      <c r="AI172" t="n">
        <v>22.58</v>
      </c>
      <c r="AJ172" t="n">
        <v>0</v>
      </c>
      <c r="AK172" t="n">
        <v>40.04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134.54</v>
      </c>
      <c r="AV172" t="n">
        <v>0</v>
      </c>
      <c r="AW172" t="n">
        <v>339.54</v>
      </c>
      <c r="AX172" t="inlineStr">
        <is>
          <t>settled</t>
        </is>
      </c>
      <c r="AY172" t="inlineStr">
        <is>
          <t>2026-01-14 05:30:00</t>
        </is>
      </c>
      <c r="AZ172" t="inlineStr">
        <is>
          <t>CITIN26605478364</t>
        </is>
      </c>
      <c r="BA172" t="n">
        <v>0</v>
      </c>
      <c r="BB172" t="inlineStr">
        <is>
          <t>f2331c06fce7437b2ae7836284653b4167b86b7c5a15f679b9ac72ee4b572167</t>
        </is>
      </c>
    </row>
    <row r="173">
      <c r="A173" t="inlineStr">
        <is>
          <t>168</t>
        </is>
      </c>
      <c r="B173" t="inlineStr">
        <is>
          <t>7670108102</t>
        </is>
      </c>
      <c r="C173" t="inlineStr">
        <is>
          <t>2026-01-08 21:27:12</t>
        </is>
      </c>
      <c r="D173" t="inlineStr">
        <is>
          <t>2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30% off upto ₹75 (2025-06-25 - 2031-01-01)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448</v>
      </c>
      <c r="P173" t="n">
        <v>3.5</v>
      </c>
      <c r="Q173" t="n">
        <v>0</v>
      </c>
      <c r="R173" t="n">
        <v>75</v>
      </c>
      <c r="S173" t="n">
        <v>0</v>
      </c>
      <c r="T173" t="n">
        <v>0</v>
      </c>
      <c r="U173" t="n">
        <v>0</v>
      </c>
      <c r="V173" t="n">
        <v>18.83</v>
      </c>
      <c r="W173" t="n">
        <v>395.33</v>
      </c>
      <c r="X173" t="n">
        <v>376.5</v>
      </c>
      <c r="Y173" t="n">
        <v>19</v>
      </c>
      <c r="Z173" t="n">
        <v>71.54000000000001</v>
      </c>
      <c r="AA173" t="n">
        <v>7.27</v>
      </c>
      <c r="AB173" t="n">
        <v>78.81</v>
      </c>
      <c r="AC173" t="n">
        <v>14.19</v>
      </c>
      <c r="AD173" t="n">
        <v>0</v>
      </c>
      <c r="AE173" t="n">
        <v>376.5</v>
      </c>
      <c r="AF173" t="n">
        <v>0</v>
      </c>
      <c r="AG173" t="n">
        <v>0</v>
      </c>
      <c r="AH173" t="n">
        <v>0.38</v>
      </c>
      <c r="AI173" t="n">
        <v>18.83</v>
      </c>
      <c r="AJ173" t="n">
        <v>0</v>
      </c>
      <c r="AK173" t="n">
        <v>33.4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112.21</v>
      </c>
      <c r="AV173" t="n">
        <v>0</v>
      </c>
      <c r="AW173" t="n">
        <v>283.12</v>
      </c>
      <c r="AX173" t="inlineStr">
        <is>
          <t>settled</t>
        </is>
      </c>
      <c r="AY173" t="inlineStr">
        <is>
          <t>2026-01-14 05:30:00</t>
        </is>
      </c>
      <c r="AZ173" t="inlineStr">
        <is>
          <t>CITIN26605478364</t>
        </is>
      </c>
      <c r="BA173" t="n">
        <v>0</v>
      </c>
      <c r="BB173" t="inlineStr">
        <is>
          <t>51b09c89114723958b9a576a7ed3f0170298a22197cf96cc2b56c5b319870f69</t>
        </is>
      </c>
    </row>
    <row r="174">
      <c r="A174" t="inlineStr">
        <is>
          <t>169</t>
        </is>
      </c>
      <c r="B174" t="inlineStr">
        <is>
          <t>7670581335</t>
        </is>
      </c>
      <c r="C174" t="inlineStr">
        <is>
          <t>2026-01-08 22:23:35</t>
        </is>
      </c>
      <c r="D174" t="inlineStr">
        <is>
          <t>2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219</v>
      </c>
      <c r="P174" t="n">
        <v>3.5</v>
      </c>
      <c r="Q174" t="n">
        <v>0</v>
      </c>
      <c r="R174" t="n">
        <v>65.7</v>
      </c>
      <c r="S174" t="n">
        <v>0</v>
      </c>
      <c r="T174" t="n">
        <v>0</v>
      </c>
      <c r="U174" t="n">
        <v>0</v>
      </c>
      <c r="V174" t="n">
        <v>7.84</v>
      </c>
      <c r="W174" t="n">
        <v>164.64</v>
      </c>
      <c r="X174" t="n">
        <v>156.8</v>
      </c>
      <c r="Y174" t="n">
        <v>19</v>
      </c>
      <c r="Z174" t="n">
        <v>29.79</v>
      </c>
      <c r="AA174" t="n">
        <v>3.03</v>
      </c>
      <c r="AB174" t="n">
        <v>32.82</v>
      </c>
      <c r="AC174" t="n">
        <v>5.91</v>
      </c>
      <c r="AD174" t="n">
        <v>0</v>
      </c>
      <c r="AE174" t="n">
        <v>156.8</v>
      </c>
      <c r="AF174" t="n">
        <v>0</v>
      </c>
      <c r="AG174" t="n">
        <v>0</v>
      </c>
      <c r="AH174" t="n">
        <v>0.16</v>
      </c>
      <c r="AI174" t="n">
        <v>7.85</v>
      </c>
      <c r="AJ174" t="n">
        <v>-0.01</v>
      </c>
      <c r="AK174" t="n">
        <v>13.92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46.74</v>
      </c>
      <c r="AV174" t="n">
        <v>0</v>
      </c>
      <c r="AW174" t="n">
        <v>117.9</v>
      </c>
      <c r="AX174" t="inlineStr">
        <is>
          <t>settled</t>
        </is>
      </c>
      <c r="AY174" t="inlineStr">
        <is>
          <t>2026-01-14 05:30:00</t>
        </is>
      </c>
      <c r="AZ174" t="inlineStr">
        <is>
          <t>CITIN26605478364</t>
        </is>
      </c>
      <c r="BA174" t="n">
        <v>0</v>
      </c>
      <c r="BB174" t="inlineStr">
        <is>
          <t>5665ff305b21c2ba8f2e681af5a844067316d954c42e742e70fb714bcee8090d</t>
        </is>
      </c>
    </row>
    <row r="175">
      <c r="A175" t="inlineStr">
        <is>
          <t>170</t>
        </is>
      </c>
      <c r="B175" t="inlineStr">
        <is>
          <t>7656883238</t>
        </is>
      </c>
      <c r="C175" t="inlineStr">
        <is>
          <t>2026-01-08 22:23:38</t>
        </is>
      </c>
      <c r="D175" t="inlineStr">
        <is>
          <t>2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458</v>
      </c>
      <c r="P175" t="n">
        <v>3.5</v>
      </c>
      <c r="Q175" t="n">
        <v>0</v>
      </c>
      <c r="R175" t="n">
        <v>75</v>
      </c>
      <c r="S175" t="n">
        <v>0</v>
      </c>
      <c r="T175" t="n">
        <v>0</v>
      </c>
      <c r="U175" t="n">
        <v>0</v>
      </c>
      <c r="V175" t="n">
        <v>19.33</v>
      </c>
      <c r="W175" t="n">
        <v>405.83</v>
      </c>
      <c r="X175" t="n">
        <v>386.5</v>
      </c>
      <c r="Y175" t="n">
        <v>19</v>
      </c>
      <c r="Z175" t="n">
        <v>73.44</v>
      </c>
      <c r="AA175" t="n">
        <v>7.47</v>
      </c>
      <c r="AB175" t="n">
        <v>80.91</v>
      </c>
      <c r="AC175" t="n">
        <v>14.56</v>
      </c>
      <c r="AD175" t="n">
        <v>0</v>
      </c>
      <c r="AE175" t="n">
        <v>386.5</v>
      </c>
      <c r="AF175" t="n">
        <v>0</v>
      </c>
      <c r="AG175" t="n">
        <v>0</v>
      </c>
      <c r="AH175" t="n">
        <v>0.39</v>
      </c>
      <c r="AI175" t="n">
        <v>19.33</v>
      </c>
      <c r="AJ175" t="n">
        <v>0</v>
      </c>
      <c r="AK175" t="n">
        <v>34.28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115.19</v>
      </c>
      <c r="AV175" t="n">
        <v>0</v>
      </c>
      <c r="AW175" t="n">
        <v>290.64</v>
      </c>
      <c r="AX175" t="inlineStr">
        <is>
          <t>settled</t>
        </is>
      </c>
      <c r="AY175" t="inlineStr">
        <is>
          <t>2026-01-14 05:30:00</t>
        </is>
      </c>
      <c r="AZ175" t="inlineStr">
        <is>
          <t>CITIN26605478364</t>
        </is>
      </c>
      <c r="BA175" t="n">
        <v>0</v>
      </c>
      <c r="BB175" t="inlineStr">
        <is>
          <t>21033e2ebedbe304dd2dde434593c8ff738d1318a8968d07635ae94e4c558b76</t>
        </is>
      </c>
    </row>
    <row r="176">
      <c r="A176" t="inlineStr">
        <is>
          <t>171</t>
        </is>
      </c>
      <c r="B176" t="inlineStr">
        <is>
          <t>7668240644</t>
        </is>
      </c>
      <c r="C176" t="inlineStr">
        <is>
          <t>2026-01-08 22:40:34</t>
        </is>
      </c>
      <c r="D176" t="inlineStr">
        <is>
          <t>2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30% off upto ₹75 (2025-06-25 - 2031-01-01)</t>
        </is>
      </c>
      <c r="H176" t="inlineStr">
        <is>
          <t>ONLINE</t>
        </is>
      </c>
      <c r="I176" t="inlineStr">
        <is>
          <t>CANCELLED</t>
        </is>
      </c>
      <c r="J176" t="inlineStr">
        <is>
          <t>0%</t>
        </is>
      </c>
      <c r="K176" t="inlineStr">
        <is>
          <t>Customer cancellation within 1 minute</t>
        </is>
      </c>
      <c r="L176" t="inlineStr">
        <is>
          <t>Order accepted</t>
        </is>
      </c>
      <c r="M176" t="inlineStr">
        <is>
          <t>O2</t>
        </is>
      </c>
      <c r="N176" t="inlineStr">
        <is>
          <t>NA</t>
        </is>
      </c>
      <c r="O176" t="n">
        <v>229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229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inlineStr">
        <is>
          <t>settled</t>
        </is>
      </c>
      <c r="AY176" t="inlineStr">
        <is>
          <t>2026-01-14 05:30:00</t>
        </is>
      </c>
      <c r="AZ176" t="inlineStr">
        <is>
          <t>CITIN26605478364</t>
        </is>
      </c>
      <c r="BA176" t="n">
        <v>0</v>
      </c>
      <c r="BB176" t="inlineStr">
        <is>
          <t>NA</t>
        </is>
      </c>
    </row>
    <row r="177">
      <c r="A177" t="inlineStr">
        <is>
          <t>172</t>
        </is>
      </c>
      <c r="B177" t="inlineStr">
        <is>
          <t>7666034441</t>
        </is>
      </c>
      <c r="C177" t="inlineStr">
        <is>
          <t>2026-01-08 23:19:22</t>
        </is>
      </c>
      <c r="D177" t="inlineStr">
        <is>
          <t>2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229</v>
      </c>
      <c r="P177" t="n">
        <v>3.5</v>
      </c>
      <c r="Q177" t="n">
        <v>0</v>
      </c>
      <c r="R177" t="n">
        <v>68.7</v>
      </c>
      <c r="S177" t="n">
        <v>0</v>
      </c>
      <c r="T177" t="n">
        <v>0</v>
      </c>
      <c r="U177" t="n">
        <v>0</v>
      </c>
      <c r="V177" t="n">
        <v>8.19</v>
      </c>
      <c r="W177" t="n">
        <v>171.99</v>
      </c>
      <c r="X177" t="n">
        <v>163.8</v>
      </c>
      <c r="Y177" t="n">
        <v>19</v>
      </c>
      <c r="Z177" t="n">
        <v>31.12</v>
      </c>
      <c r="AA177" t="n">
        <v>3.16</v>
      </c>
      <c r="AB177" t="n">
        <v>34.28</v>
      </c>
      <c r="AC177" t="n">
        <v>6.17</v>
      </c>
      <c r="AD177" t="n">
        <v>0</v>
      </c>
      <c r="AE177" t="n">
        <v>163.8</v>
      </c>
      <c r="AF177" t="n">
        <v>0</v>
      </c>
      <c r="AG177" t="n">
        <v>0</v>
      </c>
      <c r="AH177" t="n">
        <v>0.16</v>
      </c>
      <c r="AI177" t="n">
        <v>8.199999999999999</v>
      </c>
      <c r="AJ177" t="n">
        <v>-0.01</v>
      </c>
      <c r="AK177" t="n">
        <v>14.53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48.81</v>
      </c>
      <c r="AV177" t="n">
        <v>0</v>
      </c>
      <c r="AW177" t="n">
        <v>123.18</v>
      </c>
      <c r="AX177" t="inlineStr">
        <is>
          <t>settled</t>
        </is>
      </c>
      <c r="AY177" t="inlineStr">
        <is>
          <t>2026-01-14 05:30:00</t>
        </is>
      </c>
      <c r="AZ177" t="inlineStr">
        <is>
          <t>CITIN26605478364</t>
        </is>
      </c>
      <c r="BA177" t="n">
        <v>0</v>
      </c>
      <c r="BB177" t="inlineStr">
        <is>
          <t>5870e07c0339e8e7dbca35304d0cad01250f89331bbf2ec5ec8e2dda13aaf54a</t>
        </is>
      </c>
    </row>
    <row r="178">
      <c r="A178" t="inlineStr">
        <is>
          <t>173</t>
        </is>
      </c>
      <c r="B178" t="inlineStr">
        <is>
          <t>7667094316</t>
        </is>
      </c>
      <c r="C178" t="inlineStr">
        <is>
          <t>2026-01-08 23:37:51</t>
        </is>
      </c>
      <c r="D178" t="inlineStr">
        <is>
          <t>2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229</v>
      </c>
      <c r="P178" t="n">
        <v>3.5</v>
      </c>
      <c r="Q178" t="n">
        <v>0</v>
      </c>
      <c r="R178" t="n">
        <v>68.7</v>
      </c>
      <c r="S178" t="n">
        <v>0</v>
      </c>
      <c r="T178" t="n">
        <v>0</v>
      </c>
      <c r="U178" t="n">
        <v>0</v>
      </c>
      <c r="V178" t="n">
        <v>8.19</v>
      </c>
      <c r="W178" t="n">
        <v>171.99</v>
      </c>
      <c r="X178" t="n">
        <v>163.8</v>
      </c>
      <c r="Y178" t="n">
        <v>19</v>
      </c>
      <c r="Z178" t="n">
        <v>31.12</v>
      </c>
      <c r="AA178" t="n">
        <v>3.16</v>
      </c>
      <c r="AB178" t="n">
        <v>34.28</v>
      </c>
      <c r="AC178" t="n">
        <v>6.17</v>
      </c>
      <c r="AD178" t="n">
        <v>0</v>
      </c>
      <c r="AE178" t="n">
        <v>163.8</v>
      </c>
      <c r="AF178" t="n">
        <v>0</v>
      </c>
      <c r="AG178" t="n">
        <v>0</v>
      </c>
      <c r="AH178" t="n">
        <v>0.16</v>
      </c>
      <c r="AI178" t="n">
        <v>8.199999999999999</v>
      </c>
      <c r="AJ178" t="n">
        <v>-0.01</v>
      </c>
      <c r="AK178" t="n">
        <v>14.53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48.81</v>
      </c>
      <c r="AV178" t="n">
        <v>0</v>
      </c>
      <c r="AW178" t="n">
        <v>123.18</v>
      </c>
      <c r="AX178" t="inlineStr">
        <is>
          <t>settled</t>
        </is>
      </c>
      <c r="AY178" t="inlineStr">
        <is>
          <t>2026-01-14 05:30:00</t>
        </is>
      </c>
      <c r="AZ178" t="inlineStr">
        <is>
          <t>CITIN26605478364</t>
        </is>
      </c>
      <c r="BA178" t="n">
        <v>0</v>
      </c>
      <c r="BB178" t="inlineStr">
        <is>
          <t>2028f0fd11bf75bd1714010d56f5f2c577d42b3d181d4bca55986a71a143a858</t>
        </is>
      </c>
    </row>
    <row r="179">
      <c r="A179" t="inlineStr">
        <is>
          <t>174</t>
        </is>
      </c>
      <c r="B179" t="inlineStr">
        <is>
          <t>7668210759</t>
        </is>
      </c>
      <c r="C179" t="inlineStr">
        <is>
          <t>2026-01-08 23:40:38</t>
        </is>
      </c>
      <c r="D179" t="inlineStr">
        <is>
          <t>2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458</v>
      </c>
      <c r="P179" t="n">
        <v>3.5</v>
      </c>
      <c r="Q179" t="n">
        <v>0</v>
      </c>
      <c r="R179" t="n">
        <v>75</v>
      </c>
      <c r="S179" t="n">
        <v>0</v>
      </c>
      <c r="T179" t="n">
        <v>0</v>
      </c>
      <c r="U179" t="n">
        <v>0</v>
      </c>
      <c r="V179" t="n">
        <v>19.33</v>
      </c>
      <c r="W179" t="n">
        <v>405.83</v>
      </c>
      <c r="X179" t="n">
        <v>386.5</v>
      </c>
      <c r="Y179" t="n">
        <v>19</v>
      </c>
      <c r="Z179" t="n">
        <v>73.44</v>
      </c>
      <c r="AA179" t="n">
        <v>7.47</v>
      </c>
      <c r="AB179" t="n">
        <v>80.91</v>
      </c>
      <c r="AC179" t="n">
        <v>14.56</v>
      </c>
      <c r="AD179" t="n">
        <v>0</v>
      </c>
      <c r="AE179" t="n">
        <v>386.5</v>
      </c>
      <c r="AF179" t="n">
        <v>0</v>
      </c>
      <c r="AG179" t="n">
        <v>0</v>
      </c>
      <c r="AH179" t="n">
        <v>0.39</v>
      </c>
      <c r="AI179" t="n">
        <v>19.33</v>
      </c>
      <c r="AJ179" t="n">
        <v>0</v>
      </c>
      <c r="AK179" t="n">
        <v>34.28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115.19</v>
      </c>
      <c r="AV179" t="n">
        <v>0</v>
      </c>
      <c r="AW179" t="n">
        <v>290.64</v>
      </c>
      <c r="AX179" t="inlineStr">
        <is>
          <t>settled</t>
        </is>
      </c>
      <c r="AY179" t="inlineStr">
        <is>
          <t>2026-01-14 05:30:00</t>
        </is>
      </c>
      <c r="AZ179" t="inlineStr">
        <is>
          <t>CITIN26605478364</t>
        </is>
      </c>
      <c r="BA179" t="n">
        <v>0</v>
      </c>
      <c r="BB179" t="inlineStr">
        <is>
          <t>b0af544b3e426ebdf4cf088d45feb7e5785c3e9365d1a80ef23c226f39e1c2da</t>
        </is>
      </c>
    </row>
    <row r="180">
      <c r="A180" t="inlineStr">
        <is>
          <t>175</t>
        </is>
      </c>
      <c r="B180" t="inlineStr">
        <is>
          <t>7666716180</t>
        </is>
      </c>
      <c r="C180" t="inlineStr">
        <is>
          <t>2026-01-09 00:00:45</t>
        </is>
      </c>
      <c r="D180" t="inlineStr">
        <is>
          <t>2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2026-01-14 05:30:00</t>
        </is>
      </c>
      <c r="AZ180" t="inlineStr">
        <is>
          <t>CITIN26605478364</t>
        </is>
      </c>
      <c r="BA180" t="n">
        <v>0</v>
      </c>
      <c r="BB180" t="inlineStr">
        <is>
          <t>78d88be10c166c6e95d21683932ff8135155d57d16ae45e0e142b420f324153c</t>
        </is>
      </c>
    </row>
    <row r="181">
      <c r="A181" t="inlineStr">
        <is>
          <t>176</t>
        </is>
      </c>
      <c r="B181" t="inlineStr">
        <is>
          <t>7668814817</t>
        </is>
      </c>
      <c r="C181" t="inlineStr">
        <is>
          <t>2026-01-09 00:23:53</t>
        </is>
      </c>
      <c r="D181" t="inlineStr">
        <is>
          <t>2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289</v>
      </c>
      <c r="P181" t="n">
        <v>3.5</v>
      </c>
      <c r="Q181" t="n">
        <v>0</v>
      </c>
      <c r="R181" t="n">
        <v>75</v>
      </c>
      <c r="S181" t="n">
        <v>0</v>
      </c>
      <c r="T181" t="n">
        <v>0</v>
      </c>
      <c r="U181" t="n">
        <v>0</v>
      </c>
      <c r="V181" t="n">
        <v>10.88</v>
      </c>
      <c r="W181" t="n">
        <v>228.38</v>
      </c>
      <c r="X181" t="n">
        <v>217.5</v>
      </c>
      <c r="Y181" t="n">
        <v>19</v>
      </c>
      <c r="Z181" t="n">
        <v>41.32</v>
      </c>
      <c r="AA181" t="n">
        <v>4.2</v>
      </c>
      <c r="AB181" t="n">
        <v>45.52</v>
      </c>
      <c r="AC181" t="n">
        <v>8.199999999999999</v>
      </c>
      <c r="AD181" t="n">
        <v>0</v>
      </c>
      <c r="AE181" t="n">
        <v>217.5</v>
      </c>
      <c r="AF181" t="n">
        <v>0</v>
      </c>
      <c r="AG181" t="n">
        <v>0</v>
      </c>
      <c r="AH181" t="n">
        <v>0.22</v>
      </c>
      <c r="AI181" t="n">
        <v>10.88</v>
      </c>
      <c r="AJ181" t="n">
        <v>0</v>
      </c>
      <c r="AK181" t="n">
        <v>19.3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64.81999999999999</v>
      </c>
      <c r="AV181" t="n">
        <v>0</v>
      </c>
      <c r="AW181" t="n">
        <v>163.56</v>
      </c>
      <c r="AX181" t="inlineStr">
        <is>
          <t>settled</t>
        </is>
      </c>
      <c r="AY181" t="inlineStr">
        <is>
          <t>2026-01-14 05:30:00</t>
        </is>
      </c>
      <c r="AZ181" t="inlineStr">
        <is>
          <t>CITIN26605478364</t>
        </is>
      </c>
      <c r="BA181" t="n">
        <v>0</v>
      </c>
      <c r="BB181" t="inlineStr">
        <is>
          <t>0aa1d52cb4c92a929fc2a03f41b2577f97aa3cc4587edb40b60c3feb35cfccf8</t>
        </is>
      </c>
    </row>
    <row r="182">
      <c r="A182" t="inlineStr">
        <is>
          <t>177</t>
        </is>
      </c>
      <c r="B182" t="inlineStr">
        <is>
          <t>7665591811</t>
        </is>
      </c>
      <c r="C182" t="inlineStr">
        <is>
          <t>2026-01-09 00:34:01</t>
        </is>
      </c>
      <c r="D182" t="inlineStr">
        <is>
          <t>2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30% off upto ₹75 (2025-06-25 - 2031-01-01)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457</v>
      </c>
      <c r="P182" t="n">
        <v>3.5</v>
      </c>
      <c r="Q182" t="n">
        <v>0</v>
      </c>
      <c r="R182" t="n">
        <v>75</v>
      </c>
      <c r="S182" t="n">
        <v>0</v>
      </c>
      <c r="T182" t="n">
        <v>0</v>
      </c>
      <c r="U182" t="n">
        <v>0</v>
      </c>
      <c r="V182" t="n">
        <v>19.28</v>
      </c>
      <c r="W182" t="n">
        <v>404.78</v>
      </c>
      <c r="X182" t="n">
        <v>385.5</v>
      </c>
      <c r="Y182" t="n">
        <v>19</v>
      </c>
      <c r="Z182" t="n">
        <v>73.23999999999999</v>
      </c>
      <c r="AA182" t="n">
        <v>7.45</v>
      </c>
      <c r="AB182" t="n">
        <v>80.69</v>
      </c>
      <c r="AC182" t="n">
        <v>14.52</v>
      </c>
      <c r="AD182" t="n">
        <v>0</v>
      </c>
      <c r="AE182" t="n">
        <v>385.5</v>
      </c>
      <c r="AF182" t="n">
        <v>0</v>
      </c>
      <c r="AG182" t="n">
        <v>0</v>
      </c>
      <c r="AH182" t="n">
        <v>0.39</v>
      </c>
      <c r="AI182" t="n">
        <v>19.28</v>
      </c>
      <c r="AJ182" t="n">
        <v>0</v>
      </c>
      <c r="AK182" t="n">
        <v>34.19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114.88</v>
      </c>
      <c r="AV182" t="n">
        <v>0</v>
      </c>
      <c r="AW182" t="n">
        <v>289.9</v>
      </c>
      <c r="AX182" t="inlineStr">
        <is>
          <t>settled</t>
        </is>
      </c>
      <c r="AY182" t="inlineStr">
        <is>
          <t>2026-01-14 05:30:00</t>
        </is>
      </c>
      <c r="AZ182" t="inlineStr">
        <is>
          <t>CITIN26605478364</t>
        </is>
      </c>
      <c r="BA182" t="n">
        <v>0</v>
      </c>
      <c r="BB182" t="inlineStr">
        <is>
          <t>20a0ffcf807d3f56cb86c18417d7d9da971479685d54d0ed7d0fdf92938c2c9c</t>
        </is>
      </c>
    </row>
    <row r="183">
      <c r="A183" t="inlineStr">
        <is>
          <t>178</t>
        </is>
      </c>
      <c r="B183" t="inlineStr">
        <is>
          <t>7669604891</t>
        </is>
      </c>
      <c r="C183" t="inlineStr">
        <is>
          <t>2026-01-09 00:37:53</t>
        </is>
      </c>
      <c r="D183" t="inlineStr">
        <is>
          <t>2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229</v>
      </c>
      <c r="P183" t="n">
        <v>3.5</v>
      </c>
      <c r="Q183" t="n">
        <v>0</v>
      </c>
      <c r="R183" t="n">
        <v>68.7</v>
      </c>
      <c r="S183" t="n">
        <v>0</v>
      </c>
      <c r="T183" t="n">
        <v>0</v>
      </c>
      <c r="U183" t="n">
        <v>0</v>
      </c>
      <c r="V183" t="n">
        <v>8.19</v>
      </c>
      <c r="W183" t="n">
        <v>171.99</v>
      </c>
      <c r="X183" t="n">
        <v>163.8</v>
      </c>
      <c r="Y183" t="n">
        <v>19</v>
      </c>
      <c r="Z183" t="n">
        <v>31.12</v>
      </c>
      <c r="AA183" t="n">
        <v>3.16</v>
      </c>
      <c r="AB183" t="n">
        <v>34.28</v>
      </c>
      <c r="AC183" t="n">
        <v>6.17</v>
      </c>
      <c r="AD183" t="n">
        <v>0</v>
      </c>
      <c r="AE183" t="n">
        <v>163.8</v>
      </c>
      <c r="AF183" t="n">
        <v>0</v>
      </c>
      <c r="AG183" t="n">
        <v>0</v>
      </c>
      <c r="AH183" t="n">
        <v>0.16</v>
      </c>
      <c r="AI183" t="n">
        <v>8.199999999999999</v>
      </c>
      <c r="AJ183" t="n">
        <v>-0.01</v>
      </c>
      <c r="AK183" t="n">
        <v>14.53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48.81</v>
      </c>
      <c r="AV183" t="n">
        <v>0</v>
      </c>
      <c r="AW183" t="n">
        <v>123.18</v>
      </c>
      <c r="AX183" t="inlineStr">
        <is>
          <t>settled</t>
        </is>
      </c>
      <c r="AY183" t="inlineStr">
        <is>
          <t>2026-01-14 05:30:00</t>
        </is>
      </c>
      <c r="AZ183" t="inlineStr">
        <is>
          <t>CITIN26605478364</t>
        </is>
      </c>
      <c r="BA183" t="n">
        <v>0</v>
      </c>
      <c r="BB183" t="inlineStr">
        <is>
          <t>ac959b86336b04b06bbbb58e74886ff52a964329cfc7eafa2e6b99e2490579d1</t>
        </is>
      </c>
    </row>
    <row r="184">
      <c r="A184" t="inlineStr">
        <is>
          <t>179</t>
        </is>
      </c>
      <c r="B184" t="inlineStr">
        <is>
          <t>7664404566</t>
        </is>
      </c>
      <c r="C184" t="inlineStr">
        <is>
          <t>2026-01-09 00:57:12</t>
        </is>
      </c>
      <c r="D184" t="inlineStr">
        <is>
          <t>2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30% off upto ₹75 (2025-06-25 - 2031-01-01)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298</v>
      </c>
      <c r="P184" t="n">
        <v>3.5</v>
      </c>
      <c r="Q184" t="n">
        <v>0</v>
      </c>
      <c r="R184" t="n">
        <v>75</v>
      </c>
      <c r="S184" t="n">
        <v>0</v>
      </c>
      <c r="T184" t="n">
        <v>0</v>
      </c>
      <c r="U184" t="n">
        <v>0</v>
      </c>
      <c r="V184" t="n">
        <v>11.33</v>
      </c>
      <c r="W184" t="n">
        <v>237.83</v>
      </c>
      <c r="X184" t="n">
        <v>226.5</v>
      </c>
      <c r="Y184" t="n">
        <v>19</v>
      </c>
      <c r="Z184" t="n">
        <v>43.04</v>
      </c>
      <c r="AA184" t="n">
        <v>4.38</v>
      </c>
      <c r="AB184" t="n">
        <v>47.42</v>
      </c>
      <c r="AC184" t="n">
        <v>8.539999999999999</v>
      </c>
      <c r="AD184" t="n">
        <v>0</v>
      </c>
      <c r="AE184" t="n">
        <v>226.5</v>
      </c>
      <c r="AF184" t="n">
        <v>0</v>
      </c>
      <c r="AG184" t="n">
        <v>0</v>
      </c>
      <c r="AH184" t="n">
        <v>0.23</v>
      </c>
      <c r="AI184" t="n">
        <v>11.33</v>
      </c>
      <c r="AJ184" t="n">
        <v>0</v>
      </c>
      <c r="AK184" t="n">
        <v>20.1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67.52</v>
      </c>
      <c r="AV184" t="n">
        <v>0</v>
      </c>
      <c r="AW184" t="n">
        <v>170.31</v>
      </c>
      <c r="AX184" t="inlineStr">
        <is>
          <t>settled</t>
        </is>
      </c>
      <c r="AY184" t="inlineStr">
        <is>
          <t>2026-01-14 05:30:00</t>
        </is>
      </c>
      <c r="AZ184" t="inlineStr">
        <is>
          <t>CITIN26605478364</t>
        </is>
      </c>
      <c r="BA184" t="n">
        <v>0</v>
      </c>
      <c r="BB184" t="inlineStr">
        <is>
          <t>c8090a939f77994e8ab8fa1b714e379a57cb8bffaee048fc2f4fe3b9976a43bf</t>
        </is>
      </c>
    </row>
    <row r="185">
      <c r="A185" t="inlineStr">
        <is>
          <t>180</t>
        </is>
      </c>
      <c r="B185" t="inlineStr">
        <is>
          <t>7664579386</t>
        </is>
      </c>
      <c r="C185" t="inlineStr">
        <is>
          <t>2026-01-09 01:14:00</t>
        </is>
      </c>
      <c r="D185" t="inlineStr">
        <is>
          <t>2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229</v>
      </c>
      <c r="P185" t="n">
        <v>3.5</v>
      </c>
      <c r="Q185" t="n">
        <v>0</v>
      </c>
      <c r="R185" t="n">
        <v>68.7</v>
      </c>
      <c r="S185" t="n">
        <v>0</v>
      </c>
      <c r="T185" t="n">
        <v>0</v>
      </c>
      <c r="U185" t="n">
        <v>0</v>
      </c>
      <c r="V185" t="n">
        <v>8.19</v>
      </c>
      <c r="W185" t="n">
        <v>171.99</v>
      </c>
      <c r="X185" t="n">
        <v>163.8</v>
      </c>
      <c r="Y185" t="n">
        <v>19</v>
      </c>
      <c r="Z185" t="n">
        <v>31.12</v>
      </c>
      <c r="AA185" t="n">
        <v>3.16</v>
      </c>
      <c r="AB185" t="n">
        <v>34.28</v>
      </c>
      <c r="AC185" t="n">
        <v>6.17</v>
      </c>
      <c r="AD185" t="n">
        <v>0</v>
      </c>
      <c r="AE185" t="n">
        <v>163.8</v>
      </c>
      <c r="AF185" t="n">
        <v>0</v>
      </c>
      <c r="AG185" t="n">
        <v>0</v>
      </c>
      <c r="AH185" t="n">
        <v>0.16</v>
      </c>
      <c r="AI185" t="n">
        <v>8.199999999999999</v>
      </c>
      <c r="AJ185" t="n">
        <v>-0.01</v>
      </c>
      <c r="AK185" t="n">
        <v>14.53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48.81</v>
      </c>
      <c r="AV185" t="n">
        <v>0</v>
      </c>
      <c r="AW185" t="n">
        <v>123.18</v>
      </c>
      <c r="AX185" t="inlineStr">
        <is>
          <t>settled</t>
        </is>
      </c>
      <c r="AY185" t="inlineStr">
        <is>
          <t>2026-01-14 05:30:00</t>
        </is>
      </c>
      <c r="AZ185" t="inlineStr">
        <is>
          <t>CITIN26605478364</t>
        </is>
      </c>
      <c r="BA185" t="n">
        <v>0</v>
      </c>
      <c r="BB185" t="inlineStr">
        <is>
          <t>ad1033bc82d467f15f29230dbf2086013153027bbc836a8c5343c642b7f8a561</t>
        </is>
      </c>
    </row>
    <row r="186">
      <c r="A186" t="inlineStr">
        <is>
          <t>181</t>
        </is>
      </c>
      <c r="B186" t="inlineStr">
        <is>
          <t>7668411364</t>
        </is>
      </c>
      <c r="C186" t="inlineStr">
        <is>
          <t>2026-01-09 01:36:10</t>
        </is>
      </c>
      <c r="D186" t="inlineStr">
        <is>
          <t>2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30% off upto ₹75 (2025-06-25 - 2031-01-01)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289</v>
      </c>
      <c r="P186" t="n">
        <v>3.5</v>
      </c>
      <c r="Q186" t="n">
        <v>0</v>
      </c>
      <c r="R186" t="n">
        <v>75</v>
      </c>
      <c r="S186" t="n">
        <v>0</v>
      </c>
      <c r="T186" t="n">
        <v>0</v>
      </c>
      <c r="U186" t="n">
        <v>0</v>
      </c>
      <c r="V186" t="n">
        <v>10.88</v>
      </c>
      <c r="W186" t="n">
        <v>228.38</v>
      </c>
      <c r="X186" t="n">
        <v>217.5</v>
      </c>
      <c r="Y186" t="n">
        <v>19</v>
      </c>
      <c r="Z186" t="n">
        <v>41.32</v>
      </c>
      <c r="AA186" t="n">
        <v>4.2</v>
      </c>
      <c r="AB186" t="n">
        <v>45.52</v>
      </c>
      <c r="AC186" t="n">
        <v>8.199999999999999</v>
      </c>
      <c r="AD186" t="n">
        <v>0</v>
      </c>
      <c r="AE186" t="n">
        <v>217.5</v>
      </c>
      <c r="AF186" t="n">
        <v>0</v>
      </c>
      <c r="AG186" t="n">
        <v>0</v>
      </c>
      <c r="AH186" t="n">
        <v>0.22</v>
      </c>
      <c r="AI186" t="n">
        <v>10.88</v>
      </c>
      <c r="AJ186" t="n">
        <v>0</v>
      </c>
      <c r="AK186" t="n">
        <v>19.3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64.81999999999999</v>
      </c>
      <c r="AV186" t="n">
        <v>0</v>
      </c>
      <c r="AW186" t="n">
        <v>163.56</v>
      </c>
      <c r="AX186" t="inlineStr">
        <is>
          <t>settled</t>
        </is>
      </c>
      <c r="AY186" t="inlineStr">
        <is>
          <t>2026-01-14 05:30:00</t>
        </is>
      </c>
      <c r="AZ186" t="inlineStr">
        <is>
          <t>CITIN26605478364</t>
        </is>
      </c>
      <c r="BA186" t="n">
        <v>0</v>
      </c>
      <c r="BB186" t="inlineStr">
        <is>
          <t>f0b51734cfa0bf301e6eb08f8abdf8c16a46f6ebeda68b3eb768d393a778c6c4</t>
        </is>
      </c>
    </row>
    <row r="187">
      <c r="A187" t="inlineStr">
        <is>
          <t>182</t>
        </is>
      </c>
      <c r="B187" t="inlineStr">
        <is>
          <t>7662579882</t>
        </is>
      </c>
      <c r="C187" t="inlineStr">
        <is>
          <t>2026-01-09 01:52:25</t>
        </is>
      </c>
      <c r="D187" t="inlineStr">
        <is>
          <t>2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30% off upto ₹75 (2025-06-25 - 2031-01-01)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219</v>
      </c>
      <c r="P187" t="n">
        <v>3.5</v>
      </c>
      <c r="Q187" t="n">
        <v>0</v>
      </c>
      <c r="R187" t="n">
        <v>65.7</v>
      </c>
      <c r="S187" t="n">
        <v>0</v>
      </c>
      <c r="T187" t="n">
        <v>0</v>
      </c>
      <c r="U187" t="n">
        <v>0</v>
      </c>
      <c r="V187" t="n">
        <v>7.84</v>
      </c>
      <c r="W187" t="n">
        <v>164.64</v>
      </c>
      <c r="X187" t="n">
        <v>156.8</v>
      </c>
      <c r="Y187" t="n">
        <v>19</v>
      </c>
      <c r="Z187" t="n">
        <v>29.79</v>
      </c>
      <c r="AA187" t="n">
        <v>3.03</v>
      </c>
      <c r="AB187" t="n">
        <v>32.82</v>
      </c>
      <c r="AC187" t="n">
        <v>5.91</v>
      </c>
      <c r="AD187" t="n">
        <v>0</v>
      </c>
      <c r="AE187" t="n">
        <v>156.8</v>
      </c>
      <c r="AF187" t="n">
        <v>0</v>
      </c>
      <c r="AG187" t="n">
        <v>0</v>
      </c>
      <c r="AH187" t="n">
        <v>0.16</v>
      </c>
      <c r="AI187" t="n">
        <v>7.85</v>
      </c>
      <c r="AJ187" t="n">
        <v>-0.01</v>
      </c>
      <c r="AK187" t="n">
        <v>13.92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46.74</v>
      </c>
      <c r="AV187" t="n">
        <v>0</v>
      </c>
      <c r="AW187" t="n">
        <v>117.9</v>
      </c>
      <c r="AX187" t="inlineStr">
        <is>
          <t>settled</t>
        </is>
      </c>
      <c r="AY187" t="inlineStr">
        <is>
          <t>2026-01-14 05:30:00</t>
        </is>
      </c>
      <c r="AZ187" t="inlineStr">
        <is>
          <t>CITIN26605478364</t>
        </is>
      </c>
      <c r="BA187" t="n">
        <v>0</v>
      </c>
      <c r="BB187" t="inlineStr">
        <is>
          <t>9fc0d2cba7ff60ae512234a41d5e99383a380757678084687089072319607266</t>
        </is>
      </c>
    </row>
    <row r="188">
      <c r="A188" t="inlineStr">
        <is>
          <t>183</t>
        </is>
      </c>
      <c r="B188" t="inlineStr">
        <is>
          <t>7668439918</t>
        </is>
      </c>
      <c r="C188" t="inlineStr">
        <is>
          <t>2026-01-09 01:54:29</t>
        </is>
      </c>
      <c r="D188" t="inlineStr">
        <is>
          <t>2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358</v>
      </c>
      <c r="P188" t="n">
        <v>3.5</v>
      </c>
      <c r="Q188" t="n">
        <v>0</v>
      </c>
      <c r="R188" t="n">
        <v>75</v>
      </c>
      <c r="S188" t="n">
        <v>0</v>
      </c>
      <c r="T188" t="n">
        <v>0</v>
      </c>
      <c r="U188" t="n">
        <v>0</v>
      </c>
      <c r="V188" t="n">
        <v>14.33</v>
      </c>
      <c r="W188" t="n">
        <v>300.83</v>
      </c>
      <c r="X188" t="n">
        <v>286.5</v>
      </c>
      <c r="Y188" t="n">
        <v>19</v>
      </c>
      <c r="Z188" t="n">
        <v>54.44</v>
      </c>
      <c r="AA188" t="n">
        <v>5.54</v>
      </c>
      <c r="AB188" t="n">
        <v>59.98</v>
      </c>
      <c r="AC188" t="n">
        <v>10.8</v>
      </c>
      <c r="AD188" t="n">
        <v>0</v>
      </c>
      <c r="AE188" t="n">
        <v>286.5</v>
      </c>
      <c r="AF188" t="n">
        <v>0</v>
      </c>
      <c r="AG188" t="n">
        <v>0</v>
      </c>
      <c r="AH188" t="n">
        <v>0.29</v>
      </c>
      <c r="AI188" t="n">
        <v>14.33</v>
      </c>
      <c r="AJ188" t="n">
        <v>0</v>
      </c>
      <c r="AK188" t="n">
        <v>25.42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85.40000000000001</v>
      </c>
      <c r="AV188" t="n">
        <v>0</v>
      </c>
      <c r="AW188" t="n">
        <v>215.43</v>
      </c>
      <c r="AX188" t="inlineStr">
        <is>
          <t>settled</t>
        </is>
      </c>
      <c r="AY188" t="inlineStr">
        <is>
          <t>2026-01-14 05:30:00</t>
        </is>
      </c>
      <c r="AZ188" t="inlineStr">
        <is>
          <t>CITIN26605478364</t>
        </is>
      </c>
      <c r="BA188" t="n">
        <v>0</v>
      </c>
      <c r="BB188" t="inlineStr">
        <is>
          <t>1c4bdc7e32efb18f76571ccc77e10bdfcdc5a159c97efcc00ab39285a93016ad</t>
        </is>
      </c>
    </row>
    <row r="189">
      <c r="A189" t="inlineStr">
        <is>
          <t>184</t>
        </is>
      </c>
      <c r="B189" t="inlineStr">
        <is>
          <t>7669658815</t>
        </is>
      </c>
      <c r="C189" t="inlineStr">
        <is>
          <t>2026-01-09 01:58:32</t>
        </is>
      </c>
      <c r="D189" t="inlineStr">
        <is>
          <t>2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229</v>
      </c>
      <c r="P189" t="n">
        <v>3.5</v>
      </c>
      <c r="Q189" t="n">
        <v>0</v>
      </c>
      <c r="R189" t="n">
        <v>68.7</v>
      </c>
      <c r="S189" t="n">
        <v>0</v>
      </c>
      <c r="T189" t="n">
        <v>0</v>
      </c>
      <c r="U189" t="n">
        <v>0</v>
      </c>
      <c r="V189" t="n">
        <v>8.19</v>
      </c>
      <c r="W189" t="n">
        <v>171.99</v>
      </c>
      <c r="X189" t="n">
        <v>163.8</v>
      </c>
      <c r="Y189" t="n">
        <v>19</v>
      </c>
      <c r="Z189" t="n">
        <v>31.12</v>
      </c>
      <c r="AA189" t="n">
        <v>3.16</v>
      </c>
      <c r="AB189" t="n">
        <v>34.28</v>
      </c>
      <c r="AC189" t="n">
        <v>6.17</v>
      </c>
      <c r="AD189" t="n">
        <v>0</v>
      </c>
      <c r="AE189" t="n">
        <v>163.8</v>
      </c>
      <c r="AF189" t="n">
        <v>0</v>
      </c>
      <c r="AG189" t="n">
        <v>0</v>
      </c>
      <c r="AH189" t="n">
        <v>0.16</v>
      </c>
      <c r="AI189" t="n">
        <v>8.199999999999999</v>
      </c>
      <c r="AJ189" t="n">
        <v>-0.01</v>
      </c>
      <c r="AK189" t="n">
        <v>14.53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48.81</v>
      </c>
      <c r="AV189" t="n">
        <v>0</v>
      </c>
      <c r="AW189" t="n">
        <v>123.18</v>
      </c>
      <c r="AX189" t="inlineStr">
        <is>
          <t>settled</t>
        </is>
      </c>
      <c r="AY189" t="inlineStr">
        <is>
          <t>2026-01-14 05:30:00</t>
        </is>
      </c>
      <c r="AZ189" t="inlineStr">
        <is>
          <t>CITIN26605478364</t>
        </is>
      </c>
      <c r="BA189" t="n">
        <v>0</v>
      </c>
      <c r="BB189" t="inlineStr">
        <is>
          <t>0eaad69bf08861e97770bf8acdbbd8a435e3dcca60cd47403092965436010939</t>
        </is>
      </c>
    </row>
    <row r="190">
      <c r="A190" t="inlineStr">
        <is>
          <t>185</t>
        </is>
      </c>
      <c r="B190" t="inlineStr">
        <is>
          <t>7657998128</t>
        </is>
      </c>
      <c r="C190" t="inlineStr">
        <is>
          <t>2026-01-09 01:58:40</t>
        </is>
      </c>
      <c r="D190" t="inlineStr">
        <is>
          <t>2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229</v>
      </c>
      <c r="P190" t="n">
        <v>3.5</v>
      </c>
      <c r="Q190" t="n">
        <v>0</v>
      </c>
      <c r="R190" t="n">
        <v>68.7</v>
      </c>
      <c r="S190" t="n">
        <v>0</v>
      </c>
      <c r="T190" t="n">
        <v>0</v>
      </c>
      <c r="U190" t="n">
        <v>0</v>
      </c>
      <c r="V190" t="n">
        <v>8.19</v>
      </c>
      <c r="W190" t="n">
        <v>171.99</v>
      </c>
      <c r="X190" t="n">
        <v>163.8</v>
      </c>
      <c r="Y190" t="n">
        <v>19</v>
      </c>
      <c r="Z190" t="n">
        <v>31.12</v>
      </c>
      <c r="AA190" t="n">
        <v>3.16</v>
      </c>
      <c r="AB190" t="n">
        <v>34.28</v>
      </c>
      <c r="AC190" t="n">
        <v>6.17</v>
      </c>
      <c r="AD190" t="n">
        <v>0</v>
      </c>
      <c r="AE190" t="n">
        <v>163.8</v>
      </c>
      <c r="AF190" t="n">
        <v>0</v>
      </c>
      <c r="AG190" t="n">
        <v>0</v>
      </c>
      <c r="AH190" t="n">
        <v>0.16</v>
      </c>
      <c r="AI190" t="n">
        <v>8.199999999999999</v>
      </c>
      <c r="AJ190" t="n">
        <v>-0.01</v>
      </c>
      <c r="AK190" t="n">
        <v>14.53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48.81</v>
      </c>
      <c r="AV190" t="n">
        <v>0</v>
      </c>
      <c r="AW190" t="n">
        <v>123.18</v>
      </c>
      <c r="AX190" t="inlineStr">
        <is>
          <t>settled</t>
        </is>
      </c>
      <c r="AY190" t="inlineStr">
        <is>
          <t>2026-01-14 05:30:00</t>
        </is>
      </c>
      <c r="AZ190" t="inlineStr">
        <is>
          <t>CITIN26605478364</t>
        </is>
      </c>
      <c r="BA190" t="n">
        <v>0</v>
      </c>
      <c r="BB190" t="inlineStr">
        <is>
          <t>dac5457ef9e5fec177ddc0ff14b21a877b0371aa3cd4515f6bf955baedea8cb6</t>
        </is>
      </c>
    </row>
    <row r="191">
      <c r="A191" t="inlineStr">
        <is>
          <t>186</t>
        </is>
      </c>
      <c r="B191" t="inlineStr">
        <is>
          <t>7668926220</t>
        </is>
      </c>
      <c r="C191" t="inlineStr">
        <is>
          <t>2026-01-09 02:13:18</t>
        </is>
      </c>
      <c r="D191" t="inlineStr">
        <is>
          <t>2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68.7</v>
      </c>
      <c r="S191" t="n">
        <v>0</v>
      </c>
      <c r="T191" t="n">
        <v>0</v>
      </c>
      <c r="U191" t="n">
        <v>0</v>
      </c>
      <c r="V191" t="n">
        <v>8.19</v>
      </c>
      <c r="W191" t="n">
        <v>171.99</v>
      </c>
      <c r="X191" t="n">
        <v>163.8</v>
      </c>
      <c r="Y191" t="n">
        <v>19</v>
      </c>
      <c r="Z191" t="n">
        <v>31.12</v>
      </c>
      <c r="AA191" t="n">
        <v>3.16</v>
      </c>
      <c r="AB191" t="n">
        <v>34.28</v>
      </c>
      <c r="AC191" t="n">
        <v>6.17</v>
      </c>
      <c r="AD191" t="n">
        <v>0</v>
      </c>
      <c r="AE191" t="n">
        <v>163.8</v>
      </c>
      <c r="AF191" t="n">
        <v>0</v>
      </c>
      <c r="AG191" t="n">
        <v>0</v>
      </c>
      <c r="AH191" t="n">
        <v>0.16</v>
      </c>
      <c r="AI191" t="n">
        <v>8.199999999999999</v>
      </c>
      <c r="AJ191" t="n">
        <v>-0.01</v>
      </c>
      <c r="AK191" t="n">
        <v>14.53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48.81</v>
      </c>
      <c r="AV191" t="n">
        <v>0</v>
      </c>
      <c r="AW191" t="n">
        <v>123.18</v>
      </c>
      <c r="AX191" t="inlineStr">
        <is>
          <t>settled</t>
        </is>
      </c>
      <c r="AY191" t="inlineStr">
        <is>
          <t>2026-01-14 05:30:00</t>
        </is>
      </c>
      <c r="AZ191" t="inlineStr">
        <is>
          <t>CITIN26605478364</t>
        </is>
      </c>
      <c r="BA191" t="n">
        <v>0</v>
      </c>
      <c r="BB191" t="inlineStr">
        <is>
          <t>409b2c3390da88a7d98688b2d0bdaa2fce22d599ec60d25180322258c2516ae8</t>
        </is>
      </c>
    </row>
    <row r="192">
      <c r="A192" t="inlineStr">
        <is>
          <t>187</t>
        </is>
      </c>
      <c r="B192" t="inlineStr">
        <is>
          <t>7668670743</t>
        </is>
      </c>
      <c r="C192" t="inlineStr">
        <is>
          <t>2026-01-09 02:55:02</t>
        </is>
      </c>
      <c r="D192" t="inlineStr">
        <is>
          <t>2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458</v>
      </c>
      <c r="P192" t="n">
        <v>3.5</v>
      </c>
      <c r="Q192" t="n">
        <v>0</v>
      </c>
      <c r="R192" t="n">
        <v>75</v>
      </c>
      <c r="S192" t="n">
        <v>0</v>
      </c>
      <c r="T192" t="n">
        <v>0</v>
      </c>
      <c r="U192" t="n">
        <v>0</v>
      </c>
      <c r="V192" t="n">
        <v>19.33</v>
      </c>
      <c r="W192" t="n">
        <v>405.83</v>
      </c>
      <c r="X192" t="n">
        <v>386.5</v>
      </c>
      <c r="Y192" t="n">
        <v>19</v>
      </c>
      <c r="Z192" t="n">
        <v>73.44</v>
      </c>
      <c r="AA192" t="n">
        <v>7.47</v>
      </c>
      <c r="AB192" t="n">
        <v>80.91</v>
      </c>
      <c r="AC192" t="n">
        <v>14.56</v>
      </c>
      <c r="AD192" t="n">
        <v>0</v>
      </c>
      <c r="AE192" t="n">
        <v>386.5</v>
      </c>
      <c r="AF192" t="n">
        <v>0</v>
      </c>
      <c r="AG192" t="n">
        <v>0</v>
      </c>
      <c r="AH192" t="n">
        <v>0.39</v>
      </c>
      <c r="AI192" t="n">
        <v>19.33</v>
      </c>
      <c r="AJ192" t="n">
        <v>0</v>
      </c>
      <c r="AK192" t="n">
        <v>34.28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115.19</v>
      </c>
      <c r="AV192" t="n">
        <v>0</v>
      </c>
      <c r="AW192" t="n">
        <v>290.64</v>
      </c>
      <c r="AX192" t="inlineStr">
        <is>
          <t>settled</t>
        </is>
      </c>
      <c r="AY192" t="inlineStr">
        <is>
          <t>2026-01-14 05:30:00</t>
        </is>
      </c>
      <c r="AZ192" t="inlineStr">
        <is>
          <t>CITIN26605478364</t>
        </is>
      </c>
      <c r="BA192" t="n">
        <v>0</v>
      </c>
      <c r="BB192" t="inlineStr">
        <is>
          <t>2803a5ed412487405372503a65ed749e7e75e376a28121f5127433548620d026</t>
        </is>
      </c>
    </row>
    <row r="193">
      <c r="A193" t="inlineStr">
        <is>
          <t>188</t>
        </is>
      </c>
      <c r="B193" t="inlineStr">
        <is>
          <t>7670026983</t>
        </is>
      </c>
      <c r="C193" t="inlineStr">
        <is>
          <t>2026-01-09 02:59:57</t>
        </is>
      </c>
      <c r="D193" t="inlineStr">
        <is>
          <t>2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1264</v>
      </c>
      <c r="P193" t="n">
        <v>3.5</v>
      </c>
      <c r="Q193" t="n">
        <v>0</v>
      </c>
      <c r="R193" t="n">
        <v>75</v>
      </c>
      <c r="S193" t="n">
        <v>0</v>
      </c>
      <c r="T193" t="n">
        <v>0</v>
      </c>
      <c r="U193" t="n">
        <v>0</v>
      </c>
      <c r="V193" t="n">
        <v>59.63</v>
      </c>
      <c r="W193" t="n">
        <v>1252.13</v>
      </c>
      <c r="X193" t="n">
        <v>1192.5</v>
      </c>
      <c r="Y193" t="n">
        <v>19</v>
      </c>
      <c r="Z193" t="n">
        <v>226.58</v>
      </c>
      <c r="AA193" t="n">
        <v>23.04</v>
      </c>
      <c r="AB193" t="n">
        <v>249.62</v>
      </c>
      <c r="AC193" t="n">
        <v>44.93</v>
      </c>
      <c r="AD193" t="n">
        <v>0</v>
      </c>
      <c r="AE193" t="n">
        <v>1192.5</v>
      </c>
      <c r="AF193" t="n">
        <v>0</v>
      </c>
      <c r="AG193" t="n">
        <v>0</v>
      </c>
      <c r="AH193" t="n">
        <v>1.19</v>
      </c>
      <c r="AI193" t="n">
        <v>59.63</v>
      </c>
      <c r="AJ193" t="n">
        <v>0</v>
      </c>
      <c r="AK193" t="n">
        <v>105.75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355.37</v>
      </c>
      <c r="AV193" t="n">
        <v>0</v>
      </c>
      <c r="AW193" t="n">
        <v>896.76</v>
      </c>
      <c r="AX193" t="inlineStr">
        <is>
          <t>settled</t>
        </is>
      </c>
      <c r="AY193" t="inlineStr">
        <is>
          <t>2026-01-14 05:30:00</t>
        </is>
      </c>
      <c r="AZ193" t="inlineStr">
        <is>
          <t>CITIN26605478364</t>
        </is>
      </c>
      <c r="BA193" t="n">
        <v>0</v>
      </c>
      <c r="BB193" t="inlineStr">
        <is>
          <t>662f7da9b1dabbdad09c00cced925b60d319733603d0fdc65ad5f3461133cb88</t>
        </is>
      </c>
    </row>
    <row r="194">
      <c r="A194" t="inlineStr">
        <is>
          <t>189</t>
        </is>
      </c>
      <c r="B194" t="inlineStr">
        <is>
          <t>7665334574</t>
        </is>
      </c>
      <c r="C194" t="inlineStr">
        <is>
          <t>2026-01-09 03:02:09</t>
        </is>
      </c>
      <c r="D194" t="inlineStr">
        <is>
          <t>2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229</v>
      </c>
      <c r="P194" t="n">
        <v>3.5</v>
      </c>
      <c r="Q194" t="n">
        <v>0</v>
      </c>
      <c r="R194" t="n">
        <v>68.7</v>
      </c>
      <c r="S194" t="n">
        <v>0</v>
      </c>
      <c r="T194" t="n">
        <v>0</v>
      </c>
      <c r="U194" t="n">
        <v>0</v>
      </c>
      <c r="V194" t="n">
        <v>8.19</v>
      </c>
      <c r="W194" t="n">
        <v>171.99</v>
      </c>
      <c r="X194" t="n">
        <v>163.8</v>
      </c>
      <c r="Y194" t="n">
        <v>19</v>
      </c>
      <c r="Z194" t="n">
        <v>31.12</v>
      </c>
      <c r="AA194" t="n">
        <v>3.16</v>
      </c>
      <c r="AB194" t="n">
        <v>34.28</v>
      </c>
      <c r="AC194" t="n">
        <v>6.17</v>
      </c>
      <c r="AD194" t="n">
        <v>0</v>
      </c>
      <c r="AE194" t="n">
        <v>163.8</v>
      </c>
      <c r="AF194" t="n">
        <v>0</v>
      </c>
      <c r="AG194" t="n">
        <v>0</v>
      </c>
      <c r="AH194" t="n">
        <v>0.16</v>
      </c>
      <c r="AI194" t="n">
        <v>8.199999999999999</v>
      </c>
      <c r="AJ194" t="n">
        <v>-0.01</v>
      </c>
      <c r="AK194" t="n">
        <v>14.53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48.81</v>
      </c>
      <c r="AV194" t="n">
        <v>0</v>
      </c>
      <c r="AW194" t="n">
        <v>123.18</v>
      </c>
      <c r="AX194" t="inlineStr">
        <is>
          <t>settled</t>
        </is>
      </c>
      <c r="AY194" t="inlineStr">
        <is>
          <t>2026-01-14 05:30:00</t>
        </is>
      </c>
      <c r="AZ194" t="inlineStr">
        <is>
          <t>CITIN26605478364</t>
        </is>
      </c>
      <c r="BA194" t="n">
        <v>0</v>
      </c>
      <c r="BB194" t="inlineStr">
        <is>
          <t>a0349a687deb7a45cd24f6ab9c698bd6a8a35174ac7b5d4b5e95edb6591c1fe2</t>
        </is>
      </c>
    </row>
    <row r="195">
      <c r="A195" t="inlineStr">
        <is>
          <t>190</t>
        </is>
      </c>
      <c r="B195" t="inlineStr">
        <is>
          <t>7670025142</t>
        </is>
      </c>
      <c r="C195" t="inlineStr">
        <is>
          <t>2026-01-09 03:04:09</t>
        </is>
      </c>
      <c r="D195" t="inlineStr">
        <is>
          <t>2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229</v>
      </c>
      <c r="P195" t="n">
        <v>3.5</v>
      </c>
      <c r="Q195" t="n">
        <v>0</v>
      </c>
      <c r="R195" t="n">
        <v>68.7</v>
      </c>
      <c r="S195" t="n">
        <v>0</v>
      </c>
      <c r="T195" t="n">
        <v>0</v>
      </c>
      <c r="U195" t="n">
        <v>0</v>
      </c>
      <c r="V195" t="n">
        <v>8.19</v>
      </c>
      <c r="W195" t="n">
        <v>171.99</v>
      </c>
      <c r="X195" t="n">
        <v>163.8</v>
      </c>
      <c r="Y195" t="n">
        <v>19</v>
      </c>
      <c r="Z195" t="n">
        <v>31.12</v>
      </c>
      <c r="AA195" t="n">
        <v>3.16</v>
      </c>
      <c r="AB195" t="n">
        <v>34.28</v>
      </c>
      <c r="AC195" t="n">
        <v>6.17</v>
      </c>
      <c r="AD195" t="n">
        <v>0</v>
      </c>
      <c r="AE195" t="n">
        <v>163.8</v>
      </c>
      <c r="AF195" t="n">
        <v>0</v>
      </c>
      <c r="AG195" t="n">
        <v>0</v>
      </c>
      <c r="AH195" t="n">
        <v>0.16</v>
      </c>
      <c r="AI195" t="n">
        <v>8.199999999999999</v>
      </c>
      <c r="AJ195" t="n">
        <v>-0.01</v>
      </c>
      <c r="AK195" t="n">
        <v>14.53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48.81</v>
      </c>
      <c r="AV195" t="n">
        <v>0</v>
      </c>
      <c r="AW195" t="n">
        <v>123.18</v>
      </c>
      <c r="AX195" t="inlineStr">
        <is>
          <t>settled</t>
        </is>
      </c>
      <c r="AY195" t="inlineStr">
        <is>
          <t>2026-01-14 05:30:00</t>
        </is>
      </c>
      <c r="AZ195" t="inlineStr">
        <is>
          <t>CITIN26605478364</t>
        </is>
      </c>
      <c r="BA195" t="n">
        <v>0</v>
      </c>
      <c r="BB195" t="inlineStr">
        <is>
          <t>a4a70e0e977a73da377b4f40475eaf264e2652e623d22ae3ef862491d5035f2f</t>
        </is>
      </c>
    </row>
    <row r="196">
      <c r="A196" t="inlineStr">
        <is>
          <t>191</t>
        </is>
      </c>
      <c r="B196" t="inlineStr">
        <is>
          <t>7659224691</t>
        </is>
      </c>
      <c r="C196" t="inlineStr">
        <is>
          <t>2026-01-09 03:40:39</t>
        </is>
      </c>
      <c r="D196" t="inlineStr">
        <is>
          <t>2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30% off upto ₹75 (2025-06-25 - 2031-01-01)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229</v>
      </c>
      <c r="P196" t="n">
        <v>3.5</v>
      </c>
      <c r="Q196" t="n">
        <v>0</v>
      </c>
      <c r="R196" t="n">
        <v>68.7</v>
      </c>
      <c r="S196" t="n">
        <v>0</v>
      </c>
      <c r="T196" t="n">
        <v>0</v>
      </c>
      <c r="U196" t="n">
        <v>0</v>
      </c>
      <c r="V196" t="n">
        <v>8.19</v>
      </c>
      <c r="W196" t="n">
        <v>171.99</v>
      </c>
      <c r="X196" t="n">
        <v>163.8</v>
      </c>
      <c r="Y196" t="n">
        <v>19</v>
      </c>
      <c r="Z196" t="n">
        <v>31.12</v>
      </c>
      <c r="AA196" t="n">
        <v>3.16</v>
      </c>
      <c r="AB196" t="n">
        <v>34.28</v>
      </c>
      <c r="AC196" t="n">
        <v>6.17</v>
      </c>
      <c r="AD196" t="n">
        <v>0</v>
      </c>
      <c r="AE196" t="n">
        <v>163.8</v>
      </c>
      <c r="AF196" t="n">
        <v>0</v>
      </c>
      <c r="AG196" t="n">
        <v>0</v>
      </c>
      <c r="AH196" t="n">
        <v>0.16</v>
      </c>
      <c r="AI196" t="n">
        <v>8.199999999999999</v>
      </c>
      <c r="AJ196" t="n">
        <v>-0.01</v>
      </c>
      <c r="AK196" t="n">
        <v>14.53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48.81</v>
      </c>
      <c r="AV196" t="n">
        <v>0</v>
      </c>
      <c r="AW196" t="n">
        <v>123.18</v>
      </c>
      <c r="AX196" t="inlineStr">
        <is>
          <t>settled</t>
        </is>
      </c>
      <c r="AY196" t="inlineStr">
        <is>
          <t>2026-01-14 05:30:00</t>
        </is>
      </c>
      <c r="AZ196" t="inlineStr">
        <is>
          <t>CITIN26605478364</t>
        </is>
      </c>
      <c r="BA196" t="n">
        <v>0</v>
      </c>
      <c r="BB196" t="inlineStr">
        <is>
          <t>42ba7bcede19cb228ac1b9b7f3a6410a78610aaae747ae2731c6c66fb6709154</t>
        </is>
      </c>
    </row>
    <row r="197">
      <c r="A197" t="inlineStr">
        <is>
          <t>192</t>
        </is>
      </c>
      <c r="B197" t="inlineStr">
        <is>
          <t>7669631401</t>
        </is>
      </c>
      <c r="C197" t="inlineStr">
        <is>
          <t>2026-01-09 04:29:11</t>
        </is>
      </c>
      <c r="D197" t="inlineStr">
        <is>
          <t>2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30% off upto ₹75 (2025-06-25 - 2031-01-01)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219</v>
      </c>
      <c r="P197" t="n">
        <v>3.5</v>
      </c>
      <c r="Q197" t="n">
        <v>0</v>
      </c>
      <c r="R197" t="n">
        <v>65.7</v>
      </c>
      <c r="S197" t="n">
        <v>0</v>
      </c>
      <c r="T197" t="n">
        <v>0</v>
      </c>
      <c r="U197" t="n">
        <v>0</v>
      </c>
      <c r="V197" t="n">
        <v>7.84</v>
      </c>
      <c r="W197" t="n">
        <v>164.64</v>
      </c>
      <c r="X197" t="n">
        <v>156.8</v>
      </c>
      <c r="Y197" t="n">
        <v>19</v>
      </c>
      <c r="Z197" t="n">
        <v>29.79</v>
      </c>
      <c r="AA197" t="n">
        <v>3.03</v>
      </c>
      <c r="AB197" t="n">
        <v>32.82</v>
      </c>
      <c r="AC197" t="n">
        <v>5.91</v>
      </c>
      <c r="AD197" t="n">
        <v>0</v>
      </c>
      <c r="AE197" t="n">
        <v>156.8</v>
      </c>
      <c r="AF197" t="n">
        <v>0</v>
      </c>
      <c r="AG197" t="n">
        <v>0</v>
      </c>
      <c r="AH197" t="n">
        <v>0.16</v>
      </c>
      <c r="AI197" t="n">
        <v>7.85</v>
      </c>
      <c r="AJ197" t="n">
        <v>-0.01</v>
      </c>
      <c r="AK197" t="n">
        <v>13.92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46.74</v>
      </c>
      <c r="AV197" t="n">
        <v>0</v>
      </c>
      <c r="AW197" t="n">
        <v>117.9</v>
      </c>
      <c r="AX197" t="inlineStr">
        <is>
          <t>settled</t>
        </is>
      </c>
      <c r="AY197" t="inlineStr">
        <is>
          <t>2026-01-14 05:30:00</t>
        </is>
      </c>
      <c r="AZ197" t="inlineStr">
        <is>
          <t>CITIN26605478364</t>
        </is>
      </c>
      <c r="BA197" t="n">
        <v>0</v>
      </c>
      <c r="BB197" t="inlineStr">
        <is>
          <t>08ca0f866bef522dcce98f40d58eb3cddd00f05029d76ab9c73a6d65d5fa4637</t>
        </is>
      </c>
    </row>
    <row r="198">
      <c r="A198" t="inlineStr">
        <is>
          <t>193</t>
        </is>
      </c>
      <c r="B198" t="inlineStr">
        <is>
          <t>7663811908</t>
        </is>
      </c>
      <c r="C198" t="inlineStr">
        <is>
          <t>2026-01-09 09:48:51</t>
        </is>
      </c>
      <c r="D198" t="inlineStr">
        <is>
          <t>2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30% off upto ₹75 (2025-06-25 - 2031-01-01)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219</v>
      </c>
      <c r="P198" t="n">
        <v>3.5</v>
      </c>
      <c r="Q198" t="n">
        <v>0</v>
      </c>
      <c r="R198" t="n">
        <v>65.7</v>
      </c>
      <c r="S198" t="n">
        <v>0</v>
      </c>
      <c r="T198" t="n">
        <v>0</v>
      </c>
      <c r="U198" t="n">
        <v>0</v>
      </c>
      <c r="V198" t="n">
        <v>7.84</v>
      </c>
      <c r="W198" t="n">
        <v>164.64</v>
      </c>
      <c r="X198" t="n">
        <v>156.8</v>
      </c>
      <c r="Y198" t="n">
        <v>19</v>
      </c>
      <c r="Z198" t="n">
        <v>29.79</v>
      </c>
      <c r="AA198" t="n">
        <v>3.03</v>
      </c>
      <c r="AB198" t="n">
        <v>32.82</v>
      </c>
      <c r="AC198" t="n">
        <v>5.91</v>
      </c>
      <c r="AD198" t="n">
        <v>0</v>
      </c>
      <c r="AE198" t="n">
        <v>156.8</v>
      </c>
      <c r="AF198" t="n">
        <v>0</v>
      </c>
      <c r="AG198" t="n">
        <v>0</v>
      </c>
      <c r="AH198" t="n">
        <v>0.16</v>
      </c>
      <c r="AI198" t="n">
        <v>7.85</v>
      </c>
      <c r="AJ198" t="n">
        <v>-0.01</v>
      </c>
      <c r="AK198" t="n">
        <v>13.92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46.74</v>
      </c>
      <c r="AV198" t="n">
        <v>0</v>
      </c>
      <c r="AW198" t="n">
        <v>117.9</v>
      </c>
      <c r="AX198" t="inlineStr">
        <is>
          <t>settled</t>
        </is>
      </c>
      <c r="AY198" t="inlineStr">
        <is>
          <t>2026-01-14 05:30:00</t>
        </is>
      </c>
      <c r="AZ198" t="inlineStr">
        <is>
          <t>CITIN26605478364</t>
        </is>
      </c>
      <c r="BA198" t="n">
        <v>0</v>
      </c>
      <c r="BB198" t="inlineStr">
        <is>
          <t>656a2c38c193566ce7a7d8ea2f35863f84c45d3d105ff1f5cbf7c2f8c8ea3812</t>
        </is>
      </c>
    </row>
    <row r="199">
      <c r="A199" t="inlineStr">
        <is>
          <t>194</t>
        </is>
      </c>
      <c r="B199" t="inlineStr">
        <is>
          <t>7665955862</t>
        </is>
      </c>
      <c r="C199" t="inlineStr">
        <is>
          <t>2026-01-09 10:34:03</t>
        </is>
      </c>
      <c r="D199" t="inlineStr">
        <is>
          <t>2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NA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219</v>
      </c>
      <c r="P199" t="n">
        <v>3.5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11.13</v>
      </c>
      <c r="W199" t="n">
        <v>233.63</v>
      </c>
      <c r="X199" t="n">
        <v>222.5</v>
      </c>
      <c r="Y199" t="n">
        <v>19</v>
      </c>
      <c r="Z199" t="n">
        <v>42.28</v>
      </c>
      <c r="AA199" t="n">
        <v>4.3</v>
      </c>
      <c r="AB199" t="n">
        <v>46.58</v>
      </c>
      <c r="AC199" t="n">
        <v>8.380000000000001</v>
      </c>
      <c r="AD199" t="n">
        <v>0</v>
      </c>
      <c r="AE199" t="n">
        <v>222.5</v>
      </c>
      <c r="AF199" t="n">
        <v>0</v>
      </c>
      <c r="AG199" t="n">
        <v>0</v>
      </c>
      <c r="AH199" t="n">
        <v>0.22</v>
      </c>
      <c r="AI199" t="n">
        <v>11.13</v>
      </c>
      <c r="AJ199" t="n">
        <v>0</v>
      </c>
      <c r="AK199" t="n">
        <v>19.73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66.31</v>
      </c>
      <c r="AV199" t="n">
        <v>0</v>
      </c>
      <c r="AW199" t="n">
        <v>167.32</v>
      </c>
      <c r="AX199" t="inlineStr">
        <is>
          <t>settled</t>
        </is>
      </c>
      <c r="AY199" t="inlineStr">
        <is>
          <t>2026-01-14 05:30:00</t>
        </is>
      </c>
      <c r="AZ199" t="inlineStr">
        <is>
          <t>CITIN26605478364</t>
        </is>
      </c>
      <c r="BA199" t="n">
        <v>0</v>
      </c>
      <c r="BB199" t="inlineStr">
        <is>
          <t>addfa40b1b88803ba5dc5b111cce752267e4435d48b23a4c90022998053b6113</t>
        </is>
      </c>
    </row>
    <row r="200">
      <c r="A200" t="inlineStr">
        <is>
          <t>195</t>
        </is>
      </c>
      <c r="B200" t="inlineStr">
        <is>
          <t>7669065011</t>
        </is>
      </c>
      <c r="C200" t="inlineStr">
        <is>
          <t>2026-01-09 12:05:55</t>
        </is>
      </c>
      <c r="D200" t="inlineStr">
        <is>
          <t>2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458</v>
      </c>
      <c r="P200" t="n">
        <v>3.5</v>
      </c>
      <c r="Q200" t="n">
        <v>0</v>
      </c>
      <c r="R200" t="n">
        <v>75</v>
      </c>
      <c r="S200" t="n">
        <v>0</v>
      </c>
      <c r="T200" t="n">
        <v>0</v>
      </c>
      <c r="U200" t="n">
        <v>0</v>
      </c>
      <c r="V200" t="n">
        <v>19.33</v>
      </c>
      <c r="W200" t="n">
        <v>405.83</v>
      </c>
      <c r="X200" t="n">
        <v>386.5</v>
      </c>
      <c r="Y200" t="n">
        <v>19</v>
      </c>
      <c r="Z200" t="n">
        <v>73.44</v>
      </c>
      <c r="AA200" t="n">
        <v>7.47</v>
      </c>
      <c r="AB200" t="n">
        <v>80.91</v>
      </c>
      <c r="AC200" t="n">
        <v>14.56</v>
      </c>
      <c r="AD200" t="n">
        <v>0</v>
      </c>
      <c r="AE200" t="n">
        <v>386.5</v>
      </c>
      <c r="AF200" t="n">
        <v>0</v>
      </c>
      <c r="AG200" t="n">
        <v>0</v>
      </c>
      <c r="AH200" t="n">
        <v>0.39</v>
      </c>
      <c r="AI200" t="n">
        <v>19.33</v>
      </c>
      <c r="AJ200" t="n">
        <v>0</v>
      </c>
      <c r="AK200" t="n">
        <v>34.28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115.19</v>
      </c>
      <c r="AV200" t="n">
        <v>0</v>
      </c>
      <c r="AW200" t="n">
        <v>290.64</v>
      </c>
      <c r="AX200" t="inlineStr">
        <is>
          <t>settled</t>
        </is>
      </c>
      <c r="AY200" t="inlineStr">
        <is>
          <t>2026-01-14 05:30:00</t>
        </is>
      </c>
      <c r="AZ200" t="inlineStr">
        <is>
          <t>CITIN26605478364</t>
        </is>
      </c>
      <c r="BA200" t="n">
        <v>0</v>
      </c>
      <c r="BB200" t="inlineStr">
        <is>
          <t>794a71d4a9a77bc29ef9d7ee5b32c508006ec36d2420d531f91e2b699a4c6e40</t>
        </is>
      </c>
    </row>
    <row r="201">
      <c r="A201" t="inlineStr">
        <is>
          <t>196</t>
        </is>
      </c>
      <c r="B201" t="inlineStr">
        <is>
          <t>7671593306</t>
        </is>
      </c>
      <c r="C201" t="inlineStr">
        <is>
          <t>2026-01-09 12:47:24</t>
        </is>
      </c>
      <c r="D201" t="inlineStr">
        <is>
          <t>2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258</v>
      </c>
      <c r="P201" t="n">
        <v>3.5</v>
      </c>
      <c r="Q201" t="n">
        <v>0</v>
      </c>
      <c r="R201" t="n">
        <v>75</v>
      </c>
      <c r="S201" t="n">
        <v>0</v>
      </c>
      <c r="T201" t="n">
        <v>0</v>
      </c>
      <c r="U201" t="n">
        <v>0</v>
      </c>
      <c r="V201" t="n">
        <v>9.33</v>
      </c>
      <c r="W201" t="n">
        <v>195.83</v>
      </c>
      <c r="X201" t="n">
        <v>186.5</v>
      </c>
      <c r="Y201" t="n">
        <v>19</v>
      </c>
      <c r="Z201" t="n">
        <v>35.44</v>
      </c>
      <c r="AA201" t="n">
        <v>3.6</v>
      </c>
      <c r="AB201" t="n">
        <v>39.04</v>
      </c>
      <c r="AC201" t="n">
        <v>7.03</v>
      </c>
      <c r="AD201" t="n">
        <v>0</v>
      </c>
      <c r="AE201" t="n">
        <v>186.5</v>
      </c>
      <c r="AF201" t="n">
        <v>0</v>
      </c>
      <c r="AG201" t="n">
        <v>0</v>
      </c>
      <c r="AH201" t="n">
        <v>0.19</v>
      </c>
      <c r="AI201" t="n">
        <v>9.33</v>
      </c>
      <c r="AJ201" t="n">
        <v>0</v>
      </c>
      <c r="AK201" t="n">
        <v>16.55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55.59</v>
      </c>
      <c r="AV201" t="n">
        <v>0</v>
      </c>
      <c r="AW201" t="n">
        <v>140.24</v>
      </c>
      <c r="AX201" t="inlineStr">
        <is>
          <t>settled</t>
        </is>
      </c>
      <c r="AY201" t="inlineStr">
        <is>
          <t>2026-01-14 05:30:00</t>
        </is>
      </c>
      <c r="AZ201" t="inlineStr">
        <is>
          <t>CITIN26605478364</t>
        </is>
      </c>
      <c r="BA201" t="n">
        <v>0</v>
      </c>
      <c r="BB201" t="inlineStr">
        <is>
          <t>4f60c89f2ab51f850c63b7ce29718021fe7cc6b7073d1ad678b971bf67dabb46</t>
        </is>
      </c>
    </row>
    <row r="202">
      <c r="A202" t="inlineStr">
        <is>
          <t>197</t>
        </is>
      </c>
      <c r="B202" t="inlineStr">
        <is>
          <t>7645040038</t>
        </is>
      </c>
      <c r="C202" t="inlineStr">
        <is>
          <t>2026-01-09 12:58:38</t>
        </is>
      </c>
      <c r="D202" t="inlineStr">
        <is>
          <t>2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30% off upto ₹75 (2025-06-25 - 2031-01-01)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229</v>
      </c>
      <c r="P202" t="n">
        <v>3.5</v>
      </c>
      <c r="Q202" t="n">
        <v>0</v>
      </c>
      <c r="R202" t="n">
        <v>68.7</v>
      </c>
      <c r="S202" t="n">
        <v>0</v>
      </c>
      <c r="T202" t="n">
        <v>0</v>
      </c>
      <c r="U202" t="n">
        <v>0</v>
      </c>
      <c r="V202" t="n">
        <v>8.19</v>
      </c>
      <c r="W202" t="n">
        <v>171.99</v>
      </c>
      <c r="X202" t="n">
        <v>163.8</v>
      </c>
      <c r="Y202" t="n">
        <v>19</v>
      </c>
      <c r="Z202" t="n">
        <v>31.12</v>
      </c>
      <c r="AA202" t="n">
        <v>3.16</v>
      </c>
      <c r="AB202" t="n">
        <v>34.28</v>
      </c>
      <c r="AC202" t="n">
        <v>6.17</v>
      </c>
      <c r="AD202" t="n">
        <v>0</v>
      </c>
      <c r="AE202" t="n">
        <v>163.8</v>
      </c>
      <c r="AF202" t="n">
        <v>0</v>
      </c>
      <c r="AG202" t="n">
        <v>0</v>
      </c>
      <c r="AH202" t="n">
        <v>0.16</v>
      </c>
      <c r="AI202" t="n">
        <v>8.199999999999999</v>
      </c>
      <c r="AJ202" t="n">
        <v>-0.01</v>
      </c>
      <c r="AK202" t="n">
        <v>14.53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48.81</v>
      </c>
      <c r="AV202" t="n">
        <v>0</v>
      </c>
      <c r="AW202" t="n">
        <v>123.18</v>
      </c>
      <c r="AX202" t="inlineStr">
        <is>
          <t>settled</t>
        </is>
      </c>
      <c r="AY202" t="inlineStr">
        <is>
          <t>2026-01-14 05:30:00</t>
        </is>
      </c>
      <c r="AZ202" t="inlineStr">
        <is>
          <t>CITIN26605478364</t>
        </is>
      </c>
      <c r="BA202" t="n">
        <v>0</v>
      </c>
      <c r="BB202" t="inlineStr">
        <is>
          <t>b68b459776b9656e79cdb1b5add6ba44fab0c6b20b1117efb05c0c0d9d133242</t>
        </is>
      </c>
    </row>
    <row r="203">
      <c r="A203" t="inlineStr">
        <is>
          <t>198</t>
        </is>
      </c>
      <c r="B203" t="inlineStr">
        <is>
          <t>7665789641</t>
        </is>
      </c>
      <c r="C203" t="inlineStr">
        <is>
          <t>2026-01-09 13:08:44</t>
        </is>
      </c>
      <c r="D203" t="inlineStr">
        <is>
          <t>2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30% off upto ₹75 (2025-06-25 - 2031-01-01)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355</v>
      </c>
      <c r="P203" t="n">
        <v>3.5</v>
      </c>
      <c r="Q203" t="n">
        <v>0</v>
      </c>
      <c r="R203" t="n">
        <v>75</v>
      </c>
      <c r="S203" t="n">
        <v>0</v>
      </c>
      <c r="T203" t="n">
        <v>0</v>
      </c>
      <c r="U203" t="n">
        <v>0</v>
      </c>
      <c r="V203" t="n">
        <v>14.18</v>
      </c>
      <c r="W203" t="n">
        <v>297.68</v>
      </c>
      <c r="X203" t="n">
        <v>283.5</v>
      </c>
      <c r="Y203" t="n">
        <v>19</v>
      </c>
      <c r="Z203" t="n">
        <v>53.86</v>
      </c>
      <c r="AA203" t="n">
        <v>5.48</v>
      </c>
      <c r="AB203" t="n">
        <v>59.34</v>
      </c>
      <c r="AC203" t="n">
        <v>10.68</v>
      </c>
      <c r="AD203" t="n">
        <v>0</v>
      </c>
      <c r="AE203" t="n">
        <v>283.5</v>
      </c>
      <c r="AF203" t="n">
        <v>0</v>
      </c>
      <c r="AG203" t="n">
        <v>0</v>
      </c>
      <c r="AH203" t="n">
        <v>0.28</v>
      </c>
      <c r="AI203" t="n">
        <v>14.18</v>
      </c>
      <c r="AJ203" t="n">
        <v>0</v>
      </c>
      <c r="AK203" t="n">
        <v>25.14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84.48</v>
      </c>
      <c r="AV203" t="n">
        <v>0</v>
      </c>
      <c r="AW203" t="n">
        <v>213.2</v>
      </c>
      <c r="AX203" t="inlineStr">
        <is>
          <t>settled</t>
        </is>
      </c>
      <c r="AY203" t="inlineStr">
        <is>
          <t>2026-01-14 05:30:00</t>
        </is>
      </c>
      <c r="AZ203" t="inlineStr">
        <is>
          <t>CITIN26605478364</t>
        </is>
      </c>
      <c r="BA203" t="n">
        <v>0</v>
      </c>
      <c r="BB203" t="inlineStr">
        <is>
          <t>5cef89cd8427a9c1d59a310fb018f8d004816f36003ded1704ed7fcfda5999eb</t>
        </is>
      </c>
    </row>
    <row r="204">
      <c r="A204" t="inlineStr">
        <is>
          <t>199</t>
        </is>
      </c>
      <c r="B204" t="inlineStr">
        <is>
          <t>7669759182</t>
        </is>
      </c>
      <c r="C204" t="inlineStr">
        <is>
          <t>2026-01-09 13:31:15</t>
        </is>
      </c>
      <c r="D204" t="inlineStr">
        <is>
          <t>2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468</v>
      </c>
      <c r="P204" t="n">
        <v>3.5</v>
      </c>
      <c r="Q204" t="n">
        <v>0</v>
      </c>
      <c r="R204" t="n">
        <v>75</v>
      </c>
      <c r="S204" t="n">
        <v>0</v>
      </c>
      <c r="T204" t="n">
        <v>0</v>
      </c>
      <c r="U204" t="n">
        <v>0</v>
      </c>
      <c r="V204" t="n">
        <v>19.83</v>
      </c>
      <c r="W204" t="n">
        <v>416.33</v>
      </c>
      <c r="X204" t="n">
        <v>396.5</v>
      </c>
      <c r="Y204" t="n">
        <v>19</v>
      </c>
      <c r="Z204" t="n">
        <v>75.34</v>
      </c>
      <c r="AA204" t="n">
        <v>7.66</v>
      </c>
      <c r="AB204" t="n">
        <v>83</v>
      </c>
      <c r="AC204" t="n">
        <v>14.94</v>
      </c>
      <c r="AD204" t="n">
        <v>0</v>
      </c>
      <c r="AE204" t="n">
        <v>396.5</v>
      </c>
      <c r="AF204" t="n">
        <v>0</v>
      </c>
      <c r="AG204" t="n">
        <v>0</v>
      </c>
      <c r="AH204" t="n">
        <v>0.4</v>
      </c>
      <c r="AI204" t="n">
        <v>19.83</v>
      </c>
      <c r="AJ204" t="n">
        <v>0</v>
      </c>
      <c r="AK204" t="n">
        <v>35.17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118.17</v>
      </c>
      <c r="AV204" t="n">
        <v>0</v>
      </c>
      <c r="AW204" t="n">
        <v>298.16</v>
      </c>
      <c r="AX204" t="inlineStr">
        <is>
          <t>settled</t>
        </is>
      </c>
      <c r="AY204" t="inlineStr">
        <is>
          <t>2026-01-14 05:30:00</t>
        </is>
      </c>
      <c r="AZ204" t="inlineStr">
        <is>
          <t>CITIN26605478364</t>
        </is>
      </c>
      <c r="BA204" t="n">
        <v>0</v>
      </c>
      <c r="BB204" t="inlineStr">
        <is>
          <t>07dde7d4981502fab9435e366497ff833d18c9aa6014bcd560925aea18962c97</t>
        </is>
      </c>
    </row>
    <row r="205">
      <c r="A205" t="inlineStr">
        <is>
          <t>200</t>
        </is>
      </c>
      <c r="B205" t="inlineStr">
        <is>
          <t>7672139105</t>
        </is>
      </c>
      <c r="C205" t="inlineStr">
        <is>
          <t>2026-01-09 13:51:02</t>
        </is>
      </c>
      <c r="D205" t="inlineStr">
        <is>
          <t>2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30% off upto ₹75 (2025-06-25 - 2031-01-01)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229</v>
      </c>
      <c r="P205" t="n">
        <v>3.5</v>
      </c>
      <c r="Q205" t="n">
        <v>0</v>
      </c>
      <c r="R205" t="n">
        <v>68.7</v>
      </c>
      <c r="S205" t="n">
        <v>0</v>
      </c>
      <c r="T205" t="n">
        <v>0</v>
      </c>
      <c r="U205" t="n">
        <v>0</v>
      </c>
      <c r="V205" t="n">
        <v>8.19</v>
      </c>
      <c r="W205" t="n">
        <v>171.99</v>
      </c>
      <c r="X205" t="n">
        <v>163.8</v>
      </c>
      <c r="Y205" t="n">
        <v>19</v>
      </c>
      <c r="Z205" t="n">
        <v>31.12</v>
      </c>
      <c r="AA205" t="n">
        <v>3.16</v>
      </c>
      <c r="AB205" t="n">
        <v>34.28</v>
      </c>
      <c r="AC205" t="n">
        <v>6.17</v>
      </c>
      <c r="AD205" t="n">
        <v>0</v>
      </c>
      <c r="AE205" t="n">
        <v>163.8</v>
      </c>
      <c r="AF205" t="n">
        <v>0</v>
      </c>
      <c r="AG205" t="n">
        <v>0</v>
      </c>
      <c r="AH205" t="n">
        <v>0.16</v>
      </c>
      <c r="AI205" t="n">
        <v>8.199999999999999</v>
      </c>
      <c r="AJ205" t="n">
        <v>-0.01</v>
      </c>
      <c r="AK205" t="n">
        <v>14.53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48.81</v>
      </c>
      <c r="AV205" t="n">
        <v>0</v>
      </c>
      <c r="AW205" t="n">
        <v>123.18</v>
      </c>
      <c r="AX205" t="inlineStr">
        <is>
          <t>settled</t>
        </is>
      </c>
      <c r="AY205" t="inlineStr">
        <is>
          <t>2026-01-14 05:30:00</t>
        </is>
      </c>
      <c r="AZ205" t="inlineStr">
        <is>
          <t>CITIN26605478364</t>
        </is>
      </c>
      <c r="BA205" t="n">
        <v>0</v>
      </c>
      <c r="BB205" t="inlineStr">
        <is>
          <t>e58b616b4f8bc9cb9068637c0c7cb0d4149bd91d2e1fe300b6a5c963f2ee9254</t>
        </is>
      </c>
    </row>
    <row r="206">
      <c r="A206" t="inlineStr">
        <is>
          <t>201</t>
        </is>
      </c>
      <c r="B206" t="inlineStr">
        <is>
          <t>7671442826</t>
        </is>
      </c>
      <c r="C206" t="inlineStr">
        <is>
          <t>2026-01-09 14:04:58</t>
        </is>
      </c>
      <c r="D206" t="inlineStr">
        <is>
          <t>2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30% off upto ₹75 (2025-06-25 - 2031-01-01)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229</v>
      </c>
      <c r="P206" t="n">
        <v>3.5</v>
      </c>
      <c r="Q206" t="n">
        <v>0</v>
      </c>
      <c r="R206" t="n">
        <v>68.7</v>
      </c>
      <c r="S206" t="n">
        <v>0</v>
      </c>
      <c r="T206" t="n">
        <v>0</v>
      </c>
      <c r="U206" t="n">
        <v>0</v>
      </c>
      <c r="V206" t="n">
        <v>8.19</v>
      </c>
      <c r="W206" t="n">
        <v>171.99</v>
      </c>
      <c r="X206" t="n">
        <v>163.8</v>
      </c>
      <c r="Y206" t="n">
        <v>19</v>
      </c>
      <c r="Z206" t="n">
        <v>31.12</v>
      </c>
      <c r="AA206" t="n">
        <v>3.16</v>
      </c>
      <c r="AB206" t="n">
        <v>34.28</v>
      </c>
      <c r="AC206" t="n">
        <v>6.17</v>
      </c>
      <c r="AD206" t="n">
        <v>0</v>
      </c>
      <c r="AE206" t="n">
        <v>163.8</v>
      </c>
      <c r="AF206" t="n">
        <v>0</v>
      </c>
      <c r="AG206" t="n">
        <v>0</v>
      </c>
      <c r="AH206" t="n">
        <v>0.16</v>
      </c>
      <c r="AI206" t="n">
        <v>8.199999999999999</v>
      </c>
      <c r="AJ206" t="n">
        <v>-0.01</v>
      </c>
      <c r="AK206" t="n">
        <v>14.53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48.81</v>
      </c>
      <c r="AV206" t="n">
        <v>0</v>
      </c>
      <c r="AW206" t="n">
        <v>123.18</v>
      </c>
      <c r="AX206" t="inlineStr">
        <is>
          <t>settled</t>
        </is>
      </c>
      <c r="AY206" t="inlineStr">
        <is>
          <t>2026-01-14 05:30:00</t>
        </is>
      </c>
      <c r="AZ206" t="inlineStr">
        <is>
          <t>CITIN26605478364</t>
        </is>
      </c>
      <c r="BA206" t="n">
        <v>0</v>
      </c>
      <c r="BB206" t="inlineStr">
        <is>
          <t>7e2e45e37f0ab04b34afd9028618892298c3c9d8b3782fbafaa43efda3280a22</t>
        </is>
      </c>
    </row>
    <row r="207">
      <c r="A207" t="inlineStr">
        <is>
          <t>202</t>
        </is>
      </c>
      <c r="B207" t="inlineStr">
        <is>
          <t>7668745417</t>
        </is>
      </c>
      <c r="C207" t="inlineStr">
        <is>
          <t>2026-01-09 14:11:19</t>
        </is>
      </c>
      <c r="D207" t="inlineStr">
        <is>
          <t>2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30% off upto ₹75 (2025-06-25 - 2031-01-01)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229</v>
      </c>
      <c r="P207" t="n">
        <v>3.5</v>
      </c>
      <c r="Q207" t="n">
        <v>0</v>
      </c>
      <c r="R207" t="n">
        <v>68.7</v>
      </c>
      <c r="S207" t="n">
        <v>0</v>
      </c>
      <c r="T207" t="n">
        <v>0</v>
      </c>
      <c r="U207" t="n">
        <v>0</v>
      </c>
      <c r="V207" t="n">
        <v>8.19</v>
      </c>
      <c r="W207" t="n">
        <v>171.99</v>
      </c>
      <c r="X207" t="n">
        <v>163.8</v>
      </c>
      <c r="Y207" t="n">
        <v>19</v>
      </c>
      <c r="Z207" t="n">
        <v>31.12</v>
      </c>
      <c r="AA207" t="n">
        <v>3.16</v>
      </c>
      <c r="AB207" t="n">
        <v>34.28</v>
      </c>
      <c r="AC207" t="n">
        <v>6.17</v>
      </c>
      <c r="AD207" t="n">
        <v>0</v>
      </c>
      <c r="AE207" t="n">
        <v>163.8</v>
      </c>
      <c r="AF207" t="n">
        <v>0</v>
      </c>
      <c r="AG207" t="n">
        <v>0</v>
      </c>
      <c r="AH207" t="n">
        <v>0.16</v>
      </c>
      <c r="AI207" t="n">
        <v>8.199999999999999</v>
      </c>
      <c r="AJ207" t="n">
        <v>-0.01</v>
      </c>
      <c r="AK207" t="n">
        <v>14.53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48.81</v>
      </c>
      <c r="AV207" t="n">
        <v>0</v>
      </c>
      <c r="AW207" t="n">
        <v>123.18</v>
      </c>
      <c r="AX207" t="inlineStr">
        <is>
          <t>settled</t>
        </is>
      </c>
      <c r="AY207" t="inlineStr">
        <is>
          <t>2026-01-14 05:30:00</t>
        </is>
      </c>
      <c r="AZ207" t="inlineStr">
        <is>
          <t>CITIN26605478364</t>
        </is>
      </c>
      <c r="BA207" t="n">
        <v>0</v>
      </c>
      <c r="BB207" t="inlineStr">
        <is>
          <t>6ee1ffa6718db9cacd790bcd2e67e5f985e1a956477352fbf0aa992d860d93a0</t>
        </is>
      </c>
    </row>
    <row r="208">
      <c r="A208" t="inlineStr">
        <is>
          <t>203</t>
        </is>
      </c>
      <c r="B208" t="inlineStr">
        <is>
          <t>7669761880</t>
        </is>
      </c>
      <c r="C208" t="inlineStr">
        <is>
          <t>2026-01-09 14:27:30</t>
        </is>
      </c>
      <c r="D208" t="inlineStr">
        <is>
          <t>2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NA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229</v>
      </c>
      <c r="P208" t="n">
        <v>3.5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11.63</v>
      </c>
      <c r="W208" t="n">
        <v>244.13</v>
      </c>
      <c r="X208" t="n">
        <v>232.5</v>
      </c>
      <c r="Y208" t="n">
        <v>19</v>
      </c>
      <c r="Z208" t="n">
        <v>44.18</v>
      </c>
      <c r="AA208" t="n">
        <v>4.49</v>
      </c>
      <c r="AB208" t="n">
        <v>48.67</v>
      </c>
      <c r="AC208" t="n">
        <v>8.76</v>
      </c>
      <c r="AD208" t="n">
        <v>0</v>
      </c>
      <c r="AE208" t="n">
        <v>232.5</v>
      </c>
      <c r="AF208" t="n">
        <v>0</v>
      </c>
      <c r="AG208" t="n">
        <v>0</v>
      </c>
      <c r="AH208" t="n">
        <v>0.23</v>
      </c>
      <c r="AI208" t="n">
        <v>11.63</v>
      </c>
      <c r="AJ208" t="n">
        <v>0</v>
      </c>
      <c r="AK208" t="n">
        <v>20.62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69.29000000000001</v>
      </c>
      <c r="AV208" t="n">
        <v>0</v>
      </c>
      <c r="AW208" t="n">
        <v>174.84</v>
      </c>
      <c r="AX208" t="inlineStr">
        <is>
          <t>settled</t>
        </is>
      </c>
      <c r="AY208" t="inlineStr">
        <is>
          <t>2026-01-14 05:30:00</t>
        </is>
      </c>
      <c r="AZ208" t="inlineStr">
        <is>
          <t>CITIN26605478364</t>
        </is>
      </c>
      <c r="BA208" t="n">
        <v>0</v>
      </c>
      <c r="BB208" t="inlineStr">
        <is>
          <t>7d5f693b302bd4e1cd6886c106c312055da2300f79d830d208e0da047a4cad8b</t>
        </is>
      </c>
    </row>
    <row r="209">
      <c r="A209" t="inlineStr">
        <is>
          <t>204</t>
        </is>
      </c>
      <c r="B209" t="inlineStr">
        <is>
          <t>7666943669</t>
        </is>
      </c>
      <c r="C209" t="inlineStr">
        <is>
          <t>2026-01-09 15:11:53</t>
        </is>
      </c>
      <c r="D209" t="inlineStr">
        <is>
          <t>2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30% off upto ₹75 (2025-06-25 - 2031-01-01)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219</v>
      </c>
      <c r="P209" t="n">
        <v>3.5</v>
      </c>
      <c r="Q209" t="n">
        <v>0</v>
      </c>
      <c r="R209" t="n">
        <v>65.7</v>
      </c>
      <c r="S209" t="n">
        <v>0</v>
      </c>
      <c r="T209" t="n">
        <v>0</v>
      </c>
      <c r="U209" t="n">
        <v>0</v>
      </c>
      <c r="V209" t="n">
        <v>7.84</v>
      </c>
      <c r="W209" t="n">
        <v>164.64</v>
      </c>
      <c r="X209" t="n">
        <v>156.8</v>
      </c>
      <c r="Y209" t="n">
        <v>19</v>
      </c>
      <c r="Z209" t="n">
        <v>29.79</v>
      </c>
      <c r="AA209" t="n">
        <v>3.03</v>
      </c>
      <c r="AB209" t="n">
        <v>32.82</v>
      </c>
      <c r="AC209" t="n">
        <v>5.91</v>
      </c>
      <c r="AD209" t="n">
        <v>0</v>
      </c>
      <c r="AE209" t="n">
        <v>156.8</v>
      </c>
      <c r="AF209" t="n">
        <v>0</v>
      </c>
      <c r="AG209" t="n">
        <v>0</v>
      </c>
      <c r="AH209" t="n">
        <v>0.16</v>
      </c>
      <c r="AI209" t="n">
        <v>7.85</v>
      </c>
      <c r="AJ209" t="n">
        <v>-0.01</v>
      </c>
      <c r="AK209" t="n">
        <v>13.92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46.74</v>
      </c>
      <c r="AV209" t="n">
        <v>0</v>
      </c>
      <c r="AW209" t="n">
        <v>117.9</v>
      </c>
      <c r="AX209" t="inlineStr">
        <is>
          <t>settled</t>
        </is>
      </c>
      <c r="AY209" t="inlineStr">
        <is>
          <t>2026-01-14 05:30:00</t>
        </is>
      </c>
      <c r="AZ209" t="inlineStr">
        <is>
          <t>CITIN26605478364</t>
        </is>
      </c>
      <c r="BA209" t="n">
        <v>0</v>
      </c>
      <c r="BB209" t="inlineStr">
        <is>
          <t>d98e066995bcf9744c84b6cf6fb973e28e98e9921b4b4bd5d186b5dcfc31dc40</t>
        </is>
      </c>
    </row>
    <row r="210">
      <c r="A210" t="inlineStr">
        <is>
          <t>205</t>
        </is>
      </c>
      <c r="B210" t="inlineStr">
        <is>
          <t>7671622761</t>
        </is>
      </c>
      <c r="C210" t="inlineStr">
        <is>
          <t>2026-01-09 15:59:37</t>
        </is>
      </c>
      <c r="D210" t="inlineStr">
        <is>
          <t>2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30% off upto ₹75 (2025-06-25 - 2031-01-01)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219</v>
      </c>
      <c r="P210" t="n">
        <v>3.5</v>
      </c>
      <c r="Q210" t="n">
        <v>0</v>
      </c>
      <c r="R210" t="n">
        <v>65.7</v>
      </c>
      <c r="S210" t="n">
        <v>0</v>
      </c>
      <c r="T210" t="n">
        <v>0</v>
      </c>
      <c r="U210" t="n">
        <v>0</v>
      </c>
      <c r="V210" t="n">
        <v>7.84</v>
      </c>
      <c r="W210" t="n">
        <v>164.64</v>
      </c>
      <c r="X210" t="n">
        <v>156.8</v>
      </c>
      <c r="Y210" t="n">
        <v>19</v>
      </c>
      <c r="Z210" t="n">
        <v>29.79</v>
      </c>
      <c r="AA210" t="n">
        <v>3.03</v>
      </c>
      <c r="AB210" t="n">
        <v>32.82</v>
      </c>
      <c r="AC210" t="n">
        <v>5.91</v>
      </c>
      <c r="AD210" t="n">
        <v>0</v>
      </c>
      <c r="AE210" t="n">
        <v>156.8</v>
      </c>
      <c r="AF210" t="n">
        <v>0</v>
      </c>
      <c r="AG210" t="n">
        <v>0</v>
      </c>
      <c r="AH210" t="n">
        <v>0.16</v>
      </c>
      <c r="AI210" t="n">
        <v>7.85</v>
      </c>
      <c r="AJ210" t="n">
        <v>-0.01</v>
      </c>
      <c r="AK210" t="n">
        <v>13.92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46.74</v>
      </c>
      <c r="AV210" t="n">
        <v>0</v>
      </c>
      <c r="AW210" t="n">
        <v>117.9</v>
      </c>
      <c r="AX210" t="inlineStr">
        <is>
          <t>settled</t>
        </is>
      </c>
      <c r="AY210" t="inlineStr">
        <is>
          <t>2026-01-14 05:30:00</t>
        </is>
      </c>
      <c r="AZ210" t="inlineStr">
        <is>
          <t>CITIN26605478364</t>
        </is>
      </c>
      <c r="BA210" t="n">
        <v>0</v>
      </c>
      <c r="BB210" t="inlineStr">
        <is>
          <t>f2807bacb5c5c0c0be0d0d0a5c8be96fde514793912820c401f1b3764ee6837b</t>
        </is>
      </c>
    </row>
    <row r="211">
      <c r="A211" t="inlineStr">
        <is>
          <t>206</t>
        </is>
      </c>
      <c r="B211" t="inlineStr">
        <is>
          <t>7670842612</t>
        </is>
      </c>
      <c r="C211" t="inlineStr">
        <is>
          <t>2026-01-09 17:14:41</t>
        </is>
      </c>
      <c r="D211" t="inlineStr">
        <is>
          <t>2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30% off upto ₹75 (2025-06-25 - 2031-01-01)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345</v>
      </c>
      <c r="P211" t="n">
        <v>3.5</v>
      </c>
      <c r="Q211" t="n">
        <v>0</v>
      </c>
      <c r="R211" t="n">
        <v>75</v>
      </c>
      <c r="S211" t="n">
        <v>0</v>
      </c>
      <c r="T211" t="n">
        <v>0</v>
      </c>
      <c r="U211" t="n">
        <v>0</v>
      </c>
      <c r="V211" t="n">
        <v>13.68</v>
      </c>
      <c r="W211" t="n">
        <v>287.18</v>
      </c>
      <c r="X211" t="n">
        <v>273.5</v>
      </c>
      <c r="Y211" t="n">
        <v>19</v>
      </c>
      <c r="Z211" t="n">
        <v>51.96</v>
      </c>
      <c r="AA211" t="n">
        <v>5.28</v>
      </c>
      <c r="AB211" t="n">
        <v>57.24</v>
      </c>
      <c r="AC211" t="n">
        <v>10.3</v>
      </c>
      <c r="AD211" t="n">
        <v>0</v>
      </c>
      <c r="AE211" t="n">
        <v>273.5</v>
      </c>
      <c r="AF211" t="n">
        <v>0</v>
      </c>
      <c r="AG211" t="n">
        <v>0</v>
      </c>
      <c r="AH211" t="n">
        <v>0.27</v>
      </c>
      <c r="AI211" t="n">
        <v>13.68</v>
      </c>
      <c r="AJ211" t="n">
        <v>0</v>
      </c>
      <c r="AK211" t="n">
        <v>24.25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81.48999999999999</v>
      </c>
      <c r="AV211" t="n">
        <v>0</v>
      </c>
      <c r="AW211" t="n">
        <v>205.69</v>
      </c>
      <c r="AX211" t="inlineStr">
        <is>
          <t>settled</t>
        </is>
      </c>
      <c r="AY211" t="inlineStr">
        <is>
          <t>2026-01-14 05:30:00</t>
        </is>
      </c>
      <c r="AZ211" t="inlineStr">
        <is>
          <t>CITIN26605478364</t>
        </is>
      </c>
      <c r="BA211" t="n">
        <v>0</v>
      </c>
      <c r="BB211" t="inlineStr">
        <is>
          <t>97b4133bde4eb0767e9ce68171387ff49f31d258169b1f78ae8f5981ef069b25</t>
        </is>
      </c>
    </row>
    <row r="212">
      <c r="A212" t="inlineStr">
        <is>
          <t>207</t>
        </is>
      </c>
      <c r="B212" t="inlineStr">
        <is>
          <t>7672393165</t>
        </is>
      </c>
      <c r="C212" t="inlineStr">
        <is>
          <t>2026-01-09 17:21:47</t>
        </is>
      </c>
      <c r="D212" t="inlineStr">
        <is>
          <t>2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NA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149</v>
      </c>
      <c r="P212" t="n">
        <v>3.5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7.63</v>
      </c>
      <c r="W212" t="n">
        <v>160.13</v>
      </c>
      <c r="X212" t="n">
        <v>152.5</v>
      </c>
      <c r="Y212" t="n">
        <v>19</v>
      </c>
      <c r="Z212" t="n">
        <v>28.98</v>
      </c>
      <c r="AA212" t="n">
        <v>2.95</v>
      </c>
      <c r="AB212" t="n">
        <v>31.93</v>
      </c>
      <c r="AC212" t="n">
        <v>5.75</v>
      </c>
      <c r="AD212" t="n">
        <v>0</v>
      </c>
      <c r="AE212" t="n">
        <v>152.5</v>
      </c>
      <c r="AF212" t="n">
        <v>0</v>
      </c>
      <c r="AG212" t="n">
        <v>0</v>
      </c>
      <c r="AH212" t="n">
        <v>0.15</v>
      </c>
      <c r="AI212" t="n">
        <v>7.63</v>
      </c>
      <c r="AJ212" t="n">
        <v>0</v>
      </c>
      <c r="AK212" t="n">
        <v>13.53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45.46</v>
      </c>
      <c r="AV212" t="n">
        <v>0</v>
      </c>
      <c r="AW212" t="n">
        <v>114.67</v>
      </c>
      <c r="AX212" t="inlineStr">
        <is>
          <t>settled</t>
        </is>
      </c>
      <c r="AY212" t="inlineStr">
        <is>
          <t>2026-01-14 05:30:00</t>
        </is>
      </c>
      <c r="AZ212" t="inlineStr">
        <is>
          <t>CITIN26605478364</t>
        </is>
      </c>
      <c r="BA212" t="n">
        <v>0</v>
      </c>
      <c r="BB212" t="inlineStr">
        <is>
          <t>1b4b5cee8b3ed559c1ca8b4e1a2f531968a5d80bae9639c6319576e6ab7ba86b</t>
        </is>
      </c>
    </row>
    <row r="213">
      <c r="A213" t="inlineStr">
        <is>
          <t>208</t>
        </is>
      </c>
      <c r="B213" t="inlineStr">
        <is>
          <t>7658657508</t>
        </is>
      </c>
      <c r="C213" t="inlineStr">
        <is>
          <t>2026-01-09 18:04:09</t>
        </is>
      </c>
      <c r="D213" t="inlineStr">
        <is>
          <t>2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229</v>
      </c>
      <c r="P213" t="n">
        <v>3.5</v>
      </c>
      <c r="Q213" t="n">
        <v>0</v>
      </c>
      <c r="R213" t="n">
        <v>68.7</v>
      </c>
      <c r="S213" t="n">
        <v>0</v>
      </c>
      <c r="T213" t="n">
        <v>0</v>
      </c>
      <c r="U213" t="n">
        <v>0</v>
      </c>
      <c r="V213" t="n">
        <v>8.19</v>
      </c>
      <c r="W213" t="n">
        <v>171.99</v>
      </c>
      <c r="X213" t="n">
        <v>163.8</v>
      </c>
      <c r="Y213" t="n">
        <v>19</v>
      </c>
      <c r="Z213" t="n">
        <v>31.12</v>
      </c>
      <c r="AA213" t="n">
        <v>3.16</v>
      </c>
      <c r="AB213" t="n">
        <v>34.28</v>
      </c>
      <c r="AC213" t="n">
        <v>6.17</v>
      </c>
      <c r="AD213" t="n">
        <v>0</v>
      </c>
      <c r="AE213" t="n">
        <v>163.8</v>
      </c>
      <c r="AF213" t="n">
        <v>0</v>
      </c>
      <c r="AG213" t="n">
        <v>0</v>
      </c>
      <c r="AH213" t="n">
        <v>0.16</v>
      </c>
      <c r="AI213" t="n">
        <v>8.199999999999999</v>
      </c>
      <c r="AJ213" t="n">
        <v>-0.01</v>
      </c>
      <c r="AK213" t="n">
        <v>14.53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48.81</v>
      </c>
      <c r="AV213" t="n">
        <v>0</v>
      </c>
      <c r="AW213" t="n">
        <v>123.18</v>
      </c>
      <c r="AX213" t="inlineStr">
        <is>
          <t>settled</t>
        </is>
      </c>
      <c r="AY213" t="inlineStr">
        <is>
          <t>2026-01-14 05:30:00</t>
        </is>
      </c>
      <c r="AZ213" t="inlineStr">
        <is>
          <t>CITIN26605478364</t>
        </is>
      </c>
      <c r="BA213" t="n">
        <v>0</v>
      </c>
      <c r="BB213" t="inlineStr">
        <is>
          <t>0e47875d71a2d198e8b29926d895cb5e71eb631866880fa015ae50ad02ec8e07</t>
        </is>
      </c>
    </row>
    <row r="214">
      <c r="A214" t="inlineStr">
        <is>
          <t>209</t>
        </is>
      </c>
      <c r="B214" t="inlineStr">
        <is>
          <t>7663164116</t>
        </is>
      </c>
      <c r="C214" t="inlineStr">
        <is>
          <t>2026-01-09 18:07:09</t>
        </is>
      </c>
      <c r="D214" t="inlineStr">
        <is>
          <t>2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229</v>
      </c>
      <c r="P214" t="n">
        <v>3.5</v>
      </c>
      <c r="Q214" t="n">
        <v>0</v>
      </c>
      <c r="R214" t="n">
        <v>68.7</v>
      </c>
      <c r="S214" t="n">
        <v>0</v>
      </c>
      <c r="T214" t="n">
        <v>0</v>
      </c>
      <c r="U214" t="n">
        <v>0</v>
      </c>
      <c r="V214" t="n">
        <v>8.19</v>
      </c>
      <c r="W214" t="n">
        <v>171.99</v>
      </c>
      <c r="X214" t="n">
        <v>163.8</v>
      </c>
      <c r="Y214" t="n">
        <v>19</v>
      </c>
      <c r="Z214" t="n">
        <v>31.12</v>
      </c>
      <c r="AA214" t="n">
        <v>3.16</v>
      </c>
      <c r="AB214" t="n">
        <v>34.28</v>
      </c>
      <c r="AC214" t="n">
        <v>6.17</v>
      </c>
      <c r="AD214" t="n">
        <v>0</v>
      </c>
      <c r="AE214" t="n">
        <v>163.8</v>
      </c>
      <c r="AF214" t="n">
        <v>0</v>
      </c>
      <c r="AG214" t="n">
        <v>0</v>
      </c>
      <c r="AH214" t="n">
        <v>0.16</v>
      </c>
      <c r="AI214" t="n">
        <v>8.199999999999999</v>
      </c>
      <c r="AJ214" t="n">
        <v>-0.01</v>
      </c>
      <c r="AK214" t="n">
        <v>14.53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48.81</v>
      </c>
      <c r="AV214" t="n">
        <v>0</v>
      </c>
      <c r="AW214" t="n">
        <v>123.18</v>
      </c>
      <c r="AX214" t="inlineStr">
        <is>
          <t>settled</t>
        </is>
      </c>
      <c r="AY214" t="inlineStr">
        <is>
          <t>2026-01-14 05:30:00</t>
        </is>
      </c>
      <c r="AZ214" t="inlineStr">
        <is>
          <t>CITIN26605478364</t>
        </is>
      </c>
      <c r="BA214" t="n">
        <v>0</v>
      </c>
      <c r="BB214" t="inlineStr">
        <is>
          <t>bd28862c3a0e567804a9257bc44036c22b4c0a62f19edd59fb4fb33f868b28eb</t>
        </is>
      </c>
    </row>
    <row r="215">
      <c r="A215" t="inlineStr">
        <is>
          <t>210</t>
        </is>
      </c>
      <c r="B215" t="inlineStr">
        <is>
          <t>7655806247</t>
        </is>
      </c>
      <c r="C215" t="inlineStr">
        <is>
          <t>2026-01-09 18:26:07</t>
        </is>
      </c>
      <c r="D215" t="inlineStr">
        <is>
          <t>2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30% off upto ₹75 (2025-06-25 - 2031-01-01)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358</v>
      </c>
      <c r="P215" t="n">
        <v>3.5</v>
      </c>
      <c r="Q215" t="n">
        <v>0</v>
      </c>
      <c r="R215" t="n">
        <v>75</v>
      </c>
      <c r="S215" t="n">
        <v>0</v>
      </c>
      <c r="T215" t="n">
        <v>0</v>
      </c>
      <c r="U215" t="n">
        <v>0</v>
      </c>
      <c r="V215" t="n">
        <v>14.33</v>
      </c>
      <c r="W215" t="n">
        <v>300.83</v>
      </c>
      <c r="X215" t="n">
        <v>286.5</v>
      </c>
      <c r="Y215" t="n">
        <v>19</v>
      </c>
      <c r="Z215" t="n">
        <v>54.44</v>
      </c>
      <c r="AA215" t="n">
        <v>5.54</v>
      </c>
      <c r="AB215" t="n">
        <v>59.98</v>
      </c>
      <c r="AC215" t="n">
        <v>10.8</v>
      </c>
      <c r="AD215" t="n">
        <v>0</v>
      </c>
      <c r="AE215" t="n">
        <v>286.5</v>
      </c>
      <c r="AF215" t="n">
        <v>0</v>
      </c>
      <c r="AG215" t="n">
        <v>0</v>
      </c>
      <c r="AH215" t="n">
        <v>0.29</v>
      </c>
      <c r="AI215" t="n">
        <v>14.33</v>
      </c>
      <c r="AJ215" t="n">
        <v>0</v>
      </c>
      <c r="AK215" t="n">
        <v>25.42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85.40000000000001</v>
      </c>
      <c r="AV215" t="n">
        <v>0</v>
      </c>
      <c r="AW215" t="n">
        <v>215.43</v>
      </c>
      <c r="AX215" t="inlineStr">
        <is>
          <t>settled</t>
        </is>
      </c>
      <c r="AY215" t="inlineStr">
        <is>
          <t>2026-01-14 05:30:00</t>
        </is>
      </c>
      <c r="AZ215" t="inlineStr">
        <is>
          <t>CITIN26605478364</t>
        </is>
      </c>
      <c r="BA215" t="n">
        <v>0</v>
      </c>
      <c r="BB215" t="inlineStr">
        <is>
          <t>55e6341fbdde05000fe63510931d24845a9b8fdda623ad613a6fbcdeff04a33f</t>
        </is>
      </c>
    </row>
    <row r="216">
      <c r="A216" t="inlineStr">
        <is>
          <t>211</t>
        </is>
      </c>
      <c r="B216" t="inlineStr">
        <is>
          <t>7672089449</t>
        </is>
      </c>
      <c r="C216" t="inlineStr">
        <is>
          <t>2026-01-09 18:44:46</t>
        </is>
      </c>
      <c r="D216" t="inlineStr">
        <is>
          <t>2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NA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597</v>
      </c>
      <c r="P216" t="n">
        <v>3.5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30.03</v>
      </c>
      <c r="W216" t="n">
        <v>630.53</v>
      </c>
      <c r="X216" t="n">
        <v>600.5</v>
      </c>
      <c r="Y216" t="n">
        <v>19</v>
      </c>
      <c r="Z216" t="n">
        <v>114.1</v>
      </c>
      <c r="AA216" t="n">
        <v>11.6</v>
      </c>
      <c r="AB216" t="n">
        <v>125.7</v>
      </c>
      <c r="AC216" t="n">
        <v>22.63</v>
      </c>
      <c r="AD216" t="n">
        <v>0</v>
      </c>
      <c r="AE216" t="n">
        <v>600.5</v>
      </c>
      <c r="AF216" t="n">
        <v>0</v>
      </c>
      <c r="AG216" t="n">
        <v>0</v>
      </c>
      <c r="AH216" t="n">
        <v>0.6</v>
      </c>
      <c r="AI216" t="n">
        <v>30.03</v>
      </c>
      <c r="AJ216" t="n">
        <v>0</v>
      </c>
      <c r="AK216" t="n">
        <v>53.26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178.96</v>
      </c>
      <c r="AV216" t="n">
        <v>0</v>
      </c>
      <c r="AW216" t="n">
        <v>451.57</v>
      </c>
      <c r="AX216" t="inlineStr">
        <is>
          <t>settled</t>
        </is>
      </c>
      <c r="AY216" t="inlineStr">
        <is>
          <t>2026-01-14 05:30:00</t>
        </is>
      </c>
      <c r="AZ216" t="inlineStr">
        <is>
          <t>CITIN26605478364</t>
        </is>
      </c>
      <c r="BA216" t="n">
        <v>0</v>
      </c>
      <c r="BB216" t="inlineStr">
        <is>
          <t>5faa14129d57390e73f1dd52a0478d8b5c04fe92ca3c34c991b7cb84c3b53c07</t>
        </is>
      </c>
    </row>
    <row r="217">
      <c r="A217" t="inlineStr">
        <is>
          <t>212</t>
        </is>
      </c>
      <c r="B217" t="inlineStr">
        <is>
          <t>7671934607</t>
        </is>
      </c>
      <c r="C217" t="inlineStr">
        <is>
          <t>2026-01-09 18:46:27</t>
        </is>
      </c>
      <c r="D217" t="inlineStr">
        <is>
          <t>2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NA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229</v>
      </c>
      <c r="P217" t="n">
        <v>3.5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11.63</v>
      </c>
      <c r="W217" t="n">
        <v>244.13</v>
      </c>
      <c r="X217" t="n">
        <v>232.5</v>
      </c>
      <c r="Y217" t="n">
        <v>19</v>
      </c>
      <c r="Z217" t="n">
        <v>44.18</v>
      </c>
      <c r="AA217" t="n">
        <v>4.49</v>
      </c>
      <c r="AB217" t="n">
        <v>48.67</v>
      </c>
      <c r="AC217" t="n">
        <v>8.76</v>
      </c>
      <c r="AD217" t="n">
        <v>0</v>
      </c>
      <c r="AE217" t="n">
        <v>232.5</v>
      </c>
      <c r="AF217" t="n">
        <v>0</v>
      </c>
      <c r="AG217" t="n">
        <v>0</v>
      </c>
      <c r="AH217" t="n">
        <v>0.23</v>
      </c>
      <c r="AI217" t="n">
        <v>11.63</v>
      </c>
      <c r="AJ217" t="n">
        <v>0</v>
      </c>
      <c r="AK217" t="n">
        <v>20.62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69.29000000000001</v>
      </c>
      <c r="AV217" t="n">
        <v>0</v>
      </c>
      <c r="AW217" t="n">
        <v>174.84</v>
      </c>
      <c r="AX217" t="inlineStr">
        <is>
          <t>settled</t>
        </is>
      </c>
      <c r="AY217" t="inlineStr">
        <is>
          <t>2026-01-14 05:30:00</t>
        </is>
      </c>
      <c r="AZ217" t="inlineStr">
        <is>
          <t>CITIN26605478364</t>
        </is>
      </c>
      <c r="BA217" t="n">
        <v>0</v>
      </c>
      <c r="BB217" t="inlineStr">
        <is>
          <t>c7e47a8675a57fb26bbe5fb3226d8f27eb098d43b1871c62ef7f8d8fe5785424</t>
        </is>
      </c>
    </row>
    <row r="218">
      <c r="A218" t="inlineStr">
        <is>
          <t>213</t>
        </is>
      </c>
      <c r="B218" t="inlineStr">
        <is>
          <t>7672741776</t>
        </is>
      </c>
      <c r="C218" t="inlineStr">
        <is>
          <t>2026-01-09 19:04:08</t>
        </is>
      </c>
      <c r="D218" t="inlineStr">
        <is>
          <t>2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30% off upto ₹75 (2025-06-25 - 2031-01-01)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345</v>
      </c>
      <c r="P218" t="n">
        <v>3.5</v>
      </c>
      <c r="Q218" t="n">
        <v>0</v>
      </c>
      <c r="R218" t="n">
        <v>75</v>
      </c>
      <c r="S218" t="n">
        <v>0</v>
      </c>
      <c r="T218" t="n">
        <v>0</v>
      </c>
      <c r="U218" t="n">
        <v>0</v>
      </c>
      <c r="V218" t="n">
        <v>13.68</v>
      </c>
      <c r="W218" t="n">
        <v>287.18</v>
      </c>
      <c r="X218" t="n">
        <v>273.5</v>
      </c>
      <c r="Y218" t="n">
        <v>19</v>
      </c>
      <c r="Z218" t="n">
        <v>51.96</v>
      </c>
      <c r="AA218" t="n">
        <v>5.28</v>
      </c>
      <c r="AB218" t="n">
        <v>57.24</v>
      </c>
      <c r="AC218" t="n">
        <v>10.3</v>
      </c>
      <c r="AD218" t="n">
        <v>0</v>
      </c>
      <c r="AE218" t="n">
        <v>273.5</v>
      </c>
      <c r="AF218" t="n">
        <v>0</v>
      </c>
      <c r="AG218" t="n">
        <v>0</v>
      </c>
      <c r="AH218" t="n">
        <v>0.27</v>
      </c>
      <c r="AI218" t="n">
        <v>13.68</v>
      </c>
      <c r="AJ218" t="n">
        <v>0</v>
      </c>
      <c r="AK218" t="n">
        <v>24.25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81.48999999999999</v>
      </c>
      <c r="AV218" t="n">
        <v>0</v>
      </c>
      <c r="AW218" t="n">
        <v>205.69</v>
      </c>
      <c r="AX218" t="inlineStr">
        <is>
          <t>settled</t>
        </is>
      </c>
      <c r="AY218" t="inlineStr">
        <is>
          <t>2026-01-14 05:30:00</t>
        </is>
      </c>
      <c r="AZ218" t="inlineStr">
        <is>
          <t>CITIN26605478364</t>
        </is>
      </c>
      <c r="BA218" t="n">
        <v>0</v>
      </c>
      <c r="BB218" t="inlineStr">
        <is>
          <t>4b1f49c883f0e53174c8a468448434d4a68aa96e321afc7baa1643a36485a1b0</t>
        </is>
      </c>
    </row>
    <row r="219">
      <c r="A219" t="inlineStr">
        <is>
          <t>214</t>
        </is>
      </c>
      <c r="B219" t="inlineStr">
        <is>
          <t>7668537634</t>
        </is>
      </c>
      <c r="C219" t="inlineStr">
        <is>
          <t>2026-01-09 19:17:51</t>
        </is>
      </c>
      <c r="D219" t="inlineStr">
        <is>
          <t>2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30% off upto ₹75 (2025-06-25 - 2031-01-01)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368</v>
      </c>
      <c r="P219" t="n">
        <v>3.5</v>
      </c>
      <c r="Q219" t="n">
        <v>0</v>
      </c>
      <c r="R219" t="n">
        <v>75</v>
      </c>
      <c r="S219" t="n">
        <v>0</v>
      </c>
      <c r="T219" t="n">
        <v>0</v>
      </c>
      <c r="U219" t="n">
        <v>0</v>
      </c>
      <c r="V219" t="n">
        <v>14.83</v>
      </c>
      <c r="W219" t="n">
        <v>311.33</v>
      </c>
      <c r="X219" t="n">
        <v>296.5</v>
      </c>
      <c r="Y219" t="n">
        <v>19</v>
      </c>
      <c r="Z219" t="n">
        <v>56.34</v>
      </c>
      <c r="AA219" t="n">
        <v>5.73</v>
      </c>
      <c r="AB219" t="n">
        <v>62.07</v>
      </c>
      <c r="AC219" t="n">
        <v>11.17</v>
      </c>
      <c r="AD219" t="n">
        <v>0</v>
      </c>
      <c r="AE219" t="n">
        <v>296.5</v>
      </c>
      <c r="AF219" t="n">
        <v>0</v>
      </c>
      <c r="AG219" t="n">
        <v>0</v>
      </c>
      <c r="AH219" t="n">
        <v>0.3</v>
      </c>
      <c r="AI219" t="n">
        <v>14.83</v>
      </c>
      <c r="AJ219" t="n">
        <v>0</v>
      </c>
      <c r="AK219" t="n">
        <v>26.3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88.37</v>
      </c>
      <c r="AV219" t="n">
        <v>0</v>
      </c>
      <c r="AW219" t="n">
        <v>222.96</v>
      </c>
      <c r="AX219" t="inlineStr">
        <is>
          <t>settled</t>
        </is>
      </c>
      <c r="AY219" t="inlineStr">
        <is>
          <t>2026-01-14 05:30:00</t>
        </is>
      </c>
      <c r="AZ219" t="inlineStr">
        <is>
          <t>CITIN26605478364</t>
        </is>
      </c>
      <c r="BA219" t="n">
        <v>0</v>
      </c>
      <c r="BB219" t="inlineStr">
        <is>
          <t>60b7d22494bd7d85e6aa675bca2932f429bab151ce3c097e2d4d013145814c4c</t>
        </is>
      </c>
    </row>
    <row r="220">
      <c r="A220" t="inlineStr">
        <is>
          <t>215</t>
        </is>
      </c>
      <c r="B220" t="inlineStr">
        <is>
          <t>7673344774</t>
        </is>
      </c>
      <c r="C220" t="inlineStr">
        <is>
          <t>2026-01-09 19:21:41</t>
        </is>
      </c>
      <c r="D220" t="inlineStr">
        <is>
          <t>2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229</v>
      </c>
      <c r="P220" t="n">
        <v>3.5</v>
      </c>
      <c r="Q220" t="n">
        <v>0</v>
      </c>
      <c r="R220" t="n">
        <v>68.7</v>
      </c>
      <c r="S220" t="n">
        <v>0</v>
      </c>
      <c r="T220" t="n">
        <v>0</v>
      </c>
      <c r="U220" t="n">
        <v>0</v>
      </c>
      <c r="V220" t="n">
        <v>8.19</v>
      </c>
      <c r="W220" t="n">
        <v>171.99</v>
      </c>
      <c r="X220" t="n">
        <v>163.8</v>
      </c>
      <c r="Y220" t="n">
        <v>19</v>
      </c>
      <c r="Z220" t="n">
        <v>31.12</v>
      </c>
      <c r="AA220" t="n">
        <v>3.16</v>
      </c>
      <c r="AB220" t="n">
        <v>34.28</v>
      </c>
      <c r="AC220" t="n">
        <v>6.17</v>
      </c>
      <c r="AD220" t="n">
        <v>0</v>
      </c>
      <c r="AE220" t="n">
        <v>163.8</v>
      </c>
      <c r="AF220" t="n">
        <v>0</v>
      </c>
      <c r="AG220" t="n">
        <v>0</v>
      </c>
      <c r="AH220" t="n">
        <v>0.16</v>
      </c>
      <c r="AI220" t="n">
        <v>8.199999999999999</v>
      </c>
      <c r="AJ220" t="n">
        <v>-0.01</v>
      </c>
      <c r="AK220" t="n">
        <v>14.53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48.81</v>
      </c>
      <c r="AV220" t="n">
        <v>0</v>
      </c>
      <c r="AW220" t="n">
        <v>123.18</v>
      </c>
      <c r="AX220" t="inlineStr">
        <is>
          <t>settled</t>
        </is>
      </c>
      <c r="AY220" t="inlineStr">
        <is>
          <t>2026-01-14 05:30:00</t>
        </is>
      </c>
      <c r="AZ220" t="inlineStr">
        <is>
          <t>CITIN26605478364</t>
        </is>
      </c>
      <c r="BA220" t="n">
        <v>0</v>
      </c>
      <c r="BB220" t="inlineStr">
        <is>
          <t>07ff1343fcf1806b06d872509088b63c22d819030b7562e3847ba8c9eb772674</t>
        </is>
      </c>
    </row>
    <row r="221">
      <c r="A221" t="inlineStr">
        <is>
          <t>216</t>
        </is>
      </c>
      <c r="B221" t="inlineStr">
        <is>
          <t>7662226246</t>
        </is>
      </c>
      <c r="C221" t="inlineStr">
        <is>
          <t>2026-01-09 19:22:02</t>
        </is>
      </c>
      <c r="D221" t="inlineStr">
        <is>
          <t>2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30% off upto ₹75 (2025-06-25 - 2031-01-01)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219</v>
      </c>
      <c r="P221" t="n">
        <v>3.5</v>
      </c>
      <c r="Q221" t="n">
        <v>0</v>
      </c>
      <c r="R221" t="n">
        <v>65.7</v>
      </c>
      <c r="S221" t="n">
        <v>0</v>
      </c>
      <c r="T221" t="n">
        <v>0</v>
      </c>
      <c r="U221" t="n">
        <v>0</v>
      </c>
      <c r="V221" t="n">
        <v>7.84</v>
      </c>
      <c r="W221" t="n">
        <v>164.64</v>
      </c>
      <c r="X221" t="n">
        <v>156.8</v>
      </c>
      <c r="Y221" t="n">
        <v>19</v>
      </c>
      <c r="Z221" t="n">
        <v>29.79</v>
      </c>
      <c r="AA221" t="n">
        <v>3.03</v>
      </c>
      <c r="AB221" t="n">
        <v>32.82</v>
      </c>
      <c r="AC221" t="n">
        <v>5.91</v>
      </c>
      <c r="AD221" t="n">
        <v>0</v>
      </c>
      <c r="AE221" t="n">
        <v>156.8</v>
      </c>
      <c r="AF221" t="n">
        <v>0</v>
      </c>
      <c r="AG221" t="n">
        <v>0</v>
      </c>
      <c r="AH221" t="n">
        <v>0.16</v>
      </c>
      <c r="AI221" t="n">
        <v>7.85</v>
      </c>
      <c r="AJ221" t="n">
        <v>-0.01</v>
      </c>
      <c r="AK221" t="n">
        <v>13.92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46.74</v>
      </c>
      <c r="AV221" t="n">
        <v>0</v>
      </c>
      <c r="AW221" t="n">
        <v>117.9</v>
      </c>
      <c r="AX221" t="inlineStr">
        <is>
          <t>settled</t>
        </is>
      </c>
      <c r="AY221" t="inlineStr">
        <is>
          <t>2026-01-14 05:30:00</t>
        </is>
      </c>
      <c r="AZ221" t="inlineStr">
        <is>
          <t>CITIN26605478364</t>
        </is>
      </c>
      <c r="BA221" t="n">
        <v>0</v>
      </c>
      <c r="BB221" t="inlineStr">
        <is>
          <t>e04003e63083623cb351ed2b689413cef1c7258699a8a61f909385a3aa1b035b</t>
        </is>
      </c>
    </row>
    <row r="222">
      <c r="A222" t="inlineStr">
        <is>
          <t>217</t>
        </is>
      </c>
      <c r="B222" t="inlineStr">
        <is>
          <t>7670740657</t>
        </is>
      </c>
      <c r="C222" t="inlineStr">
        <is>
          <t>2026-01-09 19:32:04</t>
        </is>
      </c>
      <c r="D222" t="inlineStr">
        <is>
          <t>2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229</v>
      </c>
      <c r="P222" t="n">
        <v>3.5</v>
      </c>
      <c r="Q222" t="n">
        <v>0</v>
      </c>
      <c r="R222" t="n">
        <v>68.7</v>
      </c>
      <c r="S222" t="n">
        <v>0</v>
      </c>
      <c r="T222" t="n">
        <v>0</v>
      </c>
      <c r="U222" t="n">
        <v>0</v>
      </c>
      <c r="V222" t="n">
        <v>8.19</v>
      </c>
      <c r="W222" t="n">
        <v>171.99</v>
      </c>
      <c r="X222" t="n">
        <v>163.8</v>
      </c>
      <c r="Y222" t="n">
        <v>19</v>
      </c>
      <c r="Z222" t="n">
        <v>31.12</v>
      </c>
      <c r="AA222" t="n">
        <v>3.16</v>
      </c>
      <c r="AB222" t="n">
        <v>34.28</v>
      </c>
      <c r="AC222" t="n">
        <v>6.17</v>
      </c>
      <c r="AD222" t="n">
        <v>0</v>
      </c>
      <c r="AE222" t="n">
        <v>163.8</v>
      </c>
      <c r="AF222" t="n">
        <v>0</v>
      </c>
      <c r="AG222" t="n">
        <v>0</v>
      </c>
      <c r="AH222" t="n">
        <v>0.16</v>
      </c>
      <c r="AI222" t="n">
        <v>8.199999999999999</v>
      </c>
      <c r="AJ222" t="n">
        <v>-0.01</v>
      </c>
      <c r="AK222" t="n">
        <v>14.53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48.81</v>
      </c>
      <c r="AV222" t="n">
        <v>0</v>
      </c>
      <c r="AW222" t="n">
        <v>123.18</v>
      </c>
      <c r="AX222" t="inlineStr">
        <is>
          <t>settled</t>
        </is>
      </c>
      <c r="AY222" t="inlineStr">
        <is>
          <t>2026-01-14 05:30:00</t>
        </is>
      </c>
      <c r="AZ222" t="inlineStr">
        <is>
          <t>CITIN26605478364</t>
        </is>
      </c>
      <c r="BA222" t="n">
        <v>0</v>
      </c>
      <c r="BB222" t="inlineStr">
        <is>
          <t>b5560b2ebf5fc832b6bb9c8e62908c87249b3a429063c6922419e098654379cc</t>
        </is>
      </c>
    </row>
    <row r="223">
      <c r="A223" t="inlineStr">
        <is>
          <t>218</t>
        </is>
      </c>
      <c r="B223" t="inlineStr">
        <is>
          <t>7672982010</t>
        </is>
      </c>
      <c r="C223" t="inlineStr">
        <is>
          <t>2026-01-09 20:05:20</t>
        </is>
      </c>
      <c r="D223" t="inlineStr">
        <is>
          <t>2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30% off upto ₹75 (2025-06-25 - 2031-01-01)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229</v>
      </c>
      <c r="P223" t="n">
        <v>3.5</v>
      </c>
      <c r="Q223" t="n">
        <v>0</v>
      </c>
      <c r="R223" t="n">
        <v>68.7</v>
      </c>
      <c r="S223" t="n">
        <v>0</v>
      </c>
      <c r="T223" t="n">
        <v>0</v>
      </c>
      <c r="U223" t="n">
        <v>0</v>
      </c>
      <c r="V223" t="n">
        <v>8.19</v>
      </c>
      <c r="W223" t="n">
        <v>171.99</v>
      </c>
      <c r="X223" t="n">
        <v>163.8</v>
      </c>
      <c r="Y223" t="n">
        <v>19</v>
      </c>
      <c r="Z223" t="n">
        <v>31.12</v>
      </c>
      <c r="AA223" t="n">
        <v>3.16</v>
      </c>
      <c r="AB223" t="n">
        <v>34.28</v>
      </c>
      <c r="AC223" t="n">
        <v>6.17</v>
      </c>
      <c r="AD223" t="n">
        <v>0</v>
      </c>
      <c r="AE223" t="n">
        <v>163.8</v>
      </c>
      <c r="AF223" t="n">
        <v>0</v>
      </c>
      <c r="AG223" t="n">
        <v>0</v>
      </c>
      <c r="AH223" t="n">
        <v>0.16</v>
      </c>
      <c r="AI223" t="n">
        <v>8.199999999999999</v>
      </c>
      <c r="AJ223" t="n">
        <v>-0.01</v>
      </c>
      <c r="AK223" t="n">
        <v>14.53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48.81</v>
      </c>
      <c r="AV223" t="n">
        <v>0</v>
      </c>
      <c r="AW223" t="n">
        <v>123.18</v>
      </c>
      <c r="AX223" t="inlineStr">
        <is>
          <t>settled</t>
        </is>
      </c>
      <c r="AY223" t="inlineStr">
        <is>
          <t>2026-01-14 05:30:00</t>
        </is>
      </c>
      <c r="AZ223" t="inlineStr">
        <is>
          <t>CITIN26605478364</t>
        </is>
      </c>
      <c r="BA223" t="n">
        <v>0</v>
      </c>
      <c r="BB223" t="inlineStr">
        <is>
          <t>7fbc918ace8a36680f7238308e03194f38bf96fdec5a6e79a97cc4b76a783223</t>
        </is>
      </c>
    </row>
    <row r="224">
      <c r="A224" t="inlineStr">
        <is>
          <t>219</t>
        </is>
      </c>
      <c r="B224" t="inlineStr">
        <is>
          <t>7661229925</t>
        </is>
      </c>
      <c r="C224" t="inlineStr">
        <is>
          <t>2026-01-09 20:10:57</t>
        </is>
      </c>
      <c r="D224" t="inlineStr">
        <is>
          <t>2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NA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219</v>
      </c>
      <c r="P224" t="n">
        <v>3.5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11.13</v>
      </c>
      <c r="W224" t="n">
        <v>233.63</v>
      </c>
      <c r="X224" t="n">
        <v>222.5</v>
      </c>
      <c r="Y224" t="n">
        <v>19</v>
      </c>
      <c r="Z224" t="n">
        <v>42.28</v>
      </c>
      <c r="AA224" t="n">
        <v>4.3</v>
      </c>
      <c r="AB224" t="n">
        <v>46.58</v>
      </c>
      <c r="AC224" t="n">
        <v>8.380000000000001</v>
      </c>
      <c r="AD224" t="n">
        <v>0</v>
      </c>
      <c r="AE224" t="n">
        <v>222.5</v>
      </c>
      <c r="AF224" t="n">
        <v>0</v>
      </c>
      <c r="AG224" t="n">
        <v>0</v>
      </c>
      <c r="AH224" t="n">
        <v>0.22</v>
      </c>
      <c r="AI224" t="n">
        <v>11.13</v>
      </c>
      <c r="AJ224" t="n">
        <v>0</v>
      </c>
      <c r="AK224" t="n">
        <v>19.73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66.31</v>
      </c>
      <c r="AV224" t="n">
        <v>0</v>
      </c>
      <c r="AW224" t="n">
        <v>167.32</v>
      </c>
      <c r="AX224" t="inlineStr">
        <is>
          <t>settled</t>
        </is>
      </c>
      <c r="AY224" t="inlineStr">
        <is>
          <t>2026-01-14 05:30:00</t>
        </is>
      </c>
      <c r="AZ224" t="inlineStr">
        <is>
          <t>CITIN26605478364</t>
        </is>
      </c>
      <c r="BA224" t="n">
        <v>0</v>
      </c>
      <c r="BB224" t="inlineStr">
        <is>
          <t>5e44f65eee9c722fb76c62b944c8b8b5cb1a1addea1c0672b85a1ef24fa94252</t>
        </is>
      </c>
    </row>
    <row r="225">
      <c r="A225" t="inlineStr">
        <is>
          <t>220</t>
        </is>
      </c>
      <c r="B225" t="inlineStr">
        <is>
          <t>7671713630</t>
        </is>
      </c>
      <c r="C225" t="inlineStr">
        <is>
          <t>2026-01-09 20:35:46</t>
        </is>
      </c>
      <c r="D225" t="inlineStr">
        <is>
          <t>2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30% off upto ₹75 (2025-06-25 - 2031-01-01)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229</v>
      </c>
      <c r="P225" t="n">
        <v>3.5</v>
      </c>
      <c r="Q225" t="n">
        <v>0</v>
      </c>
      <c r="R225" t="n">
        <v>68.7</v>
      </c>
      <c r="S225" t="n">
        <v>0</v>
      </c>
      <c r="T225" t="n">
        <v>0</v>
      </c>
      <c r="U225" t="n">
        <v>0</v>
      </c>
      <c r="V225" t="n">
        <v>8.19</v>
      </c>
      <c r="W225" t="n">
        <v>171.99</v>
      </c>
      <c r="X225" t="n">
        <v>163.8</v>
      </c>
      <c r="Y225" t="n">
        <v>19</v>
      </c>
      <c r="Z225" t="n">
        <v>31.12</v>
      </c>
      <c r="AA225" t="n">
        <v>3.16</v>
      </c>
      <c r="AB225" t="n">
        <v>34.28</v>
      </c>
      <c r="AC225" t="n">
        <v>6.17</v>
      </c>
      <c r="AD225" t="n">
        <v>0</v>
      </c>
      <c r="AE225" t="n">
        <v>163.8</v>
      </c>
      <c r="AF225" t="n">
        <v>0</v>
      </c>
      <c r="AG225" t="n">
        <v>0</v>
      </c>
      <c r="AH225" t="n">
        <v>0.16</v>
      </c>
      <c r="AI225" t="n">
        <v>8.199999999999999</v>
      </c>
      <c r="AJ225" t="n">
        <v>-0.01</v>
      </c>
      <c r="AK225" t="n">
        <v>14.53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48.81</v>
      </c>
      <c r="AV225" t="n">
        <v>0</v>
      </c>
      <c r="AW225" t="n">
        <v>123.18</v>
      </c>
      <c r="AX225" t="inlineStr">
        <is>
          <t>settled</t>
        </is>
      </c>
      <c r="AY225" t="inlineStr">
        <is>
          <t>2026-01-14 05:30:00</t>
        </is>
      </c>
      <c r="AZ225" t="inlineStr">
        <is>
          <t>CITIN26605478364</t>
        </is>
      </c>
      <c r="BA225" t="n">
        <v>0</v>
      </c>
      <c r="BB225" t="inlineStr">
        <is>
          <t>60e827c507c7addb0e8aad6df6db961a5f20a6dc2a46c7c60d039397f071702c</t>
        </is>
      </c>
    </row>
    <row r="226">
      <c r="A226" t="inlineStr">
        <is>
          <t>221</t>
        </is>
      </c>
      <c r="B226" t="inlineStr">
        <is>
          <t>7668676794</t>
        </is>
      </c>
      <c r="C226" t="inlineStr">
        <is>
          <t>2026-01-09 20:46:36</t>
        </is>
      </c>
      <c r="D226" t="inlineStr">
        <is>
          <t>2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30% off upto ₹75 (2025-06-25 - 2031-01-01)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229</v>
      </c>
      <c r="P226" t="n">
        <v>3.5</v>
      </c>
      <c r="Q226" t="n">
        <v>0</v>
      </c>
      <c r="R226" t="n">
        <v>68.7</v>
      </c>
      <c r="S226" t="n">
        <v>0</v>
      </c>
      <c r="T226" t="n">
        <v>0</v>
      </c>
      <c r="U226" t="n">
        <v>0</v>
      </c>
      <c r="V226" t="n">
        <v>8.19</v>
      </c>
      <c r="W226" t="n">
        <v>171.99</v>
      </c>
      <c r="X226" t="n">
        <v>163.8</v>
      </c>
      <c r="Y226" t="n">
        <v>19</v>
      </c>
      <c r="Z226" t="n">
        <v>31.12</v>
      </c>
      <c r="AA226" t="n">
        <v>3.16</v>
      </c>
      <c r="AB226" t="n">
        <v>34.28</v>
      </c>
      <c r="AC226" t="n">
        <v>6.17</v>
      </c>
      <c r="AD226" t="n">
        <v>0</v>
      </c>
      <c r="AE226" t="n">
        <v>163.8</v>
      </c>
      <c r="AF226" t="n">
        <v>0</v>
      </c>
      <c r="AG226" t="n">
        <v>0</v>
      </c>
      <c r="AH226" t="n">
        <v>0.16</v>
      </c>
      <c r="AI226" t="n">
        <v>8.199999999999999</v>
      </c>
      <c r="AJ226" t="n">
        <v>-0.01</v>
      </c>
      <c r="AK226" t="n">
        <v>14.53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48.81</v>
      </c>
      <c r="AV226" t="n">
        <v>0</v>
      </c>
      <c r="AW226" t="n">
        <v>123.18</v>
      </c>
      <c r="AX226" t="inlineStr">
        <is>
          <t>settled</t>
        </is>
      </c>
      <c r="AY226" t="inlineStr">
        <is>
          <t>2026-01-14 05:30:00</t>
        </is>
      </c>
      <c r="AZ226" t="inlineStr">
        <is>
          <t>CITIN26605478364</t>
        </is>
      </c>
      <c r="BA226" t="n">
        <v>0</v>
      </c>
      <c r="BB226" t="inlineStr">
        <is>
          <t>401d5a04a69ef9868144c7bb4077666ea63cad78510826f0820c54e5d2af5d2f</t>
        </is>
      </c>
    </row>
    <row r="227">
      <c r="A227" t="inlineStr">
        <is>
          <t>222</t>
        </is>
      </c>
      <c r="B227" t="inlineStr">
        <is>
          <t>7667654505</t>
        </is>
      </c>
      <c r="C227" t="inlineStr">
        <is>
          <t>2026-01-09 20:51:40</t>
        </is>
      </c>
      <c r="D227" t="inlineStr">
        <is>
          <t>2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NA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229</v>
      </c>
      <c r="P227" t="n">
        <v>3.5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11.63</v>
      </c>
      <c r="W227" t="n">
        <v>244.13</v>
      </c>
      <c r="X227" t="n">
        <v>232.5</v>
      </c>
      <c r="Y227" t="n">
        <v>19</v>
      </c>
      <c r="Z227" t="n">
        <v>44.18</v>
      </c>
      <c r="AA227" t="n">
        <v>4.49</v>
      </c>
      <c r="AB227" t="n">
        <v>48.67</v>
      </c>
      <c r="AC227" t="n">
        <v>8.76</v>
      </c>
      <c r="AD227" t="n">
        <v>0</v>
      </c>
      <c r="AE227" t="n">
        <v>232.5</v>
      </c>
      <c r="AF227" t="n">
        <v>0</v>
      </c>
      <c r="AG227" t="n">
        <v>0</v>
      </c>
      <c r="AH227" t="n">
        <v>0.23</v>
      </c>
      <c r="AI227" t="n">
        <v>11.63</v>
      </c>
      <c r="AJ227" t="n">
        <v>0</v>
      </c>
      <c r="AK227" t="n">
        <v>20.62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69.29000000000001</v>
      </c>
      <c r="AV227" t="n">
        <v>0</v>
      </c>
      <c r="AW227" t="n">
        <v>174.84</v>
      </c>
      <c r="AX227" t="inlineStr">
        <is>
          <t>settled</t>
        </is>
      </c>
      <c r="AY227" t="inlineStr">
        <is>
          <t>2026-01-14 05:30:00</t>
        </is>
      </c>
      <c r="AZ227" t="inlineStr">
        <is>
          <t>CITIN26605478364</t>
        </is>
      </c>
      <c r="BA227" t="n">
        <v>0</v>
      </c>
      <c r="BB227" t="inlineStr">
        <is>
          <t>f4604684c1e65581998d17f6e5b72c55ba06fab26b8529d5e92ea10fc991cada</t>
        </is>
      </c>
    </row>
    <row r="228">
      <c r="A228" t="inlineStr">
        <is>
          <t>223</t>
        </is>
      </c>
      <c r="B228" t="inlineStr">
        <is>
          <t>7670853880</t>
        </is>
      </c>
      <c r="C228" t="inlineStr">
        <is>
          <t>2026-01-09 20:53:32</t>
        </is>
      </c>
      <c r="D228" t="inlineStr">
        <is>
          <t>2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NA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229</v>
      </c>
      <c r="P228" t="n">
        <v>3.5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11.63</v>
      </c>
      <c r="W228" t="n">
        <v>244.13</v>
      </c>
      <c r="X228" t="n">
        <v>232.5</v>
      </c>
      <c r="Y228" t="n">
        <v>19</v>
      </c>
      <c r="Z228" t="n">
        <v>44.18</v>
      </c>
      <c r="AA228" t="n">
        <v>4.49</v>
      </c>
      <c r="AB228" t="n">
        <v>48.67</v>
      </c>
      <c r="AC228" t="n">
        <v>8.76</v>
      </c>
      <c r="AD228" t="n">
        <v>0</v>
      </c>
      <c r="AE228" t="n">
        <v>232.5</v>
      </c>
      <c r="AF228" t="n">
        <v>0</v>
      </c>
      <c r="AG228" t="n">
        <v>0</v>
      </c>
      <c r="AH228" t="n">
        <v>0.23</v>
      </c>
      <c r="AI228" t="n">
        <v>11.63</v>
      </c>
      <c r="AJ228" t="n">
        <v>0</v>
      </c>
      <c r="AK228" t="n">
        <v>20.62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69.29000000000001</v>
      </c>
      <c r="AV228" t="n">
        <v>0</v>
      </c>
      <c r="AW228" t="n">
        <v>174.84</v>
      </c>
      <c r="AX228" t="inlineStr">
        <is>
          <t>settled</t>
        </is>
      </c>
      <c r="AY228" t="inlineStr">
        <is>
          <t>2026-01-14 05:30:00</t>
        </is>
      </c>
      <c r="AZ228" t="inlineStr">
        <is>
          <t>CITIN26605478364</t>
        </is>
      </c>
      <c r="BA228" t="n">
        <v>0</v>
      </c>
      <c r="BB228" t="inlineStr">
        <is>
          <t>f4604684c1e65581998d17f6e5b72c55ba06fab26b8529d5e92ea10fc991cada</t>
        </is>
      </c>
    </row>
    <row r="229">
      <c r="A229" t="inlineStr">
        <is>
          <t>224</t>
        </is>
      </c>
      <c r="B229" t="inlineStr">
        <is>
          <t>7663897329</t>
        </is>
      </c>
      <c r="C229" t="inlineStr">
        <is>
          <t>2026-01-09 20:53:54</t>
        </is>
      </c>
      <c r="D229" t="inlineStr">
        <is>
          <t>2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229</v>
      </c>
      <c r="P229" t="n">
        <v>3.5</v>
      </c>
      <c r="Q229" t="n">
        <v>0</v>
      </c>
      <c r="R229" t="n">
        <v>68.7</v>
      </c>
      <c r="S229" t="n">
        <v>0</v>
      </c>
      <c r="T229" t="n">
        <v>0</v>
      </c>
      <c r="U229" t="n">
        <v>0</v>
      </c>
      <c r="V229" t="n">
        <v>8.19</v>
      </c>
      <c r="W229" t="n">
        <v>171.99</v>
      </c>
      <c r="X229" t="n">
        <v>163.8</v>
      </c>
      <c r="Y229" t="n">
        <v>19</v>
      </c>
      <c r="Z229" t="n">
        <v>31.12</v>
      </c>
      <c r="AA229" t="n">
        <v>3.16</v>
      </c>
      <c r="AB229" t="n">
        <v>34.28</v>
      </c>
      <c r="AC229" t="n">
        <v>6.17</v>
      </c>
      <c r="AD229" t="n">
        <v>0</v>
      </c>
      <c r="AE229" t="n">
        <v>163.8</v>
      </c>
      <c r="AF229" t="n">
        <v>0</v>
      </c>
      <c r="AG229" t="n">
        <v>0</v>
      </c>
      <c r="AH229" t="n">
        <v>0.16</v>
      </c>
      <c r="AI229" t="n">
        <v>8.199999999999999</v>
      </c>
      <c r="AJ229" t="n">
        <v>-0.01</v>
      </c>
      <c r="AK229" t="n">
        <v>14.53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48.81</v>
      </c>
      <c r="AV229" t="n">
        <v>0</v>
      </c>
      <c r="AW229" t="n">
        <v>123.18</v>
      </c>
      <c r="AX229" t="inlineStr">
        <is>
          <t>settled</t>
        </is>
      </c>
      <c r="AY229" t="inlineStr">
        <is>
          <t>2026-01-14 05:30:00</t>
        </is>
      </c>
      <c r="AZ229" t="inlineStr">
        <is>
          <t>CITIN26605478364</t>
        </is>
      </c>
      <c r="BA229" t="n">
        <v>0</v>
      </c>
      <c r="BB229" t="inlineStr">
        <is>
          <t>d2bb89dc65fddd27f28b0ff7c425b4bff5cdff74cb18e35a2e7f5fd6a3969476</t>
        </is>
      </c>
    </row>
    <row r="230">
      <c r="A230" t="inlineStr">
        <is>
          <t>225</t>
        </is>
      </c>
      <c r="B230" t="inlineStr">
        <is>
          <t>7659680875</t>
        </is>
      </c>
      <c r="C230" t="inlineStr">
        <is>
          <t>2026-01-09 20:56:06</t>
        </is>
      </c>
      <c r="D230" t="inlineStr">
        <is>
          <t>2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NA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229</v>
      </c>
      <c r="P230" t="n">
        <v>3.5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11.63</v>
      </c>
      <c r="W230" t="n">
        <v>244.13</v>
      </c>
      <c r="X230" t="n">
        <v>232.5</v>
      </c>
      <c r="Y230" t="n">
        <v>19</v>
      </c>
      <c r="Z230" t="n">
        <v>44.18</v>
      </c>
      <c r="AA230" t="n">
        <v>4.49</v>
      </c>
      <c r="AB230" t="n">
        <v>48.67</v>
      </c>
      <c r="AC230" t="n">
        <v>8.76</v>
      </c>
      <c r="AD230" t="n">
        <v>0</v>
      </c>
      <c r="AE230" t="n">
        <v>232.5</v>
      </c>
      <c r="AF230" t="n">
        <v>0</v>
      </c>
      <c r="AG230" t="n">
        <v>0</v>
      </c>
      <c r="AH230" t="n">
        <v>0.23</v>
      </c>
      <c r="AI230" t="n">
        <v>11.63</v>
      </c>
      <c r="AJ230" t="n">
        <v>0</v>
      </c>
      <c r="AK230" t="n">
        <v>20.62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69.29000000000001</v>
      </c>
      <c r="AV230" t="n">
        <v>0</v>
      </c>
      <c r="AW230" t="n">
        <v>174.84</v>
      </c>
      <c r="AX230" t="inlineStr">
        <is>
          <t>settled</t>
        </is>
      </c>
      <c r="AY230" t="inlineStr">
        <is>
          <t>2026-01-14 05:30:00</t>
        </is>
      </c>
      <c r="AZ230" t="inlineStr">
        <is>
          <t>CITIN26605478364</t>
        </is>
      </c>
      <c r="BA230" t="n">
        <v>0</v>
      </c>
      <c r="BB230" t="inlineStr">
        <is>
          <t>89bf16e9776ad67e6efb193a383485cb4f0e041f577c20b8fb6c7bc91fc43c54</t>
        </is>
      </c>
    </row>
    <row r="231">
      <c r="A231" t="inlineStr">
        <is>
          <t>226</t>
        </is>
      </c>
      <c r="B231" t="inlineStr">
        <is>
          <t>7651330306</t>
        </is>
      </c>
      <c r="C231" t="inlineStr">
        <is>
          <t>2026-01-09 21:41:20</t>
        </is>
      </c>
      <c r="D231" t="inlineStr">
        <is>
          <t>2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30% off upto ₹75 (2025-06-25 - 2031-01-01)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229</v>
      </c>
      <c r="P231" t="n">
        <v>3.5</v>
      </c>
      <c r="Q231" t="n">
        <v>0</v>
      </c>
      <c r="R231" t="n">
        <v>68.7</v>
      </c>
      <c r="S231" t="n">
        <v>0</v>
      </c>
      <c r="T231" t="n">
        <v>0</v>
      </c>
      <c r="U231" t="n">
        <v>0</v>
      </c>
      <c r="V231" t="n">
        <v>8.19</v>
      </c>
      <c r="W231" t="n">
        <v>171.99</v>
      </c>
      <c r="X231" t="n">
        <v>163.8</v>
      </c>
      <c r="Y231" t="n">
        <v>19</v>
      </c>
      <c r="Z231" t="n">
        <v>31.12</v>
      </c>
      <c r="AA231" t="n">
        <v>3.16</v>
      </c>
      <c r="AB231" t="n">
        <v>34.28</v>
      </c>
      <c r="AC231" t="n">
        <v>6.17</v>
      </c>
      <c r="AD231" t="n">
        <v>0</v>
      </c>
      <c r="AE231" t="n">
        <v>163.8</v>
      </c>
      <c r="AF231" t="n">
        <v>0</v>
      </c>
      <c r="AG231" t="n">
        <v>0</v>
      </c>
      <c r="AH231" t="n">
        <v>0.16</v>
      </c>
      <c r="AI231" t="n">
        <v>8.199999999999999</v>
      </c>
      <c r="AJ231" t="n">
        <v>-0.01</v>
      </c>
      <c r="AK231" t="n">
        <v>14.53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48.81</v>
      </c>
      <c r="AV231" t="n">
        <v>0</v>
      </c>
      <c r="AW231" t="n">
        <v>123.18</v>
      </c>
      <c r="AX231" t="inlineStr">
        <is>
          <t>settled</t>
        </is>
      </c>
      <c r="AY231" t="inlineStr">
        <is>
          <t>2026-01-14 05:30:00</t>
        </is>
      </c>
      <c r="AZ231" t="inlineStr">
        <is>
          <t>CITIN26605478364</t>
        </is>
      </c>
      <c r="BA231" t="n">
        <v>0</v>
      </c>
      <c r="BB231" t="inlineStr">
        <is>
          <t>2bbc31bbec3c0a4ea4e924d4aa7ad19ddbf6c65db21b0eb4fe8b54287e1a55ad</t>
        </is>
      </c>
    </row>
    <row r="232">
      <c r="A232" t="inlineStr">
        <is>
          <t>227</t>
        </is>
      </c>
      <c r="B232" t="inlineStr">
        <is>
          <t>7671965878</t>
        </is>
      </c>
      <c r="C232" t="inlineStr">
        <is>
          <t>2026-01-09 22:02:24</t>
        </is>
      </c>
      <c r="D232" t="inlineStr">
        <is>
          <t>2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229</v>
      </c>
      <c r="P232" t="n">
        <v>3.5</v>
      </c>
      <c r="Q232" t="n">
        <v>0</v>
      </c>
      <c r="R232" t="n">
        <v>68.7</v>
      </c>
      <c r="S232" t="n">
        <v>0</v>
      </c>
      <c r="T232" t="n">
        <v>0</v>
      </c>
      <c r="U232" t="n">
        <v>0</v>
      </c>
      <c r="V232" t="n">
        <v>8.19</v>
      </c>
      <c r="W232" t="n">
        <v>171.99</v>
      </c>
      <c r="X232" t="n">
        <v>163.8</v>
      </c>
      <c r="Y232" t="n">
        <v>19</v>
      </c>
      <c r="Z232" t="n">
        <v>31.12</v>
      </c>
      <c r="AA232" t="n">
        <v>3.16</v>
      </c>
      <c r="AB232" t="n">
        <v>34.28</v>
      </c>
      <c r="AC232" t="n">
        <v>6.17</v>
      </c>
      <c r="AD232" t="n">
        <v>0</v>
      </c>
      <c r="AE232" t="n">
        <v>163.8</v>
      </c>
      <c r="AF232" t="n">
        <v>0</v>
      </c>
      <c r="AG232" t="n">
        <v>0</v>
      </c>
      <c r="AH232" t="n">
        <v>0.16</v>
      </c>
      <c r="AI232" t="n">
        <v>8.199999999999999</v>
      </c>
      <c r="AJ232" t="n">
        <v>-0.01</v>
      </c>
      <c r="AK232" t="n">
        <v>14.53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48.81</v>
      </c>
      <c r="AV232" t="n">
        <v>0</v>
      </c>
      <c r="AW232" t="n">
        <v>123.18</v>
      </c>
      <c r="AX232" t="inlineStr">
        <is>
          <t>settled</t>
        </is>
      </c>
      <c r="AY232" t="inlineStr">
        <is>
          <t>2026-01-14 05:30:00</t>
        </is>
      </c>
      <c r="AZ232" t="inlineStr">
        <is>
          <t>CITIN26605478364</t>
        </is>
      </c>
      <c r="BA232" t="n">
        <v>0</v>
      </c>
      <c r="BB232" t="inlineStr">
        <is>
          <t>035d82acc9ca59697fdb36b3ca8da7aa998b23e17fb2b1c1e220fac3bab78ad4</t>
        </is>
      </c>
    </row>
    <row r="233">
      <c r="A233" t="inlineStr">
        <is>
          <t>228</t>
        </is>
      </c>
      <c r="B233" t="inlineStr">
        <is>
          <t>7674183167</t>
        </is>
      </c>
      <c r="C233" t="inlineStr">
        <is>
          <t>2026-01-09 22:17:29</t>
        </is>
      </c>
      <c r="D233" t="inlineStr">
        <is>
          <t>2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229</v>
      </c>
      <c r="P233" t="n">
        <v>3.5</v>
      </c>
      <c r="Q233" t="n">
        <v>0</v>
      </c>
      <c r="R233" t="n">
        <v>68.7</v>
      </c>
      <c r="S233" t="n">
        <v>0</v>
      </c>
      <c r="T233" t="n">
        <v>0</v>
      </c>
      <c r="U233" t="n">
        <v>0</v>
      </c>
      <c r="V233" t="n">
        <v>8.19</v>
      </c>
      <c r="W233" t="n">
        <v>171.99</v>
      </c>
      <c r="X233" t="n">
        <v>163.8</v>
      </c>
      <c r="Y233" t="n">
        <v>19</v>
      </c>
      <c r="Z233" t="n">
        <v>31.12</v>
      </c>
      <c r="AA233" t="n">
        <v>3.16</v>
      </c>
      <c r="AB233" t="n">
        <v>34.28</v>
      </c>
      <c r="AC233" t="n">
        <v>6.17</v>
      </c>
      <c r="AD233" t="n">
        <v>0</v>
      </c>
      <c r="AE233" t="n">
        <v>163.8</v>
      </c>
      <c r="AF233" t="n">
        <v>0</v>
      </c>
      <c r="AG233" t="n">
        <v>0</v>
      </c>
      <c r="AH233" t="n">
        <v>0.16</v>
      </c>
      <c r="AI233" t="n">
        <v>8.199999999999999</v>
      </c>
      <c r="AJ233" t="n">
        <v>-0.01</v>
      </c>
      <c r="AK233" t="n">
        <v>14.53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48.81</v>
      </c>
      <c r="AV233" t="n">
        <v>0</v>
      </c>
      <c r="AW233" t="n">
        <v>123.18</v>
      </c>
      <c r="AX233" t="inlineStr">
        <is>
          <t>settled</t>
        </is>
      </c>
      <c r="AY233" t="inlineStr">
        <is>
          <t>2026-01-14 05:30:00</t>
        </is>
      </c>
      <c r="AZ233" t="inlineStr">
        <is>
          <t>CITIN26605478364</t>
        </is>
      </c>
      <c r="BA233" t="n">
        <v>0</v>
      </c>
      <c r="BB233" t="inlineStr">
        <is>
          <t>f8f4ec5d6a400c6f56db6743b8187f2a11926909ee2ff7edfdded721e1f9c016</t>
        </is>
      </c>
    </row>
    <row r="234">
      <c r="A234" t="inlineStr">
        <is>
          <t>229</t>
        </is>
      </c>
      <c r="B234" t="inlineStr">
        <is>
          <t>7674003606</t>
        </is>
      </c>
      <c r="C234" t="inlineStr">
        <is>
          <t>2026-01-09 22:34:02</t>
        </is>
      </c>
      <c r="D234" t="inlineStr">
        <is>
          <t>2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289</v>
      </c>
      <c r="P234" t="n">
        <v>3.5</v>
      </c>
      <c r="Q234" t="n">
        <v>0</v>
      </c>
      <c r="R234" t="n">
        <v>75</v>
      </c>
      <c r="S234" t="n">
        <v>0</v>
      </c>
      <c r="T234" t="n">
        <v>0</v>
      </c>
      <c r="U234" t="n">
        <v>0</v>
      </c>
      <c r="V234" t="n">
        <v>10.88</v>
      </c>
      <c r="W234" t="n">
        <v>228.38</v>
      </c>
      <c r="X234" t="n">
        <v>217.5</v>
      </c>
      <c r="Y234" t="n">
        <v>19</v>
      </c>
      <c r="Z234" t="n">
        <v>41.32</v>
      </c>
      <c r="AA234" t="n">
        <v>4.2</v>
      </c>
      <c r="AB234" t="n">
        <v>45.52</v>
      </c>
      <c r="AC234" t="n">
        <v>8.199999999999999</v>
      </c>
      <c r="AD234" t="n">
        <v>0</v>
      </c>
      <c r="AE234" t="n">
        <v>217.5</v>
      </c>
      <c r="AF234" t="n">
        <v>0</v>
      </c>
      <c r="AG234" t="n">
        <v>0</v>
      </c>
      <c r="AH234" t="n">
        <v>0.22</v>
      </c>
      <c r="AI234" t="n">
        <v>10.88</v>
      </c>
      <c r="AJ234" t="n">
        <v>0</v>
      </c>
      <c r="AK234" t="n">
        <v>19.3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64.81999999999999</v>
      </c>
      <c r="AV234" t="n">
        <v>0</v>
      </c>
      <c r="AW234" t="n">
        <v>163.56</v>
      </c>
      <c r="AX234" t="inlineStr">
        <is>
          <t>settled</t>
        </is>
      </c>
      <c r="AY234" t="inlineStr">
        <is>
          <t>2026-01-14 05:30:00</t>
        </is>
      </c>
      <c r="AZ234" t="inlineStr">
        <is>
          <t>CITIN26605478364</t>
        </is>
      </c>
      <c r="BA234" t="n">
        <v>0</v>
      </c>
      <c r="BB234" t="inlineStr">
        <is>
          <t>86fd43fad12f1f9773240b0c0bace611c77095d9ee10574c1c54aa9c21702c38</t>
        </is>
      </c>
    </row>
    <row r="235">
      <c r="A235" t="inlineStr">
        <is>
          <t>230</t>
        </is>
      </c>
      <c r="B235" t="inlineStr">
        <is>
          <t>7668877943</t>
        </is>
      </c>
      <c r="C235" t="inlineStr">
        <is>
          <t>2026-01-09 22:34:49</t>
        </is>
      </c>
      <c r="D235" t="inlineStr">
        <is>
          <t>2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199</v>
      </c>
      <c r="P235" t="n">
        <v>3.5</v>
      </c>
      <c r="Q235" t="n">
        <v>0</v>
      </c>
      <c r="R235" t="n">
        <v>59.7</v>
      </c>
      <c r="S235" t="n">
        <v>0</v>
      </c>
      <c r="T235" t="n">
        <v>0</v>
      </c>
      <c r="U235" t="n">
        <v>0</v>
      </c>
      <c r="V235" t="n">
        <v>7.14</v>
      </c>
      <c r="W235" t="n">
        <v>149.94</v>
      </c>
      <c r="X235" t="n">
        <v>142.8</v>
      </c>
      <c r="Y235" t="n">
        <v>19</v>
      </c>
      <c r="Z235" t="n">
        <v>27.13</v>
      </c>
      <c r="AA235" t="n">
        <v>2.76</v>
      </c>
      <c r="AB235" t="n">
        <v>29.89</v>
      </c>
      <c r="AC235" t="n">
        <v>5.38</v>
      </c>
      <c r="AD235" t="n">
        <v>0</v>
      </c>
      <c r="AE235" t="n">
        <v>142.8</v>
      </c>
      <c r="AF235" t="n">
        <v>0</v>
      </c>
      <c r="AG235" t="n">
        <v>0</v>
      </c>
      <c r="AH235" t="n">
        <v>0.14</v>
      </c>
      <c r="AI235" t="n">
        <v>7.15</v>
      </c>
      <c r="AJ235" t="n">
        <v>-0.01</v>
      </c>
      <c r="AK235" t="n">
        <v>12.67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42.56</v>
      </c>
      <c r="AV235" t="n">
        <v>0</v>
      </c>
      <c r="AW235" t="n">
        <v>107.38</v>
      </c>
      <c r="AX235" t="inlineStr">
        <is>
          <t>settled</t>
        </is>
      </c>
      <c r="AY235" t="inlineStr">
        <is>
          <t>2026-01-14 05:30:00</t>
        </is>
      </c>
      <c r="AZ235" t="inlineStr">
        <is>
          <t>CITIN26605478364</t>
        </is>
      </c>
      <c r="BA235" t="n">
        <v>0</v>
      </c>
      <c r="BB235" t="inlineStr">
        <is>
          <t>636fc109252faa6fc2405c988b431b71190b922af887b9684c4a7e523e1fc09c</t>
        </is>
      </c>
    </row>
    <row r="236">
      <c r="A236" t="inlineStr">
        <is>
          <t>231</t>
        </is>
      </c>
      <c r="B236" t="inlineStr">
        <is>
          <t>7673325512</t>
        </is>
      </c>
      <c r="C236" t="inlineStr">
        <is>
          <t>2026-01-09 22:36:08</t>
        </is>
      </c>
      <c r="D236" t="inlineStr">
        <is>
          <t>2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30% off upto ₹75 (2025-06-25 - 2031-01-01)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338</v>
      </c>
      <c r="P236" t="n">
        <v>3.5</v>
      </c>
      <c r="Q236" t="n">
        <v>0</v>
      </c>
      <c r="R236" t="n">
        <v>75</v>
      </c>
      <c r="S236" t="n">
        <v>0</v>
      </c>
      <c r="T236" t="n">
        <v>0</v>
      </c>
      <c r="U236" t="n">
        <v>0</v>
      </c>
      <c r="V236" t="n">
        <v>13.33</v>
      </c>
      <c r="W236" t="n">
        <v>279.83</v>
      </c>
      <c r="X236" t="n">
        <v>266.5</v>
      </c>
      <c r="Y236" t="n">
        <v>19</v>
      </c>
      <c r="Z236" t="n">
        <v>50.64</v>
      </c>
      <c r="AA236" t="n">
        <v>5.15</v>
      </c>
      <c r="AB236" t="n">
        <v>55.79</v>
      </c>
      <c r="AC236" t="n">
        <v>10.05</v>
      </c>
      <c r="AD236" t="n">
        <v>0</v>
      </c>
      <c r="AE236" t="n">
        <v>266.5</v>
      </c>
      <c r="AF236" t="n">
        <v>0</v>
      </c>
      <c r="AG236" t="n">
        <v>0</v>
      </c>
      <c r="AH236" t="n">
        <v>0.27</v>
      </c>
      <c r="AI236" t="n">
        <v>13.33</v>
      </c>
      <c r="AJ236" t="n">
        <v>0</v>
      </c>
      <c r="AK236" t="n">
        <v>23.65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79.44</v>
      </c>
      <c r="AV236" t="n">
        <v>0</v>
      </c>
      <c r="AW236" t="n">
        <v>200.39</v>
      </c>
      <c r="AX236" t="inlineStr">
        <is>
          <t>settled</t>
        </is>
      </c>
      <c r="AY236" t="inlineStr">
        <is>
          <t>2026-01-14 05:30:00</t>
        </is>
      </c>
      <c r="AZ236" t="inlineStr">
        <is>
          <t>CITIN26605478364</t>
        </is>
      </c>
      <c r="BA236" t="n">
        <v>0</v>
      </c>
      <c r="BB236" t="inlineStr">
        <is>
          <t>7ed63591dd3584e1efce71f2423c6e27f756e49506cca877ddae988f9d0d9dae</t>
        </is>
      </c>
    </row>
    <row r="237">
      <c r="A237" t="inlineStr">
        <is>
          <t>232</t>
        </is>
      </c>
      <c r="B237" t="inlineStr">
        <is>
          <t>7667567908</t>
        </is>
      </c>
      <c r="C237" t="inlineStr">
        <is>
          <t>2026-01-09 22:40:37</t>
        </is>
      </c>
      <c r="D237" t="inlineStr">
        <is>
          <t>2</t>
        </is>
      </c>
      <c r="E237" t="inlineStr">
        <is>
          <t>Sha Sha - Shandaar Shawarma</t>
        </is>
      </c>
      <c r="F237" t="inlineStr">
        <is>
          <t>18557902</t>
        </is>
      </c>
      <c r="G237" t="inlineStr">
        <is>
          <t>30% off upto ₹75 (2025-06-25 - 2031-01-01)</t>
        </is>
      </c>
      <c r="H237" t="inlineStr">
        <is>
          <t>ONLINE</t>
        </is>
      </c>
      <c r="I237" t="inlineStr">
        <is>
          <t>DELIVERED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O2</t>
        </is>
      </c>
      <c r="N237" t="inlineStr">
        <is>
          <t>36</t>
        </is>
      </c>
      <c r="O237" t="n">
        <v>229</v>
      </c>
      <c r="P237" t="n">
        <v>3.5</v>
      </c>
      <c r="Q237" t="n">
        <v>0</v>
      </c>
      <c r="R237" t="n">
        <v>68.7</v>
      </c>
      <c r="S237" t="n">
        <v>0</v>
      </c>
      <c r="T237" t="n">
        <v>0</v>
      </c>
      <c r="U237" t="n">
        <v>0</v>
      </c>
      <c r="V237" t="n">
        <v>8.19</v>
      </c>
      <c r="W237" t="n">
        <v>171.99</v>
      </c>
      <c r="X237" t="n">
        <v>163.8</v>
      </c>
      <c r="Y237" t="n">
        <v>19</v>
      </c>
      <c r="Z237" t="n">
        <v>31.12</v>
      </c>
      <c r="AA237" t="n">
        <v>3.16</v>
      </c>
      <c r="AB237" t="n">
        <v>34.28</v>
      </c>
      <c r="AC237" t="n">
        <v>6.17</v>
      </c>
      <c r="AD237" t="n">
        <v>0</v>
      </c>
      <c r="AE237" t="n">
        <v>163.8</v>
      </c>
      <c r="AF237" t="n">
        <v>0</v>
      </c>
      <c r="AG237" t="n">
        <v>0</v>
      </c>
      <c r="AH237" t="n">
        <v>0.16</v>
      </c>
      <c r="AI237" t="n">
        <v>8.199999999999999</v>
      </c>
      <c r="AJ237" t="n">
        <v>-0.01</v>
      </c>
      <c r="AK237" t="n">
        <v>14.53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48.81</v>
      </c>
      <c r="AV237" t="n">
        <v>0</v>
      </c>
      <c r="AW237" t="n">
        <v>123.18</v>
      </c>
      <c r="AX237" t="inlineStr">
        <is>
          <t>settled</t>
        </is>
      </c>
      <c r="AY237" t="inlineStr">
        <is>
          <t>2026-01-14 05:30:00</t>
        </is>
      </c>
      <c r="AZ237" t="inlineStr">
        <is>
          <t>CITIN26605478364</t>
        </is>
      </c>
      <c r="BA237" t="n">
        <v>0</v>
      </c>
      <c r="BB237" t="inlineStr">
        <is>
          <t>bbae99c069f5a4a75d2a57f7e63747ee4c107267c3a7a0a27a9964f12c47f02f</t>
        </is>
      </c>
    </row>
    <row r="238">
      <c r="A238" t="inlineStr">
        <is>
          <t>233</t>
        </is>
      </c>
      <c r="B238" t="inlineStr">
        <is>
          <t>7673910583</t>
        </is>
      </c>
      <c r="C238" t="inlineStr">
        <is>
          <t>2026-01-09 22:55:17</t>
        </is>
      </c>
      <c r="D238" t="inlineStr">
        <is>
          <t>2</t>
        </is>
      </c>
      <c r="E238" t="inlineStr">
        <is>
          <t>Sha Sha - Shandaar Shawarma</t>
        </is>
      </c>
      <c r="F238" t="inlineStr">
        <is>
          <t>18557902</t>
        </is>
      </c>
      <c r="G238" t="inlineStr">
        <is>
          <t>30% off upto ₹75 (2025-06-25 - 2031-01-01)</t>
        </is>
      </c>
      <c r="H238" t="inlineStr">
        <is>
          <t>ONLINE</t>
        </is>
      </c>
      <c r="I238" t="inlineStr">
        <is>
          <t>DELIVERED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O2</t>
        </is>
      </c>
      <c r="N238" t="inlineStr">
        <is>
          <t>36</t>
        </is>
      </c>
      <c r="O238" t="n">
        <v>229</v>
      </c>
      <c r="P238" t="n">
        <v>3.5</v>
      </c>
      <c r="Q238" t="n">
        <v>0</v>
      </c>
      <c r="R238" t="n">
        <v>68.7</v>
      </c>
      <c r="S238" t="n">
        <v>0</v>
      </c>
      <c r="T238" t="n">
        <v>0</v>
      </c>
      <c r="U238" t="n">
        <v>0</v>
      </c>
      <c r="V238" t="n">
        <v>8.19</v>
      </c>
      <c r="W238" t="n">
        <v>171.99</v>
      </c>
      <c r="X238" t="n">
        <v>163.8</v>
      </c>
      <c r="Y238" t="n">
        <v>19</v>
      </c>
      <c r="Z238" t="n">
        <v>31.12</v>
      </c>
      <c r="AA238" t="n">
        <v>3.16</v>
      </c>
      <c r="AB238" t="n">
        <v>34.28</v>
      </c>
      <c r="AC238" t="n">
        <v>6.17</v>
      </c>
      <c r="AD238" t="n">
        <v>0</v>
      </c>
      <c r="AE238" t="n">
        <v>163.8</v>
      </c>
      <c r="AF238" t="n">
        <v>0</v>
      </c>
      <c r="AG238" t="n">
        <v>0</v>
      </c>
      <c r="AH238" t="n">
        <v>0.16</v>
      </c>
      <c r="AI238" t="n">
        <v>8.199999999999999</v>
      </c>
      <c r="AJ238" t="n">
        <v>-0.01</v>
      </c>
      <c r="AK238" t="n">
        <v>14.53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48.81</v>
      </c>
      <c r="AV238" t="n">
        <v>0</v>
      </c>
      <c r="AW238" t="n">
        <v>123.18</v>
      </c>
      <c r="AX238" t="inlineStr">
        <is>
          <t>settled</t>
        </is>
      </c>
      <c r="AY238" t="inlineStr">
        <is>
          <t>2026-01-14 05:30:00</t>
        </is>
      </c>
      <c r="AZ238" t="inlineStr">
        <is>
          <t>CITIN26605478364</t>
        </is>
      </c>
      <c r="BA238" t="n">
        <v>0</v>
      </c>
      <c r="BB238" t="inlineStr">
        <is>
          <t>21033e2ebedbe304dd2dde434593c8ff738d1318a8968d07635ae94e4c558b76</t>
        </is>
      </c>
    </row>
    <row r="239">
      <c r="A239" t="inlineStr">
        <is>
          <t>234</t>
        </is>
      </c>
      <c r="B239" t="inlineStr">
        <is>
          <t>7672837114</t>
        </is>
      </c>
      <c r="C239" t="inlineStr">
        <is>
          <t>2026-01-09 23:03:20</t>
        </is>
      </c>
      <c r="D239" t="inlineStr">
        <is>
          <t>2</t>
        </is>
      </c>
      <c r="E239" t="inlineStr">
        <is>
          <t>Sha Sha - Shandaar Shawarma</t>
        </is>
      </c>
      <c r="F239" t="inlineStr">
        <is>
          <t>18557902</t>
        </is>
      </c>
      <c r="G239" t="inlineStr">
        <is>
          <t>30% off upto ₹75 (2025-06-25 - 2031-01-01)</t>
        </is>
      </c>
      <c r="H239" t="inlineStr">
        <is>
          <t>ONLINE</t>
        </is>
      </c>
      <c r="I239" t="inlineStr">
        <is>
          <t>DELIVERED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O2</t>
        </is>
      </c>
      <c r="N239" t="inlineStr">
        <is>
          <t>36</t>
        </is>
      </c>
      <c r="O239" t="n">
        <v>368</v>
      </c>
      <c r="P239" t="n">
        <v>3.5</v>
      </c>
      <c r="Q239" t="n">
        <v>0</v>
      </c>
      <c r="R239" t="n">
        <v>75</v>
      </c>
      <c r="S239" t="n">
        <v>0</v>
      </c>
      <c r="T239" t="n">
        <v>0</v>
      </c>
      <c r="U239" t="n">
        <v>0</v>
      </c>
      <c r="V239" t="n">
        <v>14.83</v>
      </c>
      <c r="W239" t="n">
        <v>311.33</v>
      </c>
      <c r="X239" t="n">
        <v>296.5</v>
      </c>
      <c r="Y239" t="n">
        <v>19</v>
      </c>
      <c r="Z239" t="n">
        <v>56.34</v>
      </c>
      <c r="AA239" t="n">
        <v>5.73</v>
      </c>
      <c r="AB239" t="n">
        <v>62.07</v>
      </c>
      <c r="AC239" t="n">
        <v>11.17</v>
      </c>
      <c r="AD239" t="n">
        <v>0</v>
      </c>
      <c r="AE239" t="n">
        <v>296.5</v>
      </c>
      <c r="AF239" t="n">
        <v>0</v>
      </c>
      <c r="AG239" t="n">
        <v>0</v>
      </c>
      <c r="AH239" t="n">
        <v>0.3</v>
      </c>
      <c r="AI239" t="n">
        <v>14.83</v>
      </c>
      <c r="AJ239" t="n">
        <v>0</v>
      </c>
      <c r="AK239" t="n">
        <v>26.3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88.37</v>
      </c>
      <c r="AV239" t="n">
        <v>0</v>
      </c>
      <c r="AW239" t="n">
        <v>222.96</v>
      </c>
      <c r="AX239" t="inlineStr">
        <is>
          <t>settled</t>
        </is>
      </c>
      <c r="AY239" t="inlineStr">
        <is>
          <t>2026-01-14 05:30:00</t>
        </is>
      </c>
      <c r="AZ239" t="inlineStr">
        <is>
          <t>CITIN26605478364</t>
        </is>
      </c>
      <c r="BA239" t="n">
        <v>0</v>
      </c>
      <c r="BB239" t="inlineStr">
        <is>
          <t>3ec256febb8db04f9ba5e90c8314f75ba7fa158d040f03912d8877bf7cf403d4</t>
        </is>
      </c>
    </row>
    <row r="240">
      <c r="A240" t="inlineStr">
        <is>
          <t>235</t>
        </is>
      </c>
      <c r="B240" t="inlineStr">
        <is>
          <t>7671599781</t>
        </is>
      </c>
      <c r="C240" t="inlineStr">
        <is>
          <t>2026-01-09 23:27:21</t>
        </is>
      </c>
      <c r="D240" t="inlineStr">
        <is>
          <t>2</t>
        </is>
      </c>
      <c r="E240" t="inlineStr">
        <is>
          <t>Sha Sha - Shandaar Shawarma</t>
        </is>
      </c>
      <c r="F240" t="inlineStr">
        <is>
          <t>18557902</t>
        </is>
      </c>
      <c r="G240" t="inlineStr">
        <is>
          <t>30% off upto ₹75 (2025-06-25 - 2031-01-01)</t>
        </is>
      </c>
      <c r="H240" t="inlineStr">
        <is>
          <t>ONLINE</t>
        </is>
      </c>
      <c r="I240" t="inlineStr">
        <is>
          <t>DELIVERED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O2</t>
        </is>
      </c>
      <c r="N240" t="inlineStr">
        <is>
          <t>36</t>
        </is>
      </c>
      <c r="O240" t="n">
        <v>268</v>
      </c>
      <c r="P240" t="n">
        <v>3.5</v>
      </c>
      <c r="Q240" t="n">
        <v>0</v>
      </c>
      <c r="R240" t="n">
        <v>75</v>
      </c>
      <c r="S240" t="n">
        <v>0</v>
      </c>
      <c r="T240" t="n">
        <v>0</v>
      </c>
      <c r="U240" t="n">
        <v>0</v>
      </c>
      <c r="V240" t="n">
        <v>9.83</v>
      </c>
      <c r="W240" t="n">
        <v>206.33</v>
      </c>
      <c r="X240" t="n">
        <v>196.5</v>
      </c>
      <c r="Y240" t="n">
        <v>19</v>
      </c>
      <c r="Z240" t="n">
        <v>37.34</v>
      </c>
      <c r="AA240" t="n">
        <v>3.8</v>
      </c>
      <c r="AB240" t="n">
        <v>41.14</v>
      </c>
      <c r="AC240" t="n">
        <v>7.4</v>
      </c>
      <c r="AD240" t="n">
        <v>0</v>
      </c>
      <c r="AE240" t="n">
        <v>196.5</v>
      </c>
      <c r="AF240" t="n">
        <v>0</v>
      </c>
      <c r="AG240" t="n">
        <v>0</v>
      </c>
      <c r="AH240" t="n">
        <v>0.2</v>
      </c>
      <c r="AI240" t="n">
        <v>9.83</v>
      </c>
      <c r="AJ240" t="n">
        <v>0</v>
      </c>
      <c r="AK240" t="n">
        <v>17.43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58.57</v>
      </c>
      <c r="AV240" t="n">
        <v>0</v>
      </c>
      <c r="AW240" t="n">
        <v>147.76</v>
      </c>
      <c r="AX240" t="inlineStr">
        <is>
          <t>settled</t>
        </is>
      </c>
      <c r="AY240" t="inlineStr">
        <is>
          <t>2026-01-14 05:30:00</t>
        </is>
      </c>
      <c r="AZ240" t="inlineStr">
        <is>
          <t>CITIN26605478364</t>
        </is>
      </c>
      <c r="BA240" t="n">
        <v>0</v>
      </c>
      <c r="BB240" t="inlineStr">
        <is>
          <t>53bf10e447baeab79cf79005affd1af588068d2f30f26c23a5d20bea44875f84</t>
        </is>
      </c>
    </row>
    <row r="241">
      <c r="A241" t="inlineStr">
        <is>
          <t>236</t>
        </is>
      </c>
      <c r="B241" t="inlineStr">
        <is>
          <t>7673868800</t>
        </is>
      </c>
      <c r="C241" t="inlineStr">
        <is>
          <t>2026-01-09 23:31:29</t>
        </is>
      </c>
      <c r="D241" t="inlineStr">
        <is>
          <t>2</t>
        </is>
      </c>
      <c r="E241" t="inlineStr">
        <is>
          <t>Sha Sha - Shandaar Shawarma</t>
        </is>
      </c>
      <c r="F241" t="inlineStr">
        <is>
          <t>18557902</t>
        </is>
      </c>
      <c r="G241" t="inlineStr">
        <is>
          <t>30% off upto ₹75 (2025-06-25 - 2031-01-01)</t>
        </is>
      </c>
      <c r="H241" t="inlineStr">
        <is>
          <t>ONLINE</t>
        </is>
      </c>
      <c r="I241" t="inlineStr">
        <is>
          <t>DELIVERED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O2</t>
        </is>
      </c>
      <c r="N241" t="inlineStr">
        <is>
          <t>36</t>
        </is>
      </c>
      <c r="O241" t="n">
        <v>229</v>
      </c>
      <c r="P241" t="n">
        <v>3.5</v>
      </c>
      <c r="Q241" t="n">
        <v>0</v>
      </c>
      <c r="R241" t="n">
        <v>68.7</v>
      </c>
      <c r="S241" t="n">
        <v>0</v>
      </c>
      <c r="T241" t="n">
        <v>0</v>
      </c>
      <c r="U241" t="n">
        <v>0</v>
      </c>
      <c r="V241" t="n">
        <v>8.19</v>
      </c>
      <c r="W241" t="n">
        <v>171.99</v>
      </c>
      <c r="X241" t="n">
        <v>163.8</v>
      </c>
      <c r="Y241" t="n">
        <v>19</v>
      </c>
      <c r="Z241" t="n">
        <v>31.12</v>
      </c>
      <c r="AA241" t="n">
        <v>3.16</v>
      </c>
      <c r="AB241" t="n">
        <v>34.28</v>
      </c>
      <c r="AC241" t="n">
        <v>6.17</v>
      </c>
      <c r="AD241" t="n">
        <v>0</v>
      </c>
      <c r="AE241" t="n">
        <v>163.8</v>
      </c>
      <c r="AF241" t="n">
        <v>0</v>
      </c>
      <c r="AG241" t="n">
        <v>0</v>
      </c>
      <c r="AH241" t="n">
        <v>0.16</v>
      </c>
      <c r="AI241" t="n">
        <v>8.199999999999999</v>
      </c>
      <c r="AJ241" t="n">
        <v>-0.01</v>
      </c>
      <c r="AK241" t="n">
        <v>14.53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48.81</v>
      </c>
      <c r="AV241" t="n">
        <v>0</v>
      </c>
      <c r="AW241" t="n">
        <v>123.18</v>
      </c>
      <c r="AX241" t="inlineStr">
        <is>
          <t>settled</t>
        </is>
      </c>
      <c r="AY241" t="inlineStr">
        <is>
          <t>2026-01-14 05:30:00</t>
        </is>
      </c>
      <c r="AZ241" t="inlineStr">
        <is>
          <t>CITIN26605478364</t>
        </is>
      </c>
      <c r="BA241" t="n">
        <v>0</v>
      </c>
      <c r="BB241" t="inlineStr">
        <is>
          <t>3659413b21d9272e10c3b746f0567b1eb59f7186cb6fab52909ec13f3cac8cef</t>
        </is>
      </c>
    </row>
    <row r="242">
      <c r="A242" t="inlineStr">
        <is>
          <t>237</t>
        </is>
      </c>
      <c r="B242" t="inlineStr">
        <is>
          <t>7660177019</t>
        </is>
      </c>
      <c r="C242" t="inlineStr">
        <is>
          <t>2026-01-09 23:32:33</t>
        </is>
      </c>
      <c r="D242" t="inlineStr">
        <is>
          <t>2</t>
        </is>
      </c>
      <c r="E242" t="inlineStr">
        <is>
          <t>Sha Sha - Shandaar Shawarma</t>
        </is>
      </c>
      <c r="F242" t="inlineStr">
        <is>
          <t>18557902</t>
        </is>
      </c>
      <c r="G242" t="inlineStr">
        <is>
          <t>30% off upto ₹75 (2025-06-25 - 2031-01-01)</t>
        </is>
      </c>
      <c r="H242" t="inlineStr">
        <is>
          <t>ONLINE</t>
        </is>
      </c>
      <c r="I242" t="inlineStr">
        <is>
          <t>DELIVERED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O2</t>
        </is>
      </c>
      <c r="N242" t="inlineStr">
        <is>
          <t>36</t>
        </is>
      </c>
      <c r="O242" t="n">
        <v>345</v>
      </c>
      <c r="P242" t="n">
        <v>3.5</v>
      </c>
      <c r="Q242" t="n">
        <v>0</v>
      </c>
      <c r="R242" t="n">
        <v>75</v>
      </c>
      <c r="S242" t="n">
        <v>0</v>
      </c>
      <c r="T242" t="n">
        <v>0</v>
      </c>
      <c r="U242" t="n">
        <v>0</v>
      </c>
      <c r="V242" t="n">
        <v>13.68</v>
      </c>
      <c r="W242" t="n">
        <v>287.18</v>
      </c>
      <c r="X242" t="n">
        <v>273.5</v>
      </c>
      <c r="Y242" t="n">
        <v>19</v>
      </c>
      <c r="Z242" t="n">
        <v>51.96</v>
      </c>
      <c r="AA242" t="n">
        <v>5.28</v>
      </c>
      <c r="AB242" t="n">
        <v>57.24</v>
      </c>
      <c r="AC242" t="n">
        <v>10.3</v>
      </c>
      <c r="AD242" t="n">
        <v>0</v>
      </c>
      <c r="AE242" t="n">
        <v>273.5</v>
      </c>
      <c r="AF242" t="n">
        <v>0</v>
      </c>
      <c r="AG242" t="n">
        <v>0</v>
      </c>
      <c r="AH242" t="n">
        <v>0.27</v>
      </c>
      <c r="AI242" t="n">
        <v>13.68</v>
      </c>
      <c r="AJ242" t="n">
        <v>0</v>
      </c>
      <c r="AK242" t="n">
        <v>24.25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81.48999999999999</v>
      </c>
      <c r="AV242" t="n">
        <v>0</v>
      </c>
      <c r="AW242" t="n">
        <v>205.69</v>
      </c>
      <c r="AX242" t="inlineStr">
        <is>
          <t>settled</t>
        </is>
      </c>
      <c r="AY242" t="inlineStr">
        <is>
          <t>2026-01-14 05:30:00</t>
        </is>
      </c>
      <c r="AZ242" t="inlineStr">
        <is>
          <t>CITIN26605478364</t>
        </is>
      </c>
      <c r="BA242" t="n">
        <v>0</v>
      </c>
      <c r="BB242" t="inlineStr">
        <is>
          <t>42810a732fe856d8bbf970f1298f3e379ec8477c88383278c20a9e8adb464bca</t>
        </is>
      </c>
    </row>
    <row r="243">
      <c r="A243" t="inlineStr">
        <is>
          <t>238</t>
        </is>
      </c>
      <c r="B243" t="inlineStr">
        <is>
          <t>7671154207</t>
        </is>
      </c>
      <c r="C243" t="inlineStr">
        <is>
          <t>2026-01-09 23:43:21</t>
        </is>
      </c>
      <c r="D243" t="inlineStr">
        <is>
          <t>2</t>
        </is>
      </c>
      <c r="E243" t="inlineStr">
        <is>
          <t>Sha Sha - Shandaar Shawarma</t>
        </is>
      </c>
      <c r="F243" t="inlineStr">
        <is>
          <t>18557902</t>
        </is>
      </c>
      <c r="G243" t="inlineStr">
        <is>
          <t>30% off upto ₹75 (2025-06-25 - 2031-01-01)</t>
        </is>
      </c>
      <c r="H243" t="inlineStr">
        <is>
          <t>ONLINE</t>
        </is>
      </c>
      <c r="I243" t="inlineStr">
        <is>
          <t>DELIVERED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O2</t>
        </is>
      </c>
      <c r="N243" t="inlineStr">
        <is>
          <t>36</t>
        </is>
      </c>
      <c r="O243" t="n">
        <v>458</v>
      </c>
      <c r="P243" t="n">
        <v>3.5</v>
      </c>
      <c r="Q243" t="n">
        <v>0</v>
      </c>
      <c r="R243" t="n">
        <v>75</v>
      </c>
      <c r="S243" t="n">
        <v>0</v>
      </c>
      <c r="T243" t="n">
        <v>0</v>
      </c>
      <c r="U243" t="n">
        <v>0</v>
      </c>
      <c r="V243" t="n">
        <v>19.33</v>
      </c>
      <c r="W243" t="n">
        <v>405.83</v>
      </c>
      <c r="X243" t="n">
        <v>386.5</v>
      </c>
      <c r="Y243" t="n">
        <v>19</v>
      </c>
      <c r="Z243" t="n">
        <v>73.44</v>
      </c>
      <c r="AA243" t="n">
        <v>7.47</v>
      </c>
      <c r="AB243" t="n">
        <v>80.91</v>
      </c>
      <c r="AC243" t="n">
        <v>14.56</v>
      </c>
      <c r="AD243" t="n">
        <v>0</v>
      </c>
      <c r="AE243" t="n">
        <v>386.5</v>
      </c>
      <c r="AF243" t="n">
        <v>0</v>
      </c>
      <c r="AG243" t="n">
        <v>0</v>
      </c>
      <c r="AH243" t="n">
        <v>0.39</v>
      </c>
      <c r="AI243" t="n">
        <v>19.33</v>
      </c>
      <c r="AJ243" t="n">
        <v>0</v>
      </c>
      <c r="AK243" t="n">
        <v>34.28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115.19</v>
      </c>
      <c r="AV243" t="n">
        <v>0</v>
      </c>
      <c r="AW243" t="n">
        <v>290.64</v>
      </c>
      <c r="AX243" t="inlineStr">
        <is>
          <t>settled</t>
        </is>
      </c>
      <c r="AY243" t="inlineStr">
        <is>
          <t>2026-01-14 05:30:00</t>
        </is>
      </c>
      <c r="AZ243" t="inlineStr">
        <is>
          <t>CITIN26605478364</t>
        </is>
      </c>
      <c r="BA243" t="n">
        <v>0</v>
      </c>
      <c r="BB243" t="inlineStr">
        <is>
          <t>30074b8b4aac3ecd6e97c5c0e8912c6896719ca02c32bea3b8fd8aaa8b862f50</t>
        </is>
      </c>
    </row>
    <row r="244">
      <c r="A244" t="inlineStr">
        <is>
          <t>239</t>
        </is>
      </c>
      <c r="B244" t="inlineStr">
        <is>
          <t>7673602979</t>
        </is>
      </c>
      <c r="C244" t="inlineStr">
        <is>
          <t>2026-01-09 23:46:54</t>
        </is>
      </c>
      <c r="D244" t="inlineStr">
        <is>
          <t>2</t>
        </is>
      </c>
      <c r="E244" t="inlineStr">
        <is>
          <t>Sha Sha - Shandaar Shawarma</t>
        </is>
      </c>
      <c r="F244" t="inlineStr">
        <is>
          <t>18557902</t>
        </is>
      </c>
      <c r="G244" t="inlineStr">
        <is>
          <t>30% off upto ₹75 (2025-06-25 - 2031-01-01)</t>
        </is>
      </c>
      <c r="H244" t="inlineStr">
        <is>
          <t>ONLINE</t>
        </is>
      </c>
      <c r="I244" t="inlineStr">
        <is>
          <t>DELIVERED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O2</t>
        </is>
      </c>
      <c r="N244" t="inlineStr">
        <is>
          <t>36</t>
        </is>
      </c>
      <c r="O244" t="n">
        <v>458</v>
      </c>
      <c r="P244" t="n">
        <v>3.5</v>
      </c>
      <c r="Q244" t="n">
        <v>0</v>
      </c>
      <c r="R244" t="n">
        <v>75</v>
      </c>
      <c r="S244" t="n">
        <v>0</v>
      </c>
      <c r="T244" t="n">
        <v>0</v>
      </c>
      <c r="U244" t="n">
        <v>0</v>
      </c>
      <c r="V244" t="n">
        <v>19.33</v>
      </c>
      <c r="W244" t="n">
        <v>405.83</v>
      </c>
      <c r="X244" t="n">
        <v>386.5</v>
      </c>
      <c r="Y244" t="n">
        <v>19</v>
      </c>
      <c r="Z244" t="n">
        <v>73.44</v>
      </c>
      <c r="AA244" t="n">
        <v>7.47</v>
      </c>
      <c r="AB244" t="n">
        <v>80.91</v>
      </c>
      <c r="AC244" t="n">
        <v>14.56</v>
      </c>
      <c r="AD244" t="n">
        <v>0</v>
      </c>
      <c r="AE244" t="n">
        <v>386.5</v>
      </c>
      <c r="AF244" t="n">
        <v>0</v>
      </c>
      <c r="AG244" t="n">
        <v>0</v>
      </c>
      <c r="AH244" t="n">
        <v>0.39</v>
      </c>
      <c r="AI244" t="n">
        <v>19.33</v>
      </c>
      <c r="AJ244" t="n">
        <v>0</v>
      </c>
      <c r="AK244" t="n">
        <v>34.28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115.19</v>
      </c>
      <c r="AV244" t="n">
        <v>0</v>
      </c>
      <c r="AW244" t="n">
        <v>290.64</v>
      </c>
      <c r="AX244" t="inlineStr">
        <is>
          <t>settled</t>
        </is>
      </c>
      <c r="AY244" t="inlineStr">
        <is>
          <t>2026-01-14 05:30:00</t>
        </is>
      </c>
      <c r="AZ244" t="inlineStr">
        <is>
          <t>CITIN26605478364</t>
        </is>
      </c>
      <c r="BA244" t="n">
        <v>0</v>
      </c>
      <c r="BB244" t="inlineStr">
        <is>
          <t>edd92616caf6fe88df0cd3b93dfa3e3bbbcf4143dee919eefc2af62bb58ea377</t>
        </is>
      </c>
    </row>
    <row r="245">
      <c r="A245" t="inlineStr">
        <is>
          <t>240</t>
        </is>
      </c>
      <c r="B245" t="inlineStr">
        <is>
          <t>7671413190</t>
        </is>
      </c>
      <c r="C245" t="inlineStr">
        <is>
          <t>2026-01-10 00:09:17</t>
        </is>
      </c>
      <c r="D245" t="inlineStr">
        <is>
          <t>2</t>
        </is>
      </c>
      <c r="E245" t="inlineStr">
        <is>
          <t>Sha Sha - Shandaar Shawarma</t>
        </is>
      </c>
      <c r="F245" t="inlineStr">
        <is>
          <t>18557902</t>
        </is>
      </c>
      <c r="G245" t="inlineStr">
        <is>
          <t>30% off upto ₹75 (2025-06-25 - 2031-01-01)</t>
        </is>
      </c>
      <c r="H245" t="inlineStr">
        <is>
          <t>ONLINE</t>
        </is>
      </c>
      <c r="I245" t="inlineStr">
        <is>
          <t>DELIVERED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O2</t>
        </is>
      </c>
      <c r="N245" t="inlineStr">
        <is>
          <t>36</t>
        </is>
      </c>
      <c r="O245" t="n">
        <v>687</v>
      </c>
      <c r="P245" t="n">
        <v>3.5</v>
      </c>
      <c r="Q245" t="n">
        <v>0</v>
      </c>
      <c r="R245" t="n">
        <v>75</v>
      </c>
      <c r="S245" t="n">
        <v>0</v>
      </c>
      <c r="T245" t="n">
        <v>0</v>
      </c>
      <c r="U245" t="n">
        <v>0</v>
      </c>
      <c r="V245" t="n">
        <v>30.78</v>
      </c>
      <c r="W245" t="n">
        <v>646.28</v>
      </c>
      <c r="X245" t="n">
        <v>615.5</v>
      </c>
      <c r="Y245" t="n">
        <v>19</v>
      </c>
      <c r="Z245" t="n">
        <v>116.94</v>
      </c>
      <c r="AA245" t="n">
        <v>11.89</v>
      </c>
      <c r="AB245" t="n">
        <v>128.83</v>
      </c>
      <c r="AC245" t="n">
        <v>23.19</v>
      </c>
      <c r="AD245" t="n">
        <v>0</v>
      </c>
      <c r="AE245" t="n">
        <v>615.5</v>
      </c>
      <c r="AF245" t="n">
        <v>0</v>
      </c>
      <c r="AG245" t="n">
        <v>0</v>
      </c>
      <c r="AH245" t="n">
        <v>0.62</v>
      </c>
      <c r="AI245" t="n">
        <v>30.78</v>
      </c>
      <c r="AJ245" t="n">
        <v>0</v>
      </c>
      <c r="AK245" t="n">
        <v>54.59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183.42</v>
      </c>
      <c r="AV245" t="n">
        <v>0</v>
      </c>
      <c r="AW245" t="n">
        <v>462.86</v>
      </c>
      <c r="AX245" t="inlineStr">
        <is>
          <t>settled</t>
        </is>
      </c>
      <c r="AY245" t="inlineStr">
        <is>
          <t>2026-01-14 05:30:00</t>
        </is>
      </c>
      <c r="AZ245" t="inlineStr">
        <is>
          <t>CITIN26605478364</t>
        </is>
      </c>
      <c r="BA245" t="n">
        <v>0</v>
      </c>
      <c r="BB245" t="inlineStr">
        <is>
          <t>f59c63c198538de429e1bf6f6e008093ec7f88ad4a225f2dcf08634e133a26c1</t>
        </is>
      </c>
    </row>
    <row r="246">
      <c r="A246" t="inlineStr">
        <is>
          <t>241</t>
        </is>
      </c>
      <c r="B246" t="inlineStr">
        <is>
          <t>7670567353</t>
        </is>
      </c>
      <c r="C246" t="inlineStr">
        <is>
          <t>2026-01-10 00:21:15</t>
        </is>
      </c>
      <c r="D246" t="inlineStr">
        <is>
          <t>2</t>
        </is>
      </c>
      <c r="E246" t="inlineStr">
        <is>
          <t>Sha Sha - Shandaar Shawarma</t>
        </is>
      </c>
      <c r="F246" t="inlineStr">
        <is>
          <t>18557902</t>
        </is>
      </c>
      <c r="G246" t="inlineStr">
        <is>
          <t>30% off upto ₹75 (2025-06-25 - 2031-01-01)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O2</t>
        </is>
      </c>
      <c r="N246" t="inlineStr">
        <is>
          <t>36</t>
        </is>
      </c>
      <c r="O246" t="n">
        <v>219</v>
      </c>
      <c r="P246" t="n">
        <v>3.5</v>
      </c>
      <c r="Q246" t="n">
        <v>0</v>
      </c>
      <c r="R246" t="n">
        <v>65.7</v>
      </c>
      <c r="S246" t="n">
        <v>0</v>
      </c>
      <c r="T246" t="n">
        <v>0</v>
      </c>
      <c r="U246" t="n">
        <v>0</v>
      </c>
      <c r="V246" t="n">
        <v>7.84</v>
      </c>
      <c r="W246" t="n">
        <v>164.64</v>
      </c>
      <c r="X246" t="n">
        <v>156.8</v>
      </c>
      <c r="Y246" t="n">
        <v>19</v>
      </c>
      <c r="Z246" t="n">
        <v>29.79</v>
      </c>
      <c r="AA246" t="n">
        <v>3.03</v>
      </c>
      <c r="AB246" t="n">
        <v>32.82</v>
      </c>
      <c r="AC246" t="n">
        <v>5.91</v>
      </c>
      <c r="AD246" t="n">
        <v>0</v>
      </c>
      <c r="AE246" t="n">
        <v>156.8</v>
      </c>
      <c r="AF246" t="n">
        <v>0</v>
      </c>
      <c r="AG246" t="n">
        <v>0</v>
      </c>
      <c r="AH246" t="n">
        <v>0.16</v>
      </c>
      <c r="AI246" t="n">
        <v>7.85</v>
      </c>
      <c r="AJ246" t="n">
        <v>-0.01</v>
      </c>
      <c r="AK246" t="n">
        <v>13.92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46.74</v>
      </c>
      <c r="AV246" t="n">
        <v>0</v>
      </c>
      <c r="AW246" t="n">
        <v>117.9</v>
      </c>
      <c r="AX246" t="inlineStr">
        <is>
          <t>settled</t>
        </is>
      </c>
      <c r="AY246" t="inlineStr">
        <is>
          <t>2026-01-14 05:30:00</t>
        </is>
      </c>
      <c r="AZ246" t="inlineStr">
        <is>
          <t>CITIN26605478364</t>
        </is>
      </c>
      <c r="BA246" t="n">
        <v>0</v>
      </c>
      <c r="BB246" t="inlineStr">
        <is>
          <t>d5b26b3b43c5d43e919ceb48a2a3b7e1a6fcb1b537fea390e6fe5779d75d3353</t>
        </is>
      </c>
    </row>
    <row r="247">
      <c r="A247" t="inlineStr">
        <is>
          <t>242</t>
        </is>
      </c>
      <c r="B247" t="inlineStr">
        <is>
          <t>7670994201</t>
        </is>
      </c>
      <c r="C247" t="inlineStr">
        <is>
          <t>2026-01-10 00:48:02</t>
        </is>
      </c>
      <c r="D247" t="inlineStr">
        <is>
          <t>2</t>
        </is>
      </c>
      <c r="E247" t="inlineStr">
        <is>
          <t>Sha Sha - Shandaar Shawarma</t>
        </is>
      </c>
      <c r="F247" t="inlineStr">
        <is>
          <t>18557902</t>
        </is>
      </c>
      <c r="G247" t="inlineStr">
        <is>
          <t>30% off upto ₹75 (2025-06-25 - 2031-01-01)</t>
        </is>
      </c>
      <c r="H247" t="inlineStr">
        <is>
          <t>ONLINE</t>
        </is>
      </c>
      <c r="I247" t="inlineStr">
        <is>
          <t>DELIVERED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O2</t>
        </is>
      </c>
      <c r="N247" t="inlineStr">
        <is>
          <t>36</t>
        </is>
      </c>
      <c r="O247" t="n">
        <v>328</v>
      </c>
      <c r="P247" t="n">
        <v>3.5</v>
      </c>
      <c r="Q247" t="n">
        <v>0</v>
      </c>
      <c r="R247" t="n">
        <v>75</v>
      </c>
      <c r="S247" t="n">
        <v>0</v>
      </c>
      <c r="T247" t="n">
        <v>0</v>
      </c>
      <c r="U247" t="n">
        <v>0</v>
      </c>
      <c r="V247" t="n">
        <v>12.83</v>
      </c>
      <c r="W247" t="n">
        <v>269.33</v>
      </c>
      <c r="X247" t="n">
        <v>256.5</v>
      </c>
      <c r="Y247" t="n">
        <v>19</v>
      </c>
      <c r="Z247" t="n">
        <v>48.74</v>
      </c>
      <c r="AA247" t="n">
        <v>4.96</v>
      </c>
      <c r="AB247" t="n">
        <v>53.7</v>
      </c>
      <c r="AC247" t="n">
        <v>9.66</v>
      </c>
      <c r="AD247" t="n">
        <v>0</v>
      </c>
      <c r="AE247" t="n">
        <v>256.5</v>
      </c>
      <c r="AF247" t="n">
        <v>0</v>
      </c>
      <c r="AG247" t="n">
        <v>0</v>
      </c>
      <c r="AH247" t="n">
        <v>0.26</v>
      </c>
      <c r="AI247" t="n">
        <v>12.83</v>
      </c>
      <c r="AJ247" t="n">
        <v>0</v>
      </c>
      <c r="AK247" t="n">
        <v>22.75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76.45</v>
      </c>
      <c r="AV247" t="n">
        <v>0</v>
      </c>
      <c r="AW247" t="n">
        <v>192.88</v>
      </c>
      <c r="AX247" t="inlineStr">
        <is>
          <t>settled</t>
        </is>
      </c>
      <c r="AY247" t="inlineStr">
        <is>
          <t>2026-01-14 05:30:00</t>
        </is>
      </c>
      <c r="AZ247" t="inlineStr">
        <is>
          <t>CITIN26605478364</t>
        </is>
      </c>
      <c r="BA247" t="n">
        <v>0</v>
      </c>
      <c r="BB247" t="inlineStr">
        <is>
          <t>6940bb9903e3c7d2b7e32b738025aa0fe5decedfc67ccb6ef41da57015d18ee9</t>
        </is>
      </c>
    </row>
    <row r="248">
      <c r="A248" t="inlineStr">
        <is>
          <t>243</t>
        </is>
      </c>
      <c r="B248" t="inlineStr">
        <is>
          <t>7673009823</t>
        </is>
      </c>
      <c r="C248" t="inlineStr">
        <is>
          <t>2026-01-10 01:04:14</t>
        </is>
      </c>
      <c r="D248" t="inlineStr">
        <is>
          <t>2</t>
        </is>
      </c>
      <c r="E248" t="inlineStr">
        <is>
          <t>Sha Sha - Shandaar Shawarma</t>
        </is>
      </c>
      <c r="F248" t="inlineStr">
        <is>
          <t>18557902</t>
        </is>
      </c>
      <c r="G248" t="inlineStr">
        <is>
          <t>30% off upto ₹75 (2025-06-25 - 2031-01-01)</t>
        </is>
      </c>
      <c r="H248" t="inlineStr">
        <is>
          <t>ONLINE</t>
        </is>
      </c>
      <c r="I248" t="inlineStr">
        <is>
          <t>DELIVERED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O2</t>
        </is>
      </c>
      <c r="N248" t="inlineStr">
        <is>
          <t>36</t>
        </is>
      </c>
      <c r="O248" t="n">
        <v>219</v>
      </c>
      <c r="P248" t="n">
        <v>3.5</v>
      </c>
      <c r="Q248" t="n">
        <v>0</v>
      </c>
      <c r="R248" t="n">
        <v>65.7</v>
      </c>
      <c r="S248" t="n">
        <v>0</v>
      </c>
      <c r="T248" t="n">
        <v>0</v>
      </c>
      <c r="U248" t="n">
        <v>0</v>
      </c>
      <c r="V248" t="n">
        <v>7.84</v>
      </c>
      <c r="W248" t="n">
        <v>164.64</v>
      </c>
      <c r="X248" t="n">
        <v>156.8</v>
      </c>
      <c r="Y248" t="n">
        <v>19</v>
      </c>
      <c r="Z248" t="n">
        <v>29.79</v>
      </c>
      <c r="AA248" t="n">
        <v>3.03</v>
      </c>
      <c r="AB248" t="n">
        <v>32.82</v>
      </c>
      <c r="AC248" t="n">
        <v>5.91</v>
      </c>
      <c r="AD248" t="n">
        <v>0</v>
      </c>
      <c r="AE248" t="n">
        <v>156.8</v>
      </c>
      <c r="AF248" t="n">
        <v>0</v>
      </c>
      <c r="AG248" t="n">
        <v>0</v>
      </c>
      <c r="AH248" t="n">
        <v>0.16</v>
      </c>
      <c r="AI248" t="n">
        <v>7.85</v>
      </c>
      <c r="AJ248" t="n">
        <v>-0.01</v>
      </c>
      <c r="AK248" t="n">
        <v>13.92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46.74</v>
      </c>
      <c r="AV248" t="n">
        <v>0</v>
      </c>
      <c r="AW248" t="n">
        <v>117.9</v>
      </c>
      <c r="AX248" t="inlineStr">
        <is>
          <t>settled</t>
        </is>
      </c>
      <c r="AY248" t="inlineStr">
        <is>
          <t>2026-01-14 05:30:00</t>
        </is>
      </c>
      <c r="AZ248" t="inlineStr">
        <is>
          <t>CITIN26605478364</t>
        </is>
      </c>
      <c r="BA248" t="n">
        <v>0</v>
      </c>
      <c r="BB248" t="inlineStr">
        <is>
          <t>29e6bd897611f410c16e7a9bcaf142311f6a09dbb9aed3e6cad774e1bd6b13cb</t>
        </is>
      </c>
    </row>
    <row r="249">
      <c r="A249" t="inlineStr">
        <is>
          <t>244</t>
        </is>
      </c>
      <c r="B249" t="inlineStr">
        <is>
          <t>7663536288</t>
        </is>
      </c>
      <c r="C249" t="inlineStr">
        <is>
          <t>2026-01-10 01:04:52</t>
        </is>
      </c>
      <c r="D249" t="inlineStr">
        <is>
          <t>2</t>
        </is>
      </c>
      <c r="E249" t="inlineStr">
        <is>
          <t>Sha Sha - Shandaar Shawarma</t>
        </is>
      </c>
      <c r="F249" t="inlineStr">
        <is>
          <t>18557902</t>
        </is>
      </c>
      <c r="G249" t="inlineStr">
        <is>
          <t>NA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O2</t>
        </is>
      </c>
      <c r="N249" t="inlineStr">
        <is>
          <t>36</t>
        </is>
      </c>
      <c r="O249" t="n">
        <v>229</v>
      </c>
      <c r="P249" t="n">
        <v>3.5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11.63</v>
      </c>
      <c r="W249" t="n">
        <v>244.13</v>
      </c>
      <c r="X249" t="n">
        <v>232.5</v>
      </c>
      <c r="Y249" t="n">
        <v>19</v>
      </c>
      <c r="Z249" t="n">
        <v>44.18</v>
      </c>
      <c r="AA249" t="n">
        <v>4.49</v>
      </c>
      <c r="AB249" t="n">
        <v>48.67</v>
      </c>
      <c r="AC249" t="n">
        <v>8.76</v>
      </c>
      <c r="AD249" t="n">
        <v>0</v>
      </c>
      <c r="AE249" t="n">
        <v>232.5</v>
      </c>
      <c r="AF249" t="n">
        <v>0</v>
      </c>
      <c r="AG249" t="n">
        <v>0</v>
      </c>
      <c r="AH249" t="n">
        <v>0.23</v>
      </c>
      <c r="AI249" t="n">
        <v>11.63</v>
      </c>
      <c r="AJ249" t="n">
        <v>0</v>
      </c>
      <c r="AK249" t="n">
        <v>20.62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69.29000000000001</v>
      </c>
      <c r="AV249" t="n">
        <v>0</v>
      </c>
      <c r="AW249" t="n">
        <v>174.84</v>
      </c>
      <c r="AX249" t="inlineStr">
        <is>
          <t>settled</t>
        </is>
      </c>
      <c r="AY249" t="inlineStr">
        <is>
          <t>2026-01-14 05:30:00</t>
        </is>
      </c>
      <c r="AZ249" t="inlineStr">
        <is>
          <t>CITIN26605478364</t>
        </is>
      </c>
      <c r="BA249" t="n">
        <v>0</v>
      </c>
      <c r="BB249" t="inlineStr">
        <is>
          <t>794438d00e98fd25e29e27f69e61d9ff34d471648e0766a15e4fbec13b37221e</t>
        </is>
      </c>
    </row>
    <row r="250">
      <c r="A250" t="inlineStr">
        <is>
          <t>245</t>
        </is>
      </c>
      <c r="B250" t="inlineStr">
        <is>
          <t>7664923220</t>
        </is>
      </c>
      <c r="C250" t="inlineStr">
        <is>
          <t>2026-01-10 01:06:08</t>
        </is>
      </c>
      <c r="D250" t="inlineStr">
        <is>
          <t>2</t>
        </is>
      </c>
      <c r="E250" t="inlineStr">
        <is>
          <t>Sha Sha - Shandaar Shawarma</t>
        </is>
      </c>
      <c r="F250" t="inlineStr">
        <is>
          <t>18557902</t>
        </is>
      </c>
      <c r="G250" t="inlineStr">
        <is>
          <t>30% off upto ₹75 (2025-06-25 - 2031-01-01)</t>
        </is>
      </c>
      <c r="H250" t="inlineStr">
        <is>
          <t>ONLINE</t>
        </is>
      </c>
      <c r="I250" t="inlineStr">
        <is>
          <t>DELIVERED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O2</t>
        </is>
      </c>
      <c r="N250" t="inlineStr">
        <is>
          <t>36</t>
        </is>
      </c>
      <c r="O250" t="n">
        <v>229</v>
      </c>
      <c r="P250" t="n">
        <v>3.5</v>
      </c>
      <c r="Q250" t="n">
        <v>0</v>
      </c>
      <c r="R250" t="n">
        <v>68.7</v>
      </c>
      <c r="S250" t="n">
        <v>0</v>
      </c>
      <c r="T250" t="n">
        <v>0</v>
      </c>
      <c r="U250" t="n">
        <v>0</v>
      </c>
      <c r="V250" t="n">
        <v>8.19</v>
      </c>
      <c r="W250" t="n">
        <v>171.99</v>
      </c>
      <c r="X250" t="n">
        <v>163.8</v>
      </c>
      <c r="Y250" t="n">
        <v>19</v>
      </c>
      <c r="Z250" t="n">
        <v>31.12</v>
      </c>
      <c r="AA250" t="n">
        <v>3.16</v>
      </c>
      <c r="AB250" t="n">
        <v>34.28</v>
      </c>
      <c r="AC250" t="n">
        <v>6.17</v>
      </c>
      <c r="AD250" t="n">
        <v>0</v>
      </c>
      <c r="AE250" t="n">
        <v>163.8</v>
      </c>
      <c r="AF250" t="n">
        <v>0</v>
      </c>
      <c r="AG250" t="n">
        <v>0</v>
      </c>
      <c r="AH250" t="n">
        <v>0.16</v>
      </c>
      <c r="AI250" t="n">
        <v>8.199999999999999</v>
      </c>
      <c r="AJ250" t="n">
        <v>-0.01</v>
      </c>
      <c r="AK250" t="n">
        <v>14.53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48.81</v>
      </c>
      <c r="AV250" t="n">
        <v>0</v>
      </c>
      <c r="AW250" t="n">
        <v>123.18</v>
      </c>
      <c r="AX250" t="inlineStr">
        <is>
          <t>settled</t>
        </is>
      </c>
      <c r="AY250" t="inlineStr">
        <is>
          <t>2026-01-14 05:30:00</t>
        </is>
      </c>
      <c r="AZ250" t="inlineStr">
        <is>
          <t>CITIN26605478364</t>
        </is>
      </c>
      <c r="BA250" t="n">
        <v>0</v>
      </c>
      <c r="BB250" t="inlineStr">
        <is>
          <t>ae4ea7d3a40af9abbf2d064b79aca12513bf919e074844ca05debe38fa841775</t>
        </is>
      </c>
    </row>
    <row r="251">
      <c r="A251" t="inlineStr">
        <is>
          <t>246</t>
        </is>
      </c>
      <c r="B251" t="inlineStr">
        <is>
          <t>7674299514</t>
        </is>
      </c>
      <c r="C251" t="inlineStr">
        <is>
          <t>2026-01-10 01:07:02</t>
        </is>
      </c>
      <c r="D251" t="inlineStr">
        <is>
          <t>2</t>
        </is>
      </c>
      <c r="E251" t="inlineStr">
        <is>
          <t>Sha Sha - Shandaar Shawarma</t>
        </is>
      </c>
      <c r="F251" t="inlineStr">
        <is>
          <t>18557902</t>
        </is>
      </c>
      <c r="G251" t="inlineStr">
        <is>
          <t>30% off upto ₹75 (2025-06-25 - 2031-01-01)</t>
        </is>
      </c>
      <c r="H251" t="inlineStr">
        <is>
          <t>ONLINE</t>
        </is>
      </c>
      <c r="I251" t="inlineStr">
        <is>
          <t>DELIVERED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O2</t>
        </is>
      </c>
      <c r="N251" t="inlineStr">
        <is>
          <t>36</t>
        </is>
      </c>
      <c r="O251" t="n">
        <v>368</v>
      </c>
      <c r="P251" t="n">
        <v>3.5</v>
      </c>
      <c r="Q251" t="n">
        <v>0</v>
      </c>
      <c r="R251" t="n">
        <v>75</v>
      </c>
      <c r="S251" t="n">
        <v>0</v>
      </c>
      <c r="T251" t="n">
        <v>0</v>
      </c>
      <c r="U251" t="n">
        <v>0</v>
      </c>
      <c r="V251" t="n">
        <v>14.83</v>
      </c>
      <c r="W251" t="n">
        <v>311.33</v>
      </c>
      <c r="X251" t="n">
        <v>296.5</v>
      </c>
      <c r="Y251" t="n">
        <v>19</v>
      </c>
      <c r="Z251" t="n">
        <v>56.34</v>
      </c>
      <c r="AA251" t="n">
        <v>5.73</v>
      </c>
      <c r="AB251" t="n">
        <v>62.07</v>
      </c>
      <c r="AC251" t="n">
        <v>11.17</v>
      </c>
      <c r="AD251" t="n">
        <v>0</v>
      </c>
      <c r="AE251" t="n">
        <v>296.5</v>
      </c>
      <c r="AF251" t="n">
        <v>0</v>
      </c>
      <c r="AG251" t="n">
        <v>0</v>
      </c>
      <c r="AH251" t="n">
        <v>0.3</v>
      </c>
      <c r="AI251" t="n">
        <v>14.83</v>
      </c>
      <c r="AJ251" t="n">
        <v>0</v>
      </c>
      <c r="AK251" t="n">
        <v>26.3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88.37</v>
      </c>
      <c r="AV251" t="n">
        <v>0</v>
      </c>
      <c r="AW251" t="n">
        <v>222.96</v>
      </c>
      <c r="AX251" t="inlineStr">
        <is>
          <t>settled</t>
        </is>
      </c>
      <c r="AY251" t="inlineStr">
        <is>
          <t>2026-01-14 05:30:00</t>
        </is>
      </c>
      <c r="AZ251" t="inlineStr">
        <is>
          <t>CITIN26605478364</t>
        </is>
      </c>
      <c r="BA251" t="n">
        <v>0</v>
      </c>
      <c r="BB251" t="inlineStr">
        <is>
          <t>35143427691d665f965b1fae676be1b0fa82afa393940f647785f89613f5325f</t>
        </is>
      </c>
    </row>
    <row r="252">
      <c r="A252" t="inlineStr">
        <is>
          <t>247</t>
        </is>
      </c>
      <c r="B252" t="inlineStr">
        <is>
          <t>7674661464</t>
        </is>
      </c>
      <c r="C252" t="inlineStr">
        <is>
          <t>2026-01-10 01:10:24</t>
        </is>
      </c>
      <c r="D252" t="inlineStr">
        <is>
          <t>2</t>
        </is>
      </c>
      <c r="E252" t="inlineStr">
        <is>
          <t>Sha Sha - Shandaar Shawarma</t>
        </is>
      </c>
      <c r="F252" t="inlineStr">
        <is>
          <t>18557902</t>
        </is>
      </c>
      <c r="G252" t="inlineStr">
        <is>
          <t>30% off upto ₹75 (2025-06-25 - 2031-01-01)</t>
        </is>
      </c>
      <c r="H252" t="inlineStr">
        <is>
          <t>ONLINE</t>
        </is>
      </c>
      <c r="I252" t="inlineStr">
        <is>
          <t>DELIVERED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O2</t>
        </is>
      </c>
      <c r="N252" t="inlineStr">
        <is>
          <t>36</t>
        </is>
      </c>
      <c r="O252" t="n">
        <v>229</v>
      </c>
      <c r="P252" t="n">
        <v>3.5</v>
      </c>
      <c r="Q252" t="n">
        <v>0</v>
      </c>
      <c r="R252" t="n">
        <v>68.7</v>
      </c>
      <c r="S252" t="n">
        <v>0</v>
      </c>
      <c r="T252" t="n">
        <v>0</v>
      </c>
      <c r="U252" t="n">
        <v>0</v>
      </c>
      <c r="V252" t="n">
        <v>8.19</v>
      </c>
      <c r="W252" t="n">
        <v>171.99</v>
      </c>
      <c r="X252" t="n">
        <v>163.8</v>
      </c>
      <c r="Y252" t="n">
        <v>19</v>
      </c>
      <c r="Z252" t="n">
        <v>31.12</v>
      </c>
      <c r="AA252" t="n">
        <v>3.16</v>
      </c>
      <c r="AB252" t="n">
        <v>34.28</v>
      </c>
      <c r="AC252" t="n">
        <v>6.17</v>
      </c>
      <c r="AD252" t="n">
        <v>0</v>
      </c>
      <c r="AE252" t="n">
        <v>163.8</v>
      </c>
      <c r="AF252" t="n">
        <v>0</v>
      </c>
      <c r="AG252" t="n">
        <v>0</v>
      </c>
      <c r="AH252" t="n">
        <v>0.16</v>
      </c>
      <c r="AI252" t="n">
        <v>8.199999999999999</v>
      </c>
      <c r="AJ252" t="n">
        <v>-0.01</v>
      </c>
      <c r="AK252" t="n">
        <v>14.53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48.81</v>
      </c>
      <c r="AV252" t="n">
        <v>0</v>
      </c>
      <c r="AW252" t="n">
        <v>123.18</v>
      </c>
      <c r="AX252" t="inlineStr">
        <is>
          <t>settled</t>
        </is>
      </c>
      <c r="AY252" t="inlineStr">
        <is>
          <t>2026-01-14 05:30:00</t>
        </is>
      </c>
      <c r="AZ252" t="inlineStr">
        <is>
          <t>CITIN26605478364</t>
        </is>
      </c>
      <c r="BA252" t="n">
        <v>0</v>
      </c>
      <c r="BB252" t="inlineStr">
        <is>
          <t>5eca1526f5429ef277beb9d45c40d0523a957783c02c98ca7f76c47b7cbaa27f</t>
        </is>
      </c>
    </row>
    <row r="253">
      <c r="A253" t="inlineStr">
        <is>
          <t>248</t>
        </is>
      </c>
      <c r="B253" t="inlineStr">
        <is>
          <t>7668610919</t>
        </is>
      </c>
      <c r="C253" t="inlineStr">
        <is>
          <t>2026-01-10 01:20:46</t>
        </is>
      </c>
      <c r="D253" t="inlineStr">
        <is>
          <t>2</t>
        </is>
      </c>
      <c r="E253" t="inlineStr">
        <is>
          <t>Sha Sha - Shandaar Shawarma</t>
        </is>
      </c>
      <c r="F253" t="inlineStr">
        <is>
          <t>18557902</t>
        </is>
      </c>
      <c r="G253" t="inlineStr">
        <is>
          <t>30% off upto ₹75 (2025-06-25 - 2031-01-01)</t>
        </is>
      </c>
      <c r="H253" t="inlineStr">
        <is>
          <t>ONLINE</t>
        </is>
      </c>
      <c r="I253" t="inlineStr">
        <is>
          <t>DELIVERED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O2</t>
        </is>
      </c>
      <c r="N253" t="inlineStr">
        <is>
          <t>36</t>
        </is>
      </c>
      <c r="O253" t="n">
        <v>229</v>
      </c>
      <c r="P253" t="n">
        <v>3.5</v>
      </c>
      <c r="Q253" t="n">
        <v>0</v>
      </c>
      <c r="R253" t="n">
        <v>68.7</v>
      </c>
      <c r="S253" t="n">
        <v>0</v>
      </c>
      <c r="T253" t="n">
        <v>0</v>
      </c>
      <c r="U253" t="n">
        <v>0</v>
      </c>
      <c r="V253" t="n">
        <v>8.19</v>
      </c>
      <c r="W253" t="n">
        <v>171.99</v>
      </c>
      <c r="X253" t="n">
        <v>163.8</v>
      </c>
      <c r="Y253" t="n">
        <v>19</v>
      </c>
      <c r="Z253" t="n">
        <v>31.12</v>
      </c>
      <c r="AA253" t="n">
        <v>3.16</v>
      </c>
      <c r="AB253" t="n">
        <v>34.28</v>
      </c>
      <c r="AC253" t="n">
        <v>6.17</v>
      </c>
      <c r="AD253" t="n">
        <v>0</v>
      </c>
      <c r="AE253" t="n">
        <v>163.8</v>
      </c>
      <c r="AF253" t="n">
        <v>0</v>
      </c>
      <c r="AG253" t="n">
        <v>0</v>
      </c>
      <c r="AH253" t="n">
        <v>0.16</v>
      </c>
      <c r="AI253" t="n">
        <v>8.199999999999999</v>
      </c>
      <c r="AJ253" t="n">
        <v>-0.01</v>
      </c>
      <c r="AK253" t="n">
        <v>14.53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48.81</v>
      </c>
      <c r="AV253" t="n">
        <v>0</v>
      </c>
      <c r="AW253" t="n">
        <v>123.18</v>
      </c>
      <c r="AX253" t="inlineStr">
        <is>
          <t>settled</t>
        </is>
      </c>
      <c r="AY253" t="inlineStr">
        <is>
          <t>2026-01-14 05:30:00</t>
        </is>
      </c>
      <c r="AZ253" t="inlineStr">
        <is>
          <t>CITIN26605478364</t>
        </is>
      </c>
      <c r="BA253" t="n">
        <v>0</v>
      </c>
      <c r="BB253" t="inlineStr">
        <is>
          <t>3c515e96660c7ab49e89507033d14fe6c9b6bd7cfabffe9ca71bf9fcc48ce398</t>
        </is>
      </c>
    </row>
    <row r="254">
      <c r="A254" t="inlineStr">
        <is>
          <t>249</t>
        </is>
      </c>
      <c r="B254" t="inlineStr">
        <is>
          <t>7670194647</t>
        </is>
      </c>
      <c r="C254" t="inlineStr">
        <is>
          <t>2026-01-10 01:30:02</t>
        </is>
      </c>
      <c r="D254" t="inlineStr">
        <is>
          <t>2</t>
        </is>
      </c>
      <c r="E254" t="inlineStr">
        <is>
          <t>Sha Sha - Shandaar Shawarma</t>
        </is>
      </c>
      <c r="F254" t="inlineStr">
        <is>
          <t>18557902</t>
        </is>
      </c>
      <c r="G254" t="inlineStr">
        <is>
          <t>30% off upto ₹75 (2025-06-25 - 2031-01-01)</t>
        </is>
      </c>
      <c r="H254" t="inlineStr">
        <is>
          <t>ONLINE</t>
        </is>
      </c>
      <c r="I254" t="inlineStr">
        <is>
          <t>DELIVERED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O2</t>
        </is>
      </c>
      <c r="N254" t="inlineStr">
        <is>
          <t>36</t>
        </is>
      </c>
      <c r="O254" t="n">
        <v>916</v>
      </c>
      <c r="P254" t="n">
        <v>3.5</v>
      </c>
      <c r="Q254" t="n">
        <v>0</v>
      </c>
      <c r="R254" t="n">
        <v>75</v>
      </c>
      <c r="S254" t="n">
        <v>0</v>
      </c>
      <c r="T254" t="n">
        <v>0</v>
      </c>
      <c r="U254" t="n">
        <v>0</v>
      </c>
      <c r="V254" t="n">
        <v>42.23</v>
      </c>
      <c r="W254" t="n">
        <v>886.73</v>
      </c>
      <c r="X254" t="n">
        <v>844.5</v>
      </c>
      <c r="Y254" t="n">
        <v>19</v>
      </c>
      <c r="Z254" t="n">
        <v>160.46</v>
      </c>
      <c r="AA254" t="n">
        <v>16.32</v>
      </c>
      <c r="AB254" t="n">
        <v>176.78</v>
      </c>
      <c r="AC254" t="n">
        <v>31.82</v>
      </c>
      <c r="AD254" t="n">
        <v>0</v>
      </c>
      <c r="AE254" t="n">
        <v>844.5</v>
      </c>
      <c r="AF254" t="n">
        <v>0</v>
      </c>
      <c r="AG254" t="n">
        <v>0</v>
      </c>
      <c r="AH254" t="n">
        <v>0.84</v>
      </c>
      <c r="AI254" t="n">
        <v>42.23</v>
      </c>
      <c r="AJ254" t="n">
        <v>0</v>
      </c>
      <c r="AK254" t="n">
        <v>74.89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251.67</v>
      </c>
      <c r="AV254" t="n">
        <v>0</v>
      </c>
      <c r="AW254" t="n">
        <v>635.0599999999999</v>
      </c>
      <c r="AX254" t="inlineStr">
        <is>
          <t>settled</t>
        </is>
      </c>
      <c r="AY254" t="inlineStr">
        <is>
          <t>2026-01-14 05:30:00</t>
        </is>
      </c>
      <c r="AZ254" t="inlineStr">
        <is>
          <t>CITIN26605478364</t>
        </is>
      </c>
      <c r="BA254" t="n">
        <v>0</v>
      </c>
      <c r="BB254" t="inlineStr">
        <is>
          <t>d36f691e6d5c19c61acd6a743985ad50e0e8ddfdf0fc2fdef39019ce12401520</t>
        </is>
      </c>
    </row>
    <row r="255">
      <c r="A255" t="inlineStr">
        <is>
          <t>250</t>
        </is>
      </c>
      <c r="B255" t="inlineStr">
        <is>
          <t>7671215109</t>
        </is>
      </c>
      <c r="C255" t="inlineStr">
        <is>
          <t>2026-01-10 01:35:09</t>
        </is>
      </c>
      <c r="D255" t="inlineStr">
        <is>
          <t>2</t>
        </is>
      </c>
      <c r="E255" t="inlineStr">
        <is>
          <t>Sha Sha - Shandaar Shawarma</t>
        </is>
      </c>
      <c r="F255" t="inlineStr">
        <is>
          <t>18557902</t>
        </is>
      </c>
      <c r="G255" t="inlineStr">
        <is>
          <t>30% off upto ₹75 (2025-06-25 - 2031-01-01)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O2</t>
        </is>
      </c>
      <c r="N255" t="inlineStr">
        <is>
          <t>36</t>
        </is>
      </c>
      <c r="O255" t="n">
        <v>219</v>
      </c>
      <c r="P255" t="n">
        <v>3.5</v>
      </c>
      <c r="Q255" t="n">
        <v>0</v>
      </c>
      <c r="R255" t="n">
        <v>65.7</v>
      </c>
      <c r="S255" t="n">
        <v>0</v>
      </c>
      <c r="T255" t="n">
        <v>0</v>
      </c>
      <c r="U255" t="n">
        <v>0</v>
      </c>
      <c r="V255" t="n">
        <v>7.84</v>
      </c>
      <c r="W255" t="n">
        <v>164.64</v>
      </c>
      <c r="X255" t="n">
        <v>156.8</v>
      </c>
      <c r="Y255" t="n">
        <v>19</v>
      </c>
      <c r="Z255" t="n">
        <v>29.79</v>
      </c>
      <c r="AA255" t="n">
        <v>3.03</v>
      </c>
      <c r="AB255" t="n">
        <v>32.82</v>
      </c>
      <c r="AC255" t="n">
        <v>5.91</v>
      </c>
      <c r="AD255" t="n">
        <v>0</v>
      </c>
      <c r="AE255" t="n">
        <v>156.8</v>
      </c>
      <c r="AF255" t="n">
        <v>0</v>
      </c>
      <c r="AG255" t="n">
        <v>0</v>
      </c>
      <c r="AH255" t="n">
        <v>0.16</v>
      </c>
      <c r="AI255" t="n">
        <v>7.85</v>
      </c>
      <c r="AJ255" t="n">
        <v>-0.01</v>
      </c>
      <c r="AK255" t="n">
        <v>13.92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46.74</v>
      </c>
      <c r="AV255" t="n">
        <v>0</v>
      </c>
      <c r="AW255" t="n">
        <v>117.9</v>
      </c>
      <c r="AX255" t="inlineStr">
        <is>
          <t>settled</t>
        </is>
      </c>
      <c r="AY255" t="inlineStr">
        <is>
          <t>2026-01-14 05:30:00</t>
        </is>
      </c>
      <c r="AZ255" t="inlineStr">
        <is>
          <t>CITIN26605478364</t>
        </is>
      </c>
      <c r="BA255" t="n">
        <v>0</v>
      </c>
      <c r="BB255" t="inlineStr">
        <is>
          <t>0524ed78c59e8e395a74c3ad8d19e605d3bc31b30196f1ccfb68526861a6b8d0</t>
        </is>
      </c>
    </row>
    <row r="256">
      <c r="A256" t="inlineStr">
        <is>
          <t>251</t>
        </is>
      </c>
      <c r="B256" t="inlineStr">
        <is>
          <t>7664783143</t>
        </is>
      </c>
      <c r="C256" t="inlineStr">
        <is>
          <t>2026-01-10 01:39:36</t>
        </is>
      </c>
      <c r="D256" t="inlineStr">
        <is>
          <t>2</t>
        </is>
      </c>
      <c r="E256" t="inlineStr">
        <is>
          <t>Sha Sha - Shandaar Shawarma</t>
        </is>
      </c>
      <c r="F256" t="inlineStr">
        <is>
          <t>18557902</t>
        </is>
      </c>
      <c r="G256" t="inlineStr">
        <is>
          <t>30% off upto ₹75 (2025-06-25 - 2031-01-01)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O2</t>
        </is>
      </c>
      <c r="N256" t="inlineStr">
        <is>
          <t>36</t>
        </is>
      </c>
      <c r="O256" t="n">
        <v>229</v>
      </c>
      <c r="P256" t="n">
        <v>3.5</v>
      </c>
      <c r="Q256" t="n">
        <v>0</v>
      </c>
      <c r="R256" t="n">
        <v>68.7</v>
      </c>
      <c r="S256" t="n">
        <v>0</v>
      </c>
      <c r="T256" t="n">
        <v>0</v>
      </c>
      <c r="U256" t="n">
        <v>0</v>
      </c>
      <c r="V256" t="n">
        <v>8.19</v>
      </c>
      <c r="W256" t="n">
        <v>171.99</v>
      </c>
      <c r="X256" t="n">
        <v>163.8</v>
      </c>
      <c r="Y256" t="n">
        <v>19</v>
      </c>
      <c r="Z256" t="n">
        <v>31.12</v>
      </c>
      <c r="AA256" t="n">
        <v>3.16</v>
      </c>
      <c r="AB256" t="n">
        <v>34.28</v>
      </c>
      <c r="AC256" t="n">
        <v>6.17</v>
      </c>
      <c r="AD256" t="n">
        <v>0</v>
      </c>
      <c r="AE256" t="n">
        <v>163.8</v>
      </c>
      <c r="AF256" t="n">
        <v>0</v>
      </c>
      <c r="AG256" t="n">
        <v>0</v>
      </c>
      <c r="AH256" t="n">
        <v>0.16</v>
      </c>
      <c r="AI256" t="n">
        <v>8.199999999999999</v>
      </c>
      <c r="AJ256" t="n">
        <v>-0.01</v>
      </c>
      <c r="AK256" t="n">
        <v>14.53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48.81</v>
      </c>
      <c r="AV256" t="n">
        <v>0</v>
      </c>
      <c r="AW256" t="n">
        <v>123.18</v>
      </c>
      <c r="AX256" t="inlineStr">
        <is>
          <t>settled</t>
        </is>
      </c>
      <c r="AY256" t="inlineStr">
        <is>
          <t>2026-01-14 05:30:00</t>
        </is>
      </c>
      <c r="AZ256" t="inlineStr">
        <is>
          <t>CITIN26605478364</t>
        </is>
      </c>
      <c r="BA256" t="n">
        <v>0</v>
      </c>
      <c r="BB256" t="inlineStr">
        <is>
          <t>a497b9644257793619c42d8e5550ced54a955adb894a76ea72e04117ca2d2406</t>
        </is>
      </c>
    </row>
    <row r="257">
      <c r="A257" t="inlineStr">
        <is>
          <t>252</t>
        </is>
      </c>
      <c r="B257" t="inlineStr">
        <is>
          <t>7666197429</t>
        </is>
      </c>
      <c r="C257" t="inlineStr">
        <is>
          <t>2026-01-10 01:40:40</t>
        </is>
      </c>
      <c r="D257" t="inlineStr">
        <is>
          <t>2</t>
        </is>
      </c>
      <c r="E257" t="inlineStr">
        <is>
          <t>Sha Sha - Shandaar Shawarma</t>
        </is>
      </c>
      <c r="F257" t="inlineStr">
        <is>
          <t>18557902</t>
        </is>
      </c>
      <c r="G257" t="inlineStr">
        <is>
          <t>30% off upto ₹75 (2025-06-25 - 2031-01-01)</t>
        </is>
      </c>
      <c r="H257" t="inlineStr">
        <is>
          <t>ONLINE</t>
        </is>
      </c>
      <c r="I257" t="inlineStr">
        <is>
          <t>DELIVERED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O2</t>
        </is>
      </c>
      <c r="N257" t="inlineStr">
        <is>
          <t>36</t>
        </is>
      </c>
      <c r="O257" t="n">
        <v>687</v>
      </c>
      <c r="P257" t="n">
        <v>3.5</v>
      </c>
      <c r="Q257" t="n">
        <v>0</v>
      </c>
      <c r="R257" t="n">
        <v>75</v>
      </c>
      <c r="S257" t="n">
        <v>0</v>
      </c>
      <c r="T257" t="n">
        <v>0</v>
      </c>
      <c r="U257" t="n">
        <v>0</v>
      </c>
      <c r="V257" t="n">
        <v>30.78</v>
      </c>
      <c r="W257" t="n">
        <v>646.28</v>
      </c>
      <c r="X257" t="n">
        <v>615.5</v>
      </c>
      <c r="Y257" t="n">
        <v>19</v>
      </c>
      <c r="Z257" t="n">
        <v>116.94</v>
      </c>
      <c r="AA257" t="n">
        <v>11.89</v>
      </c>
      <c r="AB257" t="n">
        <v>128.83</v>
      </c>
      <c r="AC257" t="n">
        <v>23.19</v>
      </c>
      <c r="AD257" t="n">
        <v>0</v>
      </c>
      <c r="AE257" t="n">
        <v>615.5</v>
      </c>
      <c r="AF257" t="n">
        <v>0</v>
      </c>
      <c r="AG257" t="n">
        <v>0</v>
      </c>
      <c r="AH257" t="n">
        <v>0.62</v>
      </c>
      <c r="AI257" t="n">
        <v>30.78</v>
      </c>
      <c r="AJ257" t="n">
        <v>0</v>
      </c>
      <c r="AK257" t="n">
        <v>54.59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183.42</v>
      </c>
      <c r="AV257" t="n">
        <v>0</v>
      </c>
      <c r="AW257" t="n">
        <v>462.86</v>
      </c>
      <c r="AX257" t="inlineStr">
        <is>
          <t>settled</t>
        </is>
      </c>
      <c r="AY257" t="inlineStr">
        <is>
          <t>2026-01-14 05:30:00</t>
        </is>
      </c>
      <c r="AZ257" t="inlineStr">
        <is>
          <t>CITIN26605478364</t>
        </is>
      </c>
      <c r="BA257" t="n">
        <v>0</v>
      </c>
      <c r="BB257" t="inlineStr">
        <is>
          <t>12f00e278bdf01f14e718914b43a9cdeeb3460bfa0e73cb2fd7a9de145ddd413</t>
        </is>
      </c>
    </row>
    <row r="258">
      <c r="A258" t="inlineStr">
        <is>
          <t>253</t>
        </is>
      </c>
      <c r="B258" t="inlineStr">
        <is>
          <t>7673367206</t>
        </is>
      </c>
      <c r="C258" t="inlineStr">
        <is>
          <t>2026-01-10 01:56:22</t>
        </is>
      </c>
      <c r="D258" t="inlineStr">
        <is>
          <t>2</t>
        </is>
      </c>
      <c r="E258" t="inlineStr">
        <is>
          <t>Sha Sha - Shandaar Shawarma</t>
        </is>
      </c>
      <c r="F258" t="inlineStr">
        <is>
          <t>18557902</t>
        </is>
      </c>
      <c r="G258" t="inlineStr">
        <is>
          <t>30% off upto ₹75 (2025-06-25 - 2031-01-01)</t>
        </is>
      </c>
      <c r="H258" t="inlineStr">
        <is>
          <t>ONLINE</t>
        </is>
      </c>
      <c r="I258" t="inlineStr">
        <is>
          <t>DELIVERED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O2</t>
        </is>
      </c>
      <c r="N258" t="inlineStr">
        <is>
          <t>36</t>
        </is>
      </c>
      <c r="O258" t="n">
        <v>219</v>
      </c>
      <c r="P258" t="n">
        <v>3.5</v>
      </c>
      <c r="Q258" t="n">
        <v>0</v>
      </c>
      <c r="R258" t="n">
        <v>65.7</v>
      </c>
      <c r="S258" t="n">
        <v>0</v>
      </c>
      <c r="T258" t="n">
        <v>0</v>
      </c>
      <c r="U258" t="n">
        <v>0</v>
      </c>
      <c r="V258" t="n">
        <v>7.84</v>
      </c>
      <c r="W258" t="n">
        <v>164.64</v>
      </c>
      <c r="X258" t="n">
        <v>156.8</v>
      </c>
      <c r="Y258" t="n">
        <v>19</v>
      </c>
      <c r="Z258" t="n">
        <v>29.79</v>
      </c>
      <c r="AA258" t="n">
        <v>3.03</v>
      </c>
      <c r="AB258" t="n">
        <v>32.82</v>
      </c>
      <c r="AC258" t="n">
        <v>5.91</v>
      </c>
      <c r="AD258" t="n">
        <v>0</v>
      </c>
      <c r="AE258" t="n">
        <v>156.8</v>
      </c>
      <c r="AF258" t="n">
        <v>0</v>
      </c>
      <c r="AG258" t="n">
        <v>0</v>
      </c>
      <c r="AH258" t="n">
        <v>0.16</v>
      </c>
      <c r="AI258" t="n">
        <v>7.85</v>
      </c>
      <c r="AJ258" t="n">
        <v>-0.01</v>
      </c>
      <c r="AK258" t="n">
        <v>13.92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46.74</v>
      </c>
      <c r="AV258" t="n">
        <v>0</v>
      </c>
      <c r="AW258" t="n">
        <v>117.9</v>
      </c>
      <c r="AX258" t="inlineStr">
        <is>
          <t>settled</t>
        </is>
      </c>
      <c r="AY258" t="inlineStr">
        <is>
          <t>2026-01-14 05:30:00</t>
        </is>
      </c>
      <c r="AZ258" t="inlineStr">
        <is>
          <t>CITIN26605478364</t>
        </is>
      </c>
      <c r="BA258" t="n">
        <v>0</v>
      </c>
      <c r="BB258" t="inlineStr">
        <is>
          <t>778614ee058e837c4e5a1a09688be5aa51d9ccc93c1185aadbc02a9d0b7c0aef</t>
        </is>
      </c>
    </row>
    <row r="259">
      <c r="A259" t="inlineStr">
        <is>
          <t>254</t>
        </is>
      </c>
      <c r="B259" t="inlineStr">
        <is>
          <t>7673725941</t>
        </is>
      </c>
      <c r="C259" t="inlineStr">
        <is>
          <t>2026-01-10 02:09:28</t>
        </is>
      </c>
      <c r="D259" t="inlineStr">
        <is>
          <t>2</t>
        </is>
      </c>
      <c r="E259" t="inlineStr">
        <is>
          <t>Sha Sha - Shandaar Shawarma</t>
        </is>
      </c>
      <c r="F259" t="inlineStr">
        <is>
          <t>18557902</t>
        </is>
      </c>
      <c r="G259" t="inlineStr">
        <is>
          <t>30% off upto ₹75 (2025-06-25 - 2031-01-01)</t>
        </is>
      </c>
      <c r="H259" t="inlineStr">
        <is>
          <t>ONLINE</t>
        </is>
      </c>
      <c r="I259" t="inlineStr">
        <is>
          <t>DELIVERED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O2</t>
        </is>
      </c>
      <c r="N259" t="inlineStr">
        <is>
          <t>36</t>
        </is>
      </c>
      <c r="O259" t="n">
        <v>229</v>
      </c>
      <c r="P259" t="n">
        <v>3.5</v>
      </c>
      <c r="Q259" t="n">
        <v>0</v>
      </c>
      <c r="R259" t="n">
        <v>68.7</v>
      </c>
      <c r="S259" t="n">
        <v>0</v>
      </c>
      <c r="T259" t="n">
        <v>0</v>
      </c>
      <c r="U259" t="n">
        <v>0</v>
      </c>
      <c r="V259" t="n">
        <v>8.19</v>
      </c>
      <c r="W259" t="n">
        <v>171.99</v>
      </c>
      <c r="X259" t="n">
        <v>163.8</v>
      </c>
      <c r="Y259" t="n">
        <v>19</v>
      </c>
      <c r="Z259" t="n">
        <v>31.12</v>
      </c>
      <c r="AA259" t="n">
        <v>3.16</v>
      </c>
      <c r="AB259" t="n">
        <v>34.28</v>
      </c>
      <c r="AC259" t="n">
        <v>6.17</v>
      </c>
      <c r="AD259" t="n">
        <v>0</v>
      </c>
      <c r="AE259" t="n">
        <v>163.8</v>
      </c>
      <c r="AF259" t="n">
        <v>0</v>
      </c>
      <c r="AG259" t="n">
        <v>0</v>
      </c>
      <c r="AH259" t="n">
        <v>0.16</v>
      </c>
      <c r="AI259" t="n">
        <v>8.199999999999999</v>
      </c>
      <c r="AJ259" t="n">
        <v>-0.01</v>
      </c>
      <c r="AK259" t="n">
        <v>14.53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48.81</v>
      </c>
      <c r="AV259" t="n">
        <v>0</v>
      </c>
      <c r="AW259" t="n">
        <v>123.18</v>
      </c>
      <c r="AX259" t="inlineStr">
        <is>
          <t>settled</t>
        </is>
      </c>
      <c r="AY259" t="inlineStr">
        <is>
          <t>2026-01-14 05:30:00</t>
        </is>
      </c>
      <c r="AZ259" t="inlineStr">
        <is>
          <t>CITIN26605478364</t>
        </is>
      </c>
      <c r="BA259" t="n">
        <v>0</v>
      </c>
      <c r="BB259" t="inlineStr">
        <is>
          <t>218632630ad9fc43ae206c2932d5bf7ccd42ed4de1d3e430540e219cc9b72fc3</t>
        </is>
      </c>
    </row>
    <row r="260">
      <c r="A260" t="inlineStr">
        <is>
          <t>255</t>
        </is>
      </c>
      <c r="B260" t="inlineStr">
        <is>
          <t>7666378607</t>
        </is>
      </c>
      <c r="C260" t="inlineStr">
        <is>
          <t>2026-01-10 02:18:25</t>
        </is>
      </c>
      <c r="D260" t="inlineStr">
        <is>
          <t>2</t>
        </is>
      </c>
      <c r="E260" t="inlineStr">
        <is>
          <t>Sha Sha - Shandaar Shawarma</t>
        </is>
      </c>
      <c r="F260" t="inlineStr">
        <is>
          <t>18557902</t>
        </is>
      </c>
      <c r="G260" t="inlineStr">
        <is>
          <t>NA</t>
        </is>
      </c>
      <c r="H260" t="inlineStr">
        <is>
          <t>ONLINE</t>
        </is>
      </c>
      <c r="I260" t="inlineStr">
        <is>
          <t>DELIVERED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O2</t>
        </is>
      </c>
      <c r="N260" t="inlineStr">
        <is>
          <t>36</t>
        </is>
      </c>
      <c r="O260" t="n">
        <v>219</v>
      </c>
      <c r="P260" t="n">
        <v>3.5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11.13</v>
      </c>
      <c r="W260" t="n">
        <v>233.63</v>
      </c>
      <c r="X260" t="n">
        <v>222.5</v>
      </c>
      <c r="Y260" t="n">
        <v>19</v>
      </c>
      <c r="Z260" t="n">
        <v>42.28</v>
      </c>
      <c r="AA260" t="n">
        <v>4.3</v>
      </c>
      <c r="AB260" t="n">
        <v>46.58</v>
      </c>
      <c r="AC260" t="n">
        <v>8.380000000000001</v>
      </c>
      <c r="AD260" t="n">
        <v>0</v>
      </c>
      <c r="AE260" t="n">
        <v>222.5</v>
      </c>
      <c r="AF260" t="n">
        <v>0</v>
      </c>
      <c r="AG260" t="n">
        <v>0</v>
      </c>
      <c r="AH260" t="n">
        <v>0.22</v>
      </c>
      <c r="AI260" t="n">
        <v>11.13</v>
      </c>
      <c r="AJ260" t="n">
        <v>0</v>
      </c>
      <c r="AK260" t="n">
        <v>19.73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66.31</v>
      </c>
      <c r="AV260" t="n">
        <v>0</v>
      </c>
      <c r="AW260" t="n">
        <v>167.32</v>
      </c>
      <c r="AX260" t="inlineStr">
        <is>
          <t>settled</t>
        </is>
      </c>
      <c r="AY260" t="inlineStr">
        <is>
          <t>2026-01-14 05:30:00</t>
        </is>
      </c>
      <c r="AZ260" t="inlineStr">
        <is>
          <t>CITIN26605478364</t>
        </is>
      </c>
      <c r="BA260" t="n">
        <v>0</v>
      </c>
      <c r="BB260" t="inlineStr">
        <is>
          <t>3b556232761a49f376311d25a6b2fad3bcb3d1cc1c49247ea4dc2b2b06f9d363</t>
        </is>
      </c>
    </row>
    <row r="261">
      <c r="A261" t="inlineStr">
        <is>
          <t>256</t>
        </is>
      </c>
      <c r="B261" t="inlineStr">
        <is>
          <t>7673285646</t>
        </is>
      </c>
      <c r="C261" t="inlineStr">
        <is>
          <t>2026-01-10 02:55:55</t>
        </is>
      </c>
      <c r="D261" t="inlineStr">
        <is>
          <t>2</t>
        </is>
      </c>
      <c r="E261" t="inlineStr">
        <is>
          <t>Sha Sha - Shandaar Shawarma</t>
        </is>
      </c>
      <c r="F261" t="inlineStr">
        <is>
          <t>18557902</t>
        </is>
      </c>
      <c r="G261" t="inlineStr">
        <is>
          <t>30% off upto ₹75 (2025-06-25 - 2031-01-01)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O2</t>
        </is>
      </c>
      <c r="N261" t="inlineStr">
        <is>
          <t>36</t>
        </is>
      </c>
      <c r="O261" t="n">
        <v>456</v>
      </c>
      <c r="P261" t="n">
        <v>3.5</v>
      </c>
      <c r="Q261" t="n">
        <v>0</v>
      </c>
      <c r="R261" t="n">
        <v>75</v>
      </c>
      <c r="S261" t="n">
        <v>0</v>
      </c>
      <c r="T261" t="n">
        <v>0</v>
      </c>
      <c r="U261" t="n">
        <v>0</v>
      </c>
      <c r="V261" t="n">
        <v>19.23</v>
      </c>
      <c r="W261" t="n">
        <v>403.73</v>
      </c>
      <c r="X261" t="n">
        <v>384.5</v>
      </c>
      <c r="Y261" t="n">
        <v>19</v>
      </c>
      <c r="Z261" t="n">
        <v>73.06</v>
      </c>
      <c r="AA261" t="n">
        <v>7.43</v>
      </c>
      <c r="AB261" t="n">
        <v>80.48999999999999</v>
      </c>
      <c r="AC261" t="n">
        <v>14.49</v>
      </c>
      <c r="AD261" t="n">
        <v>0</v>
      </c>
      <c r="AE261" t="n">
        <v>384.5</v>
      </c>
      <c r="AF261" t="n">
        <v>0</v>
      </c>
      <c r="AG261" t="n">
        <v>0</v>
      </c>
      <c r="AH261" t="n">
        <v>0.38</v>
      </c>
      <c r="AI261" t="n">
        <v>19.23</v>
      </c>
      <c r="AJ261" t="n">
        <v>0</v>
      </c>
      <c r="AK261" t="n">
        <v>34.1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114.59</v>
      </c>
      <c r="AV261" t="n">
        <v>0</v>
      </c>
      <c r="AW261" t="n">
        <v>289.14</v>
      </c>
      <c r="AX261" t="inlineStr">
        <is>
          <t>settled</t>
        </is>
      </c>
      <c r="AY261" t="inlineStr">
        <is>
          <t>2026-01-14 05:30:00</t>
        </is>
      </c>
      <c r="AZ261" t="inlineStr">
        <is>
          <t>CITIN26605478364</t>
        </is>
      </c>
      <c r="BA261" t="n">
        <v>0</v>
      </c>
      <c r="BB261" t="inlineStr">
        <is>
          <t>d33038d9c670e7ba822857692355b3e9e586fb6ce9ea90f25a0d025c339772ed</t>
        </is>
      </c>
    </row>
    <row r="262">
      <c r="A262" t="inlineStr">
        <is>
          <t>257</t>
        </is>
      </c>
      <c r="B262" t="inlineStr">
        <is>
          <t>7674474986</t>
        </is>
      </c>
      <c r="C262" t="inlineStr">
        <is>
          <t>2026-01-10 02:56:03</t>
        </is>
      </c>
      <c r="D262" t="inlineStr">
        <is>
          <t>2</t>
        </is>
      </c>
      <c r="E262" t="inlineStr">
        <is>
          <t>Sha Sha - Shandaar Shawarma</t>
        </is>
      </c>
      <c r="F262" t="inlineStr">
        <is>
          <t>18557902</t>
        </is>
      </c>
      <c r="G262" t="inlineStr">
        <is>
          <t>30% off upto ₹75 (2025-06-25 - 2031-01-01)</t>
        </is>
      </c>
      <c r="H262" t="inlineStr">
        <is>
          <t>ONLINE</t>
        </is>
      </c>
      <c r="I262" t="inlineStr">
        <is>
          <t>CANCELLED</t>
        </is>
      </c>
      <c r="J262" t="inlineStr">
        <is>
          <t>100%</t>
        </is>
      </c>
      <c r="K262" t="inlineStr">
        <is>
          <t>Customer cancellation because they are unavailable to accept the order</t>
        </is>
      </c>
      <c r="L262" t="inlineStr">
        <is>
          <t>Order picked up by rider</t>
        </is>
      </c>
      <c r="M262" t="inlineStr">
        <is>
          <t>O2</t>
        </is>
      </c>
      <c r="N262" t="inlineStr">
        <is>
          <t>NA</t>
        </is>
      </c>
      <c r="O262" t="n">
        <v>219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219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117.9</v>
      </c>
      <c r="AW262" t="n">
        <v>117.9</v>
      </c>
      <c r="AX262" t="inlineStr">
        <is>
          <t>settled</t>
        </is>
      </c>
      <c r="AY262" t="inlineStr">
        <is>
          <t>2026-01-14 05:30:00</t>
        </is>
      </c>
      <c r="AZ262" t="inlineStr">
        <is>
          <t>CITIN26605478364</t>
        </is>
      </c>
      <c r="BA262" t="n">
        <v>0</v>
      </c>
      <c r="BB262" t="inlineStr">
        <is>
          <t>NA</t>
        </is>
      </c>
    </row>
    <row r="263">
      <c r="A263" t="inlineStr">
        <is>
          <t>258</t>
        </is>
      </c>
      <c r="B263" t="inlineStr">
        <is>
          <t>7667669759</t>
        </is>
      </c>
      <c r="C263" t="inlineStr">
        <is>
          <t>2026-01-10 02:56:47</t>
        </is>
      </c>
      <c r="D263" t="inlineStr">
        <is>
          <t>2</t>
        </is>
      </c>
      <c r="E263" t="inlineStr">
        <is>
          <t>Sha Sha - Shandaar Shawarma</t>
        </is>
      </c>
      <c r="F263" t="inlineStr">
        <is>
          <t>18557902</t>
        </is>
      </c>
      <c r="G263" t="inlineStr">
        <is>
          <t>30% off upto ₹75 (2025-06-25 - 2031-01-01)</t>
        </is>
      </c>
      <c r="H263" t="inlineStr">
        <is>
          <t>ONLINE</t>
        </is>
      </c>
      <c r="I263" t="inlineStr">
        <is>
          <t>DELIVERED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O2</t>
        </is>
      </c>
      <c r="N263" t="inlineStr">
        <is>
          <t>36</t>
        </is>
      </c>
      <c r="O263" t="n">
        <v>229</v>
      </c>
      <c r="P263" t="n">
        <v>3.5</v>
      </c>
      <c r="Q263" t="n">
        <v>0</v>
      </c>
      <c r="R263" t="n">
        <v>68.7</v>
      </c>
      <c r="S263" t="n">
        <v>0</v>
      </c>
      <c r="T263" t="n">
        <v>0</v>
      </c>
      <c r="U263" t="n">
        <v>0</v>
      </c>
      <c r="V263" t="n">
        <v>8.19</v>
      </c>
      <c r="W263" t="n">
        <v>171.99</v>
      </c>
      <c r="X263" t="n">
        <v>163.8</v>
      </c>
      <c r="Y263" t="n">
        <v>19</v>
      </c>
      <c r="Z263" t="n">
        <v>31.12</v>
      </c>
      <c r="AA263" t="n">
        <v>3.16</v>
      </c>
      <c r="AB263" t="n">
        <v>34.28</v>
      </c>
      <c r="AC263" t="n">
        <v>6.17</v>
      </c>
      <c r="AD263" t="n">
        <v>0</v>
      </c>
      <c r="AE263" t="n">
        <v>163.8</v>
      </c>
      <c r="AF263" t="n">
        <v>0</v>
      </c>
      <c r="AG263" t="n">
        <v>0</v>
      </c>
      <c r="AH263" t="n">
        <v>0.16</v>
      </c>
      <c r="AI263" t="n">
        <v>8.199999999999999</v>
      </c>
      <c r="AJ263" t="n">
        <v>-0.01</v>
      </c>
      <c r="AK263" t="n">
        <v>14.53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48.81</v>
      </c>
      <c r="AV263" t="n">
        <v>0</v>
      </c>
      <c r="AW263" t="n">
        <v>123.18</v>
      </c>
      <c r="AX263" t="inlineStr">
        <is>
          <t>settled</t>
        </is>
      </c>
      <c r="AY263" t="inlineStr">
        <is>
          <t>2026-01-14 05:30:00</t>
        </is>
      </c>
      <c r="AZ263" t="inlineStr">
        <is>
          <t>CITIN26605478364</t>
        </is>
      </c>
      <c r="BA263" t="n">
        <v>0</v>
      </c>
      <c r="BB263" t="inlineStr">
        <is>
          <t>035ce6fbfaabbb1699dc8170c79e85815df3b4143283dda379bc1908f7e1ba99</t>
        </is>
      </c>
    </row>
    <row r="264">
      <c r="A264" t="inlineStr">
        <is>
          <t>259</t>
        </is>
      </c>
      <c r="B264" t="inlineStr">
        <is>
          <t>7660062393</t>
        </is>
      </c>
      <c r="C264" t="inlineStr">
        <is>
          <t>2026-01-10 03:09:41</t>
        </is>
      </c>
      <c r="D264" t="inlineStr">
        <is>
          <t>2</t>
        </is>
      </c>
      <c r="E264" t="inlineStr">
        <is>
          <t>Sha Sha - Shandaar Shawarma</t>
        </is>
      </c>
      <c r="F264" t="inlineStr">
        <is>
          <t>18557902</t>
        </is>
      </c>
      <c r="G264" t="inlineStr">
        <is>
          <t>30% off upto ₹75 (2025-06-25 - 2031-01-01)</t>
        </is>
      </c>
      <c r="H264" t="inlineStr">
        <is>
          <t>ONLINE</t>
        </is>
      </c>
      <c r="I264" t="inlineStr">
        <is>
          <t>DELIVERED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O2</t>
        </is>
      </c>
      <c r="N264" t="inlineStr">
        <is>
          <t>36</t>
        </is>
      </c>
      <c r="O264" t="n">
        <v>229</v>
      </c>
      <c r="P264" t="n">
        <v>3.5</v>
      </c>
      <c r="Q264" t="n">
        <v>0</v>
      </c>
      <c r="R264" t="n">
        <v>68.7</v>
      </c>
      <c r="S264" t="n">
        <v>0</v>
      </c>
      <c r="T264" t="n">
        <v>0</v>
      </c>
      <c r="U264" t="n">
        <v>0</v>
      </c>
      <c r="V264" t="n">
        <v>8.19</v>
      </c>
      <c r="W264" t="n">
        <v>171.99</v>
      </c>
      <c r="X264" t="n">
        <v>163.8</v>
      </c>
      <c r="Y264" t="n">
        <v>19</v>
      </c>
      <c r="Z264" t="n">
        <v>31.12</v>
      </c>
      <c r="AA264" t="n">
        <v>3.16</v>
      </c>
      <c r="AB264" t="n">
        <v>34.28</v>
      </c>
      <c r="AC264" t="n">
        <v>6.17</v>
      </c>
      <c r="AD264" t="n">
        <v>0</v>
      </c>
      <c r="AE264" t="n">
        <v>163.8</v>
      </c>
      <c r="AF264" t="n">
        <v>0</v>
      </c>
      <c r="AG264" t="n">
        <v>0</v>
      </c>
      <c r="AH264" t="n">
        <v>0.16</v>
      </c>
      <c r="AI264" t="n">
        <v>8.199999999999999</v>
      </c>
      <c r="AJ264" t="n">
        <v>-0.01</v>
      </c>
      <c r="AK264" t="n">
        <v>14.53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48.81</v>
      </c>
      <c r="AV264" t="n">
        <v>0</v>
      </c>
      <c r="AW264" t="n">
        <v>123.18</v>
      </c>
      <c r="AX264" t="inlineStr">
        <is>
          <t>settled</t>
        </is>
      </c>
      <c r="AY264" t="inlineStr">
        <is>
          <t>2026-01-14 05:30:00</t>
        </is>
      </c>
      <c r="AZ264" t="inlineStr">
        <is>
          <t>CITIN26605478364</t>
        </is>
      </c>
      <c r="BA264" t="n">
        <v>0</v>
      </c>
      <c r="BB264" t="inlineStr">
        <is>
          <t>2768e397ea0ed718917ae5f975a81d18490ddb9c52516f07236ecbd885fd24fb</t>
        </is>
      </c>
    </row>
    <row r="265">
      <c r="A265" t="inlineStr">
        <is>
          <t>260</t>
        </is>
      </c>
      <c r="B265" t="inlineStr">
        <is>
          <t>7674776320</t>
        </is>
      </c>
      <c r="C265" t="inlineStr">
        <is>
          <t>2026-01-10 03:31:06</t>
        </is>
      </c>
      <c r="D265" t="inlineStr">
        <is>
          <t>2</t>
        </is>
      </c>
      <c r="E265" t="inlineStr">
        <is>
          <t>Sha Sha - Shandaar Shawarma</t>
        </is>
      </c>
      <c r="F265" t="inlineStr">
        <is>
          <t>18557902</t>
        </is>
      </c>
      <c r="G265" t="inlineStr">
        <is>
          <t>NA</t>
        </is>
      </c>
      <c r="H265" t="inlineStr">
        <is>
          <t>ONLINE</t>
        </is>
      </c>
      <c r="I265" t="inlineStr">
        <is>
          <t>DELIVERED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O2</t>
        </is>
      </c>
      <c r="N265" t="inlineStr">
        <is>
          <t>36</t>
        </is>
      </c>
      <c r="O265" t="n">
        <v>368</v>
      </c>
      <c r="P265" t="n">
        <v>3.5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18.58</v>
      </c>
      <c r="W265" t="n">
        <v>390.08</v>
      </c>
      <c r="X265" t="n">
        <v>371.5</v>
      </c>
      <c r="Y265" t="n">
        <v>19</v>
      </c>
      <c r="Z265" t="n">
        <v>70.58</v>
      </c>
      <c r="AA265" t="n">
        <v>7.18</v>
      </c>
      <c r="AB265" t="n">
        <v>77.76000000000001</v>
      </c>
      <c r="AC265" t="n">
        <v>13.99</v>
      </c>
      <c r="AD265" t="n">
        <v>0</v>
      </c>
      <c r="AE265" t="n">
        <v>371.5</v>
      </c>
      <c r="AF265" t="n">
        <v>0</v>
      </c>
      <c r="AG265" t="n">
        <v>0</v>
      </c>
      <c r="AH265" t="n">
        <v>0.37</v>
      </c>
      <c r="AI265" t="n">
        <v>18.58</v>
      </c>
      <c r="AJ265" t="n">
        <v>0</v>
      </c>
      <c r="AK265" t="n">
        <v>32.94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110.7</v>
      </c>
      <c r="AV265" t="n">
        <v>0</v>
      </c>
      <c r="AW265" t="n">
        <v>279.38</v>
      </c>
      <c r="AX265" t="inlineStr">
        <is>
          <t>settled</t>
        </is>
      </c>
      <c r="AY265" t="inlineStr">
        <is>
          <t>2026-01-14 05:30:00</t>
        </is>
      </c>
      <c r="AZ265" t="inlineStr">
        <is>
          <t>CITIN26605478364</t>
        </is>
      </c>
      <c r="BA265" t="n">
        <v>0</v>
      </c>
      <c r="BB265" t="inlineStr">
        <is>
          <t>e0c620bf58e4e03f51f50169e54e9b9f43b87624fc1be2fe6fba8ca77ce43abb</t>
        </is>
      </c>
    </row>
    <row r="266">
      <c r="A266" t="inlineStr">
        <is>
          <t>261</t>
        </is>
      </c>
      <c r="B266" t="inlineStr">
        <is>
          <t>7671965168</t>
        </is>
      </c>
      <c r="C266" t="inlineStr">
        <is>
          <t>2026-01-10 03:40:25</t>
        </is>
      </c>
      <c r="D266" t="inlineStr">
        <is>
          <t>2</t>
        </is>
      </c>
      <c r="E266" t="inlineStr">
        <is>
          <t>Sha Sha - Shandaar Shawarma</t>
        </is>
      </c>
      <c r="F266" t="inlineStr">
        <is>
          <t>18557902</t>
        </is>
      </c>
      <c r="G266" t="inlineStr">
        <is>
          <t>NA</t>
        </is>
      </c>
      <c r="H266" t="inlineStr">
        <is>
          <t>ONLINE</t>
        </is>
      </c>
      <c r="I266" t="inlineStr">
        <is>
          <t>DELIVERED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RELISTING</t>
        </is>
      </c>
      <c r="N266" t="inlineStr">
        <is>
          <t>36</t>
        </is>
      </c>
      <c r="O266" t="n">
        <v>219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76.65000000000001</v>
      </c>
      <c r="V266" t="n">
        <v>7.12</v>
      </c>
      <c r="W266" t="n">
        <v>149.47</v>
      </c>
      <c r="X266" t="n">
        <v>142.35</v>
      </c>
      <c r="Y266" t="n">
        <v>74.34</v>
      </c>
      <c r="Z266" t="n">
        <v>105.82</v>
      </c>
      <c r="AA266" t="n">
        <v>2.75</v>
      </c>
      <c r="AB266" t="n">
        <v>108.57</v>
      </c>
      <c r="AC266" t="n">
        <v>19.55</v>
      </c>
      <c r="AD266" t="n">
        <v>0</v>
      </c>
      <c r="AE266" t="n">
        <v>142.35</v>
      </c>
      <c r="AF266" t="n">
        <v>0</v>
      </c>
      <c r="AG266" t="n">
        <v>0</v>
      </c>
      <c r="AH266" t="n">
        <v>0.14</v>
      </c>
      <c r="AI266" t="n">
        <v>7.12</v>
      </c>
      <c r="AJ266" t="n">
        <v>0</v>
      </c>
      <c r="AK266" t="n">
        <v>26.81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135.38</v>
      </c>
      <c r="AV266" t="n">
        <v>0</v>
      </c>
      <c r="AW266" t="n">
        <v>14.09</v>
      </c>
      <c r="AX266" t="inlineStr">
        <is>
          <t>settled</t>
        </is>
      </c>
      <c r="AY266" t="inlineStr">
        <is>
          <t>2026-01-14 05:30:00</t>
        </is>
      </c>
      <c r="AZ266" t="inlineStr">
        <is>
          <t>CITIN26605478364</t>
        </is>
      </c>
      <c r="BA266" t="n">
        <v>0</v>
      </c>
      <c r="BB266" t="inlineStr">
        <is>
          <t>3f93303ac6f8d801832e7c8111d0399e638c868d31814150df708033e133d209</t>
        </is>
      </c>
    </row>
    <row r="267">
      <c r="A267" t="inlineStr">
        <is>
          <t>262</t>
        </is>
      </c>
      <c r="B267" t="inlineStr">
        <is>
          <t>7664897916</t>
        </is>
      </c>
      <c r="C267" t="inlineStr">
        <is>
          <t>2026-01-10 04:05:50</t>
        </is>
      </c>
      <c r="D267" t="inlineStr">
        <is>
          <t>2</t>
        </is>
      </c>
      <c r="E267" t="inlineStr">
        <is>
          <t>Sha Sha - Shandaar Shawarma</t>
        </is>
      </c>
      <c r="F267" t="inlineStr">
        <is>
          <t>18557902</t>
        </is>
      </c>
      <c r="G267" t="inlineStr">
        <is>
          <t>30% off upto ₹75 (2025-06-25 - 2031-01-01)</t>
        </is>
      </c>
      <c r="H267" t="inlineStr">
        <is>
          <t>ONLINE</t>
        </is>
      </c>
      <c r="I267" t="inlineStr">
        <is>
          <t>DELIVERED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O2</t>
        </is>
      </c>
      <c r="N267" t="inlineStr">
        <is>
          <t>36</t>
        </is>
      </c>
      <c r="O267" t="n">
        <v>258</v>
      </c>
      <c r="P267" t="n">
        <v>3.5</v>
      </c>
      <c r="Q267" t="n">
        <v>0</v>
      </c>
      <c r="R267" t="n">
        <v>75</v>
      </c>
      <c r="S267" t="n">
        <v>0</v>
      </c>
      <c r="T267" t="n">
        <v>0</v>
      </c>
      <c r="U267" t="n">
        <v>0</v>
      </c>
      <c r="V267" t="n">
        <v>9.33</v>
      </c>
      <c r="W267" t="n">
        <v>195.83</v>
      </c>
      <c r="X267" t="n">
        <v>186.5</v>
      </c>
      <c r="Y267" t="n">
        <v>19</v>
      </c>
      <c r="Z267" t="n">
        <v>35.44</v>
      </c>
      <c r="AA267" t="n">
        <v>3.6</v>
      </c>
      <c r="AB267" t="n">
        <v>39.04</v>
      </c>
      <c r="AC267" t="n">
        <v>7.03</v>
      </c>
      <c r="AD267" t="n">
        <v>0</v>
      </c>
      <c r="AE267" t="n">
        <v>186.5</v>
      </c>
      <c r="AF267" t="n">
        <v>0</v>
      </c>
      <c r="AG267" t="n">
        <v>0</v>
      </c>
      <c r="AH267" t="n">
        <v>0.19</v>
      </c>
      <c r="AI267" t="n">
        <v>9.33</v>
      </c>
      <c r="AJ267" t="n">
        <v>0</v>
      </c>
      <c r="AK267" t="n">
        <v>16.55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55.59</v>
      </c>
      <c r="AV267" t="n">
        <v>0</v>
      </c>
      <c r="AW267" t="n">
        <v>140.24</v>
      </c>
      <c r="AX267" t="inlineStr">
        <is>
          <t>settled</t>
        </is>
      </c>
      <c r="AY267" t="inlineStr">
        <is>
          <t>2026-01-14 05:30:00</t>
        </is>
      </c>
      <c r="AZ267" t="inlineStr">
        <is>
          <t>CITIN26605478364</t>
        </is>
      </c>
      <c r="BA267" t="n">
        <v>0</v>
      </c>
      <c r="BB267" t="inlineStr">
        <is>
          <t>3259863d6cdc2c85de8240658abd472941cd8ab32b37046b58f38681e64ff5bd</t>
        </is>
      </c>
    </row>
    <row r="268">
      <c r="A268" t="inlineStr">
        <is>
          <t>263</t>
        </is>
      </c>
      <c r="B268" t="inlineStr">
        <is>
          <t>7672659575</t>
        </is>
      </c>
      <c r="C268" t="inlineStr">
        <is>
          <t>2026-01-10 04:10:22</t>
        </is>
      </c>
      <c r="D268" t="inlineStr">
        <is>
          <t>2</t>
        </is>
      </c>
      <c r="E268" t="inlineStr">
        <is>
          <t>Sha Sha - Shandaar Shawarma</t>
        </is>
      </c>
      <c r="F268" t="inlineStr">
        <is>
          <t>18557902</t>
        </is>
      </c>
      <c r="G268" t="inlineStr">
        <is>
          <t>30% off upto ₹75 (2025-06-25 - 2031-01-01)</t>
        </is>
      </c>
      <c r="H268" t="inlineStr">
        <is>
          <t>ONLINE</t>
        </is>
      </c>
      <c r="I268" t="inlineStr">
        <is>
          <t>DELIVERED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O2</t>
        </is>
      </c>
      <c r="N268" t="inlineStr">
        <is>
          <t>36</t>
        </is>
      </c>
      <c r="O268" t="n">
        <v>368</v>
      </c>
      <c r="P268" t="n">
        <v>3.5</v>
      </c>
      <c r="Q268" t="n">
        <v>0</v>
      </c>
      <c r="R268" t="n">
        <v>75</v>
      </c>
      <c r="S268" t="n">
        <v>0</v>
      </c>
      <c r="T268" t="n">
        <v>0</v>
      </c>
      <c r="U268" t="n">
        <v>0</v>
      </c>
      <c r="V268" t="n">
        <v>14.83</v>
      </c>
      <c r="W268" t="n">
        <v>311.33</v>
      </c>
      <c r="X268" t="n">
        <v>296.5</v>
      </c>
      <c r="Y268" t="n">
        <v>19</v>
      </c>
      <c r="Z268" t="n">
        <v>56.34</v>
      </c>
      <c r="AA268" t="n">
        <v>5.73</v>
      </c>
      <c r="AB268" t="n">
        <v>62.07</v>
      </c>
      <c r="AC268" t="n">
        <v>11.17</v>
      </c>
      <c r="AD268" t="n">
        <v>0</v>
      </c>
      <c r="AE268" t="n">
        <v>296.5</v>
      </c>
      <c r="AF268" t="n">
        <v>0</v>
      </c>
      <c r="AG268" t="n">
        <v>0</v>
      </c>
      <c r="AH268" t="n">
        <v>0.3</v>
      </c>
      <c r="AI268" t="n">
        <v>14.83</v>
      </c>
      <c r="AJ268" t="n">
        <v>0</v>
      </c>
      <c r="AK268" t="n">
        <v>26.3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88.37</v>
      </c>
      <c r="AV268" t="n">
        <v>0</v>
      </c>
      <c r="AW268" t="n">
        <v>222.96</v>
      </c>
      <c r="AX268" t="inlineStr">
        <is>
          <t>settled</t>
        </is>
      </c>
      <c r="AY268" t="inlineStr">
        <is>
          <t>2026-01-14 05:30:00</t>
        </is>
      </c>
      <c r="AZ268" t="inlineStr">
        <is>
          <t>CITIN26605478364</t>
        </is>
      </c>
      <c r="BA268" t="n">
        <v>0</v>
      </c>
      <c r="BB268" t="inlineStr">
        <is>
          <t>3ec37767977742f6256bbc8b5d5683f54f2a406dbef5ae4d28f524c50ba77fea</t>
        </is>
      </c>
    </row>
    <row r="269">
      <c r="A269" t="inlineStr">
        <is>
          <t>264</t>
        </is>
      </c>
      <c r="B269" t="inlineStr">
        <is>
          <t>7674751920</t>
        </is>
      </c>
      <c r="C269" t="inlineStr">
        <is>
          <t>2026-01-10 04:10:58</t>
        </is>
      </c>
      <c r="D269" t="inlineStr">
        <is>
          <t>2</t>
        </is>
      </c>
      <c r="E269" t="inlineStr">
        <is>
          <t>Sha Sha - Shandaar Shawarma</t>
        </is>
      </c>
      <c r="F269" t="inlineStr">
        <is>
          <t>18557902</t>
        </is>
      </c>
      <c r="G269" t="inlineStr">
        <is>
          <t>30% off upto ₹75 (2025-06-25 - 2031-01-01)</t>
        </is>
      </c>
      <c r="H269" t="inlineStr">
        <is>
          <t>ONLINE</t>
        </is>
      </c>
      <c r="I269" t="inlineStr">
        <is>
          <t>DELIVERED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O2</t>
        </is>
      </c>
      <c r="N269" t="inlineStr">
        <is>
          <t>36</t>
        </is>
      </c>
      <c r="O269" t="n">
        <v>355</v>
      </c>
      <c r="P269" t="n">
        <v>3.5</v>
      </c>
      <c r="Q269" t="n">
        <v>0</v>
      </c>
      <c r="R269" t="n">
        <v>75</v>
      </c>
      <c r="S269" t="n">
        <v>0</v>
      </c>
      <c r="T269" t="n">
        <v>0</v>
      </c>
      <c r="U269" t="n">
        <v>0</v>
      </c>
      <c r="V269" t="n">
        <v>14.18</v>
      </c>
      <c r="W269" t="n">
        <v>297.68</v>
      </c>
      <c r="X269" t="n">
        <v>283.5</v>
      </c>
      <c r="Y269" t="n">
        <v>19</v>
      </c>
      <c r="Z269" t="n">
        <v>53.86</v>
      </c>
      <c r="AA269" t="n">
        <v>5.48</v>
      </c>
      <c r="AB269" t="n">
        <v>59.34</v>
      </c>
      <c r="AC269" t="n">
        <v>10.68</v>
      </c>
      <c r="AD269" t="n">
        <v>0</v>
      </c>
      <c r="AE269" t="n">
        <v>283.5</v>
      </c>
      <c r="AF269" t="n">
        <v>0</v>
      </c>
      <c r="AG269" t="n">
        <v>0</v>
      </c>
      <c r="AH269" t="n">
        <v>0.28</v>
      </c>
      <c r="AI269" t="n">
        <v>14.18</v>
      </c>
      <c r="AJ269" t="n">
        <v>0</v>
      </c>
      <c r="AK269" t="n">
        <v>25.14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84.48</v>
      </c>
      <c r="AV269" t="n">
        <v>0</v>
      </c>
      <c r="AW269" t="n">
        <v>213.2</v>
      </c>
      <c r="AX269" t="inlineStr">
        <is>
          <t>settled</t>
        </is>
      </c>
      <c r="AY269" t="inlineStr">
        <is>
          <t>2026-01-14 05:30:00</t>
        </is>
      </c>
      <c r="AZ269" t="inlineStr">
        <is>
          <t>CITIN26605478364</t>
        </is>
      </c>
      <c r="BA269" t="n">
        <v>0</v>
      </c>
      <c r="BB269" t="inlineStr">
        <is>
          <t>396b97cfd7384602d78a64a805ad3bce4b6b4710a67eaabecd78f7b9a8b0ee95</t>
        </is>
      </c>
    </row>
    <row r="270">
      <c r="A270" t="inlineStr">
        <is>
          <t>265</t>
        </is>
      </c>
      <c r="B270" t="inlineStr">
        <is>
          <t>7674809464</t>
        </is>
      </c>
      <c r="C270" t="inlineStr">
        <is>
          <t>2026-01-10 11:56:31</t>
        </is>
      </c>
      <c r="D270" t="inlineStr">
        <is>
          <t>2</t>
        </is>
      </c>
      <c r="E270" t="inlineStr">
        <is>
          <t>Sha Sha - Shandaar Shawarma</t>
        </is>
      </c>
      <c r="F270" t="inlineStr">
        <is>
          <t>18557902</t>
        </is>
      </c>
      <c r="G270" t="inlineStr">
        <is>
          <t>30% off upto ₹75 (2025-06-25 - 2031-01-01)</t>
        </is>
      </c>
      <c r="H270" t="inlineStr">
        <is>
          <t>ONLINE</t>
        </is>
      </c>
      <c r="I270" t="inlineStr">
        <is>
          <t>DELIVERED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O2</t>
        </is>
      </c>
      <c r="N270" t="inlineStr">
        <is>
          <t>36</t>
        </is>
      </c>
      <c r="O270" t="n">
        <v>229</v>
      </c>
      <c r="P270" t="n">
        <v>3.5</v>
      </c>
      <c r="Q270" t="n">
        <v>0</v>
      </c>
      <c r="R270" t="n">
        <v>68.7</v>
      </c>
      <c r="S270" t="n">
        <v>0</v>
      </c>
      <c r="T270" t="n">
        <v>0</v>
      </c>
      <c r="U270" t="n">
        <v>0</v>
      </c>
      <c r="V270" t="n">
        <v>8.19</v>
      </c>
      <c r="W270" t="n">
        <v>171.99</v>
      </c>
      <c r="X270" t="n">
        <v>163.8</v>
      </c>
      <c r="Y270" t="n">
        <v>19</v>
      </c>
      <c r="Z270" t="n">
        <v>31.12</v>
      </c>
      <c r="AA270" t="n">
        <v>3.16</v>
      </c>
      <c r="AB270" t="n">
        <v>34.28</v>
      </c>
      <c r="AC270" t="n">
        <v>6.17</v>
      </c>
      <c r="AD270" t="n">
        <v>0</v>
      </c>
      <c r="AE270" t="n">
        <v>163.8</v>
      </c>
      <c r="AF270" t="n">
        <v>0</v>
      </c>
      <c r="AG270" t="n">
        <v>0</v>
      </c>
      <c r="AH270" t="n">
        <v>0.16</v>
      </c>
      <c r="AI270" t="n">
        <v>8.199999999999999</v>
      </c>
      <c r="AJ270" t="n">
        <v>-0.01</v>
      </c>
      <c r="AK270" t="n">
        <v>14.53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48.81</v>
      </c>
      <c r="AV270" t="n">
        <v>0</v>
      </c>
      <c r="AW270" t="n">
        <v>123.18</v>
      </c>
      <c r="AX270" t="inlineStr">
        <is>
          <t>settled</t>
        </is>
      </c>
      <c r="AY270" t="inlineStr">
        <is>
          <t>2026-01-14 05:30:00</t>
        </is>
      </c>
      <c r="AZ270" t="inlineStr">
        <is>
          <t>CITIN26605478364</t>
        </is>
      </c>
      <c r="BA270" t="n">
        <v>0</v>
      </c>
      <c r="BB270" t="inlineStr">
        <is>
          <t>1b469fd05a95d6d265f57a5409340345544d2a6c7e4d5d5e358152fbdefdf33b</t>
        </is>
      </c>
    </row>
    <row r="271">
      <c r="A271" t="inlineStr">
        <is>
          <t>266</t>
        </is>
      </c>
      <c r="B271" t="inlineStr">
        <is>
          <t>7675157722</t>
        </is>
      </c>
      <c r="C271" t="inlineStr">
        <is>
          <t>2026-01-10 12:18:22</t>
        </is>
      </c>
      <c r="D271" t="inlineStr">
        <is>
          <t>2</t>
        </is>
      </c>
      <c r="E271" t="inlineStr">
        <is>
          <t>Sha Sha - Shandaar Shawarma</t>
        </is>
      </c>
      <c r="F271" t="inlineStr">
        <is>
          <t>18557902</t>
        </is>
      </c>
      <c r="G271" t="inlineStr">
        <is>
          <t>30% off upto ₹75 (2025-06-25 - 2031-01-01)</t>
        </is>
      </c>
      <c r="H271" t="inlineStr">
        <is>
          <t>ONLINE</t>
        </is>
      </c>
      <c r="I271" t="inlineStr">
        <is>
          <t>DELIVERED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O2</t>
        </is>
      </c>
      <c r="N271" t="inlineStr">
        <is>
          <t>36</t>
        </is>
      </c>
      <c r="O271" t="n">
        <v>229</v>
      </c>
      <c r="P271" t="n">
        <v>3.5</v>
      </c>
      <c r="Q271" t="n">
        <v>0</v>
      </c>
      <c r="R271" t="n">
        <v>68.7</v>
      </c>
      <c r="S271" t="n">
        <v>0</v>
      </c>
      <c r="T271" t="n">
        <v>0</v>
      </c>
      <c r="U271" t="n">
        <v>0</v>
      </c>
      <c r="V271" t="n">
        <v>8.19</v>
      </c>
      <c r="W271" t="n">
        <v>171.99</v>
      </c>
      <c r="X271" t="n">
        <v>163.8</v>
      </c>
      <c r="Y271" t="n">
        <v>19</v>
      </c>
      <c r="Z271" t="n">
        <v>31.12</v>
      </c>
      <c r="AA271" t="n">
        <v>3.16</v>
      </c>
      <c r="AB271" t="n">
        <v>34.28</v>
      </c>
      <c r="AC271" t="n">
        <v>6.17</v>
      </c>
      <c r="AD271" t="n">
        <v>0</v>
      </c>
      <c r="AE271" t="n">
        <v>163.8</v>
      </c>
      <c r="AF271" t="n">
        <v>0</v>
      </c>
      <c r="AG271" t="n">
        <v>0</v>
      </c>
      <c r="AH271" t="n">
        <v>0.16</v>
      </c>
      <c r="AI271" t="n">
        <v>8.199999999999999</v>
      </c>
      <c r="AJ271" t="n">
        <v>-0.01</v>
      </c>
      <c r="AK271" t="n">
        <v>14.53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48.81</v>
      </c>
      <c r="AV271" t="n">
        <v>0</v>
      </c>
      <c r="AW271" t="n">
        <v>123.18</v>
      </c>
      <c r="AX271" t="inlineStr">
        <is>
          <t>settled</t>
        </is>
      </c>
      <c r="AY271" t="inlineStr">
        <is>
          <t>2026-01-14 05:30:00</t>
        </is>
      </c>
      <c r="AZ271" t="inlineStr">
        <is>
          <t>CITIN26605478364</t>
        </is>
      </c>
      <c r="BA271" t="n">
        <v>0</v>
      </c>
      <c r="BB271" t="inlineStr">
        <is>
          <t>4b2815a93724b952a126a03c4f84f8d053ac2a96c4b5cd74bbbd00ffbe63acbd</t>
        </is>
      </c>
    </row>
    <row r="272">
      <c r="A272" t="inlineStr">
        <is>
          <t>267</t>
        </is>
      </c>
      <c r="B272" t="inlineStr">
        <is>
          <t>7669925867</t>
        </is>
      </c>
      <c r="C272" t="inlineStr">
        <is>
          <t>2026-01-10 12:50:10</t>
        </is>
      </c>
      <c r="D272" t="inlineStr">
        <is>
          <t>2</t>
        </is>
      </c>
      <c r="E272" t="inlineStr">
        <is>
          <t>Sha Sha - Shandaar Shawarma</t>
        </is>
      </c>
      <c r="F272" t="inlineStr">
        <is>
          <t>18557902</t>
        </is>
      </c>
      <c r="G272" t="inlineStr">
        <is>
          <t>30% off upto ₹75 (2025-06-25 - 2031-01-01)</t>
        </is>
      </c>
      <c r="H272" t="inlineStr">
        <is>
          <t>ONLINE</t>
        </is>
      </c>
      <c r="I272" t="inlineStr">
        <is>
          <t>DELIVERED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O2</t>
        </is>
      </c>
      <c r="N272" t="inlineStr">
        <is>
          <t>36</t>
        </is>
      </c>
      <c r="O272" t="n">
        <v>458</v>
      </c>
      <c r="P272" t="n">
        <v>3.5</v>
      </c>
      <c r="Q272" t="n">
        <v>0</v>
      </c>
      <c r="R272" t="n">
        <v>75</v>
      </c>
      <c r="S272" t="n">
        <v>0</v>
      </c>
      <c r="T272" t="n">
        <v>0</v>
      </c>
      <c r="U272" t="n">
        <v>0</v>
      </c>
      <c r="V272" t="n">
        <v>19.33</v>
      </c>
      <c r="W272" t="n">
        <v>405.83</v>
      </c>
      <c r="X272" t="n">
        <v>386.5</v>
      </c>
      <c r="Y272" t="n">
        <v>19</v>
      </c>
      <c r="Z272" t="n">
        <v>73.44</v>
      </c>
      <c r="AA272" t="n">
        <v>7.47</v>
      </c>
      <c r="AB272" t="n">
        <v>80.91</v>
      </c>
      <c r="AC272" t="n">
        <v>14.56</v>
      </c>
      <c r="AD272" t="n">
        <v>0</v>
      </c>
      <c r="AE272" t="n">
        <v>386.5</v>
      </c>
      <c r="AF272" t="n">
        <v>0</v>
      </c>
      <c r="AG272" t="n">
        <v>0</v>
      </c>
      <c r="AH272" t="n">
        <v>0.39</v>
      </c>
      <c r="AI272" t="n">
        <v>19.33</v>
      </c>
      <c r="AJ272" t="n">
        <v>0</v>
      </c>
      <c r="AK272" t="n">
        <v>34.28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115.19</v>
      </c>
      <c r="AV272" t="n">
        <v>0</v>
      </c>
      <c r="AW272" t="n">
        <v>290.64</v>
      </c>
      <c r="AX272" t="inlineStr">
        <is>
          <t>settled</t>
        </is>
      </c>
      <c r="AY272" t="inlineStr">
        <is>
          <t>2026-01-14 05:30:00</t>
        </is>
      </c>
      <c r="AZ272" t="inlineStr">
        <is>
          <t>CITIN26605478364</t>
        </is>
      </c>
      <c r="BA272" t="n">
        <v>0</v>
      </c>
      <c r="BB272" t="inlineStr">
        <is>
          <t>46515447ebec4d4061cf39a094692139ae2da07188c73f0e361f603b999b8dea</t>
        </is>
      </c>
    </row>
    <row r="273">
      <c r="A273" t="inlineStr">
        <is>
          <t>268</t>
        </is>
      </c>
      <c r="B273" t="inlineStr">
        <is>
          <t>7665103534</t>
        </is>
      </c>
      <c r="C273" t="inlineStr">
        <is>
          <t>2026-01-10 16:32:20</t>
        </is>
      </c>
      <c r="D273" t="inlineStr">
        <is>
          <t>2</t>
        </is>
      </c>
      <c r="E273" t="inlineStr">
        <is>
          <t>Sha Sha - Shandaar Shawarma</t>
        </is>
      </c>
      <c r="F273" t="inlineStr">
        <is>
          <t>18557902</t>
        </is>
      </c>
      <c r="G273" t="inlineStr">
        <is>
          <t>30% off upto ₹75 (2025-06-25 - 2031-01-01)</t>
        </is>
      </c>
      <c r="H273" t="inlineStr">
        <is>
          <t>ONLINE</t>
        </is>
      </c>
      <c r="I273" t="inlineStr">
        <is>
          <t>DELIVERED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O2</t>
        </is>
      </c>
      <c r="N273" t="inlineStr">
        <is>
          <t>36</t>
        </is>
      </c>
      <c r="O273" t="n">
        <v>219</v>
      </c>
      <c r="P273" t="n">
        <v>3.5</v>
      </c>
      <c r="Q273" t="n">
        <v>0</v>
      </c>
      <c r="R273" t="n">
        <v>65.7</v>
      </c>
      <c r="S273" t="n">
        <v>0</v>
      </c>
      <c r="T273" t="n">
        <v>0</v>
      </c>
      <c r="U273" t="n">
        <v>0</v>
      </c>
      <c r="V273" t="n">
        <v>7.84</v>
      </c>
      <c r="W273" t="n">
        <v>164.64</v>
      </c>
      <c r="X273" t="n">
        <v>156.8</v>
      </c>
      <c r="Y273" t="n">
        <v>19</v>
      </c>
      <c r="Z273" t="n">
        <v>29.79</v>
      </c>
      <c r="AA273" t="n">
        <v>3.03</v>
      </c>
      <c r="AB273" t="n">
        <v>32.82</v>
      </c>
      <c r="AC273" t="n">
        <v>5.91</v>
      </c>
      <c r="AD273" t="n">
        <v>0</v>
      </c>
      <c r="AE273" t="n">
        <v>156.8</v>
      </c>
      <c r="AF273" t="n">
        <v>0</v>
      </c>
      <c r="AG273" t="n">
        <v>0</v>
      </c>
      <c r="AH273" t="n">
        <v>0.16</v>
      </c>
      <c r="AI273" t="n">
        <v>7.85</v>
      </c>
      <c r="AJ273" t="n">
        <v>-0.01</v>
      </c>
      <c r="AK273" t="n">
        <v>13.92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46.74</v>
      </c>
      <c r="AV273" t="n">
        <v>0</v>
      </c>
      <c r="AW273" t="n">
        <v>117.9</v>
      </c>
      <c r="AX273" t="inlineStr">
        <is>
          <t>settled</t>
        </is>
      </c>
      <c r="AY273" t="inlineStr">
        <is>
          <t>2026-01-14 05:30:00</t>
        </is>
      </c>
      <c r="AZ273" t="inlineStr">
        <is>
          <t>CITIN26605478364</t>
        </is>
      </c>
      <c r="BA273" t="n">
        <v>0</v>
      </c>
      <c r="BB273" t="inlineStr">
        <is>
          <t>0c40319ff4e9c4e4fb939d9f26385ac9767f9f0ad345e87c3ab4ed3548eb23f7</t>
        </is>
      </c>
    </row>
    <row r="274">
      <c r="A274" t="inlineStr">
        <is>
          <t>269</t>
        </is>
      </c>
      <c r="B274" t="inlineStr">
        <is>
          <t>7664687444</t>
        </is>
      </c>
      <c r="C274" t="inlineStr">
        <is>
          <t>2026-01-10 16:34:23</t>
        </is>
      </c>
      <c r="D274" t="inlineStr">
        <is>
          <t>2</t>
        </is>
      </c>
      <c r="E274" t="inlineStr">
        <is>
          <t>Sha Sha - Shandaar Shawarma</t>
        </is>
      </c>
      <c r="F274" t="inlineStr">
        <is>
          <t>18557902</t>
        </is>
      </c>
      <c r="G274" t="inlineStr">
        <is>
          <t>30% off upto ₹75 (2025-06-25 - 2031-01-01)</t>
        </is>
      </c>
      <c r="H274" t="inlineStr">
        <is>
          <t>ONLINE</t>
        </is>
      </c>
      <c r="I274" t="inlineStr">
        <is>
          <t>DELIVERED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O2</t>
        </is>
      </c>
      <c r="N274" t="inlineStr">
        <is>
          <t>36</t>
        </is>
      </c>
      <c r="O274" t="n">
        <v>776</v>
      </c>
      <c r="P274" t="n">
        <v>3.5</v>
      </c>
      <c r="Q274" t="n">
        <v>0</v>
      </c>
      <c r="R274" t="n">
        <v>75</v>
      </c>
      <c r="S274" t="n">
        <v>0</v>
      </c>
      <c r="T274" t="n">
        <v>0</v>
      </c>
      <c r="U274" t="n">
        <v>0</v>
      </c>
      <c r="V274" t="n">
        <v>35.23</v>
      </c>
      <c r="W274" t="n">
        <v>739.73</v>
      </c>
      <c r="X274" t="n">
        <v>704.5</v>
      </c>
      <c r="Y274" t="n">
        <v>19</v>
      </c>
      <c r="Z274" t="n">
        <v>133.86</v>
      </c>
      <c r="AA274" t="n">
        <v>13.61</v>
      </c>
      <c r="AB274" t="n">
        <v>147.47</v>
      </c>
      <c r="AC274" t="n">
        <v>26.54</v>
      </c>
      <c r="AD274" t="n">
        <v>0</v>
      </c>
      <c r="AE274" t="n">
        <v>704.5</v>
      </c>
      <c r="AF274" t="n">
        <v>0</v>
      </c>
      <c r="AG274" t="n">
        <v>0</v>
      </c>
      <c r="AH274" t="n">
        <v>0.7</v>
      </c>
      <c r="AI274" t="n">
        <v>35.23</v>
      </c>
      <c r="AJ274" t="n">
        <v>0</v>
      </c>
      <c r="AK274" t="n">
        <v>62.47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209.94</v>
      </c>
      <c r="AV274" t="n">
        <v>0</v>
      </c>
      <c r="AW274" t="n">
        <v>529.79</v>
      </c>
      <c r="AX274" t="inlineStr">
        <is>
          <t>settled</t>
        </is>
      </c>
      <c r="AY274" t="inlineStr">
        <is>
          <t>2026-01-14 05:30:00</t>
        </is>
      </c>
      <c r="AZ274" t="inlineStr">
        <is>
          <t>CITIN26605478364</t>
        </is>
      </c>
      <c r="BA274" t="n">
        <v>0</v>
      </c>
      <c r="BB274" t="inlineStr">
        <is>
          <t>71f490cc2b9d817b24bf2a0740c053dbdcb27ee23af3f50409a6155945234a5b</t>
        </is>
      </c>
    </row>
    <row r="275">
      <c r="A275" t="inlineStr">
        <is>
          <t>270</t>
        </is>
      </c>
      <c r="B275" t="inlineStr">
        <is>
          <t>7657870947</t>
        </is>
      </c>
      <c r="C275" t="inlineStr">
        <is>
          <t>2026-01-10 16:35:21</t>
        </is>
      </c>
      <c r="D275" t="inlineStr">
        <is>
          <t>2</t>
        </is>
      </c>
      <c r="E275" t="inlineStr">
        <is>
          <t>Sha Sha - Shandaar Shawarma</t>
        </is>
      </c>
      <c r="F275" t="inlineStr">
        <is>
          <t>18557902</t>
        </is>
      </c>
      <c r="G275" t="inlineStr">
        <is>
          <t>30% off upto ₹75 (2025-06-25 - 2031-01-01)</t>
        </is>
      </c>
      <c r="H275" t="inlineStr">
        <is>
          <t>ONLINE</t>
        </is>
      </c>
      <c r="I275" t="inlineStr">
        <is>
          <t>DELIVERED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O2</t>
        </is>
      </c>
      <c r="N275" t="inlineStr">
        <is>
          <t>36</t>
        </is>
      </c>
      <c r="O275" t="n">
        <v>219</v>
      </c>
      <c r="P275" t="n">
        <v>3.5</v>
      </c>
      <c r="Q275" t="n">
        <v>0</v>
      </c>
      <c r="R275" t="n">
        <v>65.7</v>
      </c>
      <c r="S275" t="n">
        <v>0</v>
      </c>
      <c r="T275" t="n">
        <v>0</v>
      </c>
      <c r="U275" t="n">
        <v>0</v>
      </c>
      <c r="V275" t="n">
        <v>7.84</v>
      </c>
      <c r="W275" t="n">
        <v>164.64</v>
      </c>
      <c r="X275" t="n">
        <v>156.8</v>
      </c>
      <c r="Y275" t="n">
        <v>19</v>
      </c>
      <c r="Z275" t="n">
        <v>29.79</v>
      </c>
      <c r="AA275" t="n">
        <v>3.03</v>
      </c>
      <c r="AB275" t="n">
        <v>32.82</v>
      </c>
      <c r="AC275" t="n">
        <v>5.91</v>
      </c>
      <c r="AD275" t="n">
        <v>0</v>
      </c>
      <c r="AE275" t="n">
        <v>156.8</v>
      </c>
      <c r="AF275" t="n">
        <v>0</v>
      </c>
      <c r="AG275" t="n">
        <v>0</v>
      </c>
      <c r="AH275" t="n">
        <v>0.16</v>
      </c>
      <c r="AI275" t="n">
        <v>7.85</v>
      </c>
      <c r="AJ275" t="n">
        <v>-0.01</v>
      </c>
      <c r="AK275" t="n">
        <v>13.92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46.74</v>
      </c>
      <c r="AV275" t="n">
        <v>0</v>
      </c>
      <c r="AW275" t="n">
        <v>117.9</v>
      </c>
      <c r="AX275" t="inlineStr">
        <is>
          <t>settled</t>
        </is>
      </c>
      <c r="AY275" t="inlineStr">
        <is>
          <t>2026-01-14 05:30:00</t>
        </is>
      </c>
      <c r="AZ275" t="inlineStr">
        <is>
          <t>CITIN26605478364</t>
        </is>
      </c>
      <c r="BA275" t="n">
        <v>0</v>
      </c>
      <c r="BB275" t="inlineStr">
        <is>
          <t>523cf99009824f20889a4cd568429f11624d9599237106e0849ac05e35d6a096</t>
        </is>
      </c>
    </row>
    <row r="276">
      <c r="A276" t="inlineStr">
        <is>
          <t>271</t>
        </is>
      </c>
      <c r="B276" t="inlineStr">
        <is>
          <t>7676409433</t>
        </is>
      </c>
      <c r="C276" t="inlineStr">
        <is>
          <t>2026-01-10 16:49:01</t>
        </is>
      </c>
      <c r="D276" t="inlineStr">
        <is>
          <t>2</t>
        </is>
      </c>
      <c r="E276" t="inlineStr">
        <is>
          <t>Sha Sha - Shandaar Shawarma</t>
        </is>
      </c>
      <c r="F276" t="inlineStr">
        <is>
          <t>18557902</t>
        </is>
      </c>
      <c r="G276" t="inlineStr">
        <is>
          <t>30% off upto ₹75 (2025-06-25 - 2031-01-01)</t>
        </is>
      </c>
      <c r="H276" t="inlineStr">
        <is>
          <t>ONLINE</t>
        </is>
      </c>
      <c r="I276" t="inlineStr">
        <is>
          <t>DELIVERED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O2</t>
        </is>
      </c>
      <c r="N276" t="inlineStr">
        <is>
          <t>36</t>
        </is>
      </c>
      <c r="O276" t="n">
        <v>229</v>
      </c>
      <c r="P276" t="n">
        <v>3.5</v>
      </c>
      <c r="Q276" t="n">
        <v>0</v>
      </c>
      <c r="R276" t="n">
        <v>68.7</v>
      </c>
      <c r="S276" t="n">
        <v>0</v>
      </c>
      <c r="T276" t="n">
        <v>0</v>
      </c>
      <c r="U276" t="n">
        <v>0</v>
      </c>
      <c r="V276" t="n">
        <v>8.19</v>
      </c>
      <c r="W276" t="n">
        <v>171.99</v>
      </c>
      <c r="X276" t="n">
        <v>163.8</v>
      </c>
      <c r="Y276" t="n">
        <v>19</v>
      </c>
      <c r="Z276" t="n">
        <v>31.12</v>
      </c>
      <c r="AA276" t="n">
        <v>3.16</v>
      </c>
      <c r="AB276" t="n">
        <v>34.28</v>
      </c>
      <c r="AC276" t="n">
        <v>6.17</v>
      </c>
      <c r="AD276" t="n">
        <v>0</v>
      </c>
      <c r="AE276" t="n">
        <v>163.8</v>
      </c>
      <c r="AF276" t="n">
        <v>0</v>
      </c>
      <c r="AG276" t="n">
        <v>0</v>
      </c>
      <c r="AH276" t="n">
        <v>0.16</v>
      </c>
      <c r="AI276" t="n">
        <v>8.199999999999999</v>
      </c>
      <c r="AJ276" t="n">
        <v>-0.01</v>
      </c>
      <c r="AK276" t="n">
        <v>14.53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48.81</v>
      </c>
      <c r="AV276" t="n">
        <v>0</v>
      </c>
      <c r="AW276" t="n">
        <v>123.18</v>
      </c>
      <c r="AX276" t="inlineStr">
        <is>
          <t>settled</t>
        </is>
      </c>
      <c r="AY276" t="inlineStr">
        <is>
          <t>2026-01-14 05:30:00</t>
        </is>
      </c>
      <c r="AZ276" t="inlineStr">
        <is>
          <t>CITIN26605478364</t>
        </is>
      </c>
      <c r="BA276" t="n">
        <v>0</v>
      </c>
      <c r="BB276" t="inlineStr">
        <is>
          <t>8e6ee5f1218b194d84307e42781ce78830f435661d492674c4d1537b217f2e40</t>
        </is>
      </c>
    </row>
    <row r="277">
      <c r="A277" t="inlineStr">
        <is>
          <t>272</t>
        </is>
      </c>
      <c r="B277" t="inlineStr">
        <is>
          <t>7672755618</t>
        </is>
      </c>
      <c r="C277" t="inlineStr">
        <is>
          <t>2026-01-10 16:53:16</t>
        </is>
      </c>
      <c r="D277" t="inlineStr">
        <is>
          <t>2</t>
        </is>
      </c>
      <c r="E277" t="inlineStr">
        <is>
          <t>Sha Sha - Shandaar Shawarma</t>
        </is>
      </c>
      <c r="F277" t="inlineStr">
        <is>
          <t>18557902</t>
        </is>
      </c>
      <c r="G277" t="inlineStr">
        <is>
          <t>NA</t>
        </is>
      </c>
      <c r="H277" t="inlineStr">
        <is>
          <t>ONLINE</t>
        </is>
      </c>
      <c r="I277" t="inlineStr">
        <is>
          <t>DELIVERED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O2</t>
        </is>
      </c>
      <c r="N277" t="inlineStr">
        <is>
          <t>36</t>
        </is>
      </c>
      <c r="O277" t="n">
        <v>328</v>
      </c>
      <c r="P277" t="n">
        <v>3.5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16.58</v>
      </c>
      <c r="W277" t="n">
        <v>348.08</v>
      </c>
      <c r="X277" t="n">
        <v>331.5</v>
      </c>
      <c r="Y277" t="n">
        <v>19</v>
      </c>
      <c r="Z277" t="n">
        <v>62.98</v>
      </c>
      <c r="AA277" t="n">
        <v>6.4</v>
      </c>
      <c r="AB277" t="n">
        <v>69.38</v>
      </c>
      <c r="AC277" t="n">
        <v>12.49</v>
      </c>
      <c r="AD277" t="n">
        <v>0</v>
      </c>
      <c r="AE277" t="n">
        <v>331.5</v>
      </c>
      <c r="AF277" t="n">
        <v>0</v>
      </c>
      <c r="AG277" t="n">
        <v>0</v>
      </c>
      <c r="AH277" t="n">
        <v>0.33</v>
      </c>
      <c r="AI277" t="n">
        <v>16.58</v>
      </c>
      <c r="AJ277" t="n">
        <v>0</v>
      </c>
      <c r="AK277" t="n">
        <v>29.4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98.78</v>
      </c>
      <c r="AV277" t="n">
        <v>0</v>
      </c>
      <c r="AW277" t="n">
        <v>249.3</v>
      </c>
      <c r="AX277" t="inlineStr">
        <is>
          <t>settled</t>
        </is>
      </c>
      <c r="AY277" t="inlineStr">
        <is>
          <t>2026-01-14 05:30:00</t>
        </is>
      </c>
      <c r="AZ277" t="inlineStr">
        <is>
          <t>CITIN26605478364</t>
        </is>
      </c>
      <c r="BA277" t="n">
        <v>0</v>
      </c>
      <c r="BB277" t="inlineStr">
        <is>
          <t>bbfd77dd1b59b2cb75d3237de7b464319143db032470e1665c7fcfba6ef76488</t>
        </is>
      </c>
    </row>
    <row r="278">
      <c r="A278" t="inlineStr">
        <is>
          <t>273</t>
        </is>
      </c>
      <c r="B278" t="inlineStr">
        <is>
          <t>7669763517</t>
        </is>
      </c>
      <c r="C278" t="inlineStr">
        <is>
          <t>2026-01-10 17:18:08</t>
        </is>
      </c>
      <c r="D278" t="inlineStr">
        <is>
          <t>2</t>
        </is>
      </c>
      <c r="E278" t="inlineStr">
        <is>
          <t>Sha Sha - Shandaar Shawarma</t>
        </is>
      </c>
      <c r="F278" t="inlineStr">
        <is>
          <t>18557902</t>
        </is>
      </c>
      <c r="G278" t="inlineStr">
        <is>
          <t>30% off upto ₹75 (2025-06-25 - 2031-01-01)</t>
        </is>
      </c>
      <c r="H278" t="inlineStr">
        <is>
          <t>ONLINE</t>
        </is>
      </c>
      <c r="I278" t="inlineStr">
        <is>
          <t>DELIVERED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O2</t>
        </is>
      </c>
      <c r="N278" t="inlineStr">
        <is>
          <t>36</t>
        </is>
      </c>
      <c r="O278" t="n">
        <v>229</v>
      </c>
      <c r="P278" t="n">
        <v>3.5</v>
      </c>
      <c r="Q278" t="n">
        <v>0</v>
      </c>
      <c r="R278" t="n">
        <v>68.7</v>
      </c>
      <c r="S278" t="n">
        <v>0</v>
      </c>
      <c r="T278" t="n">
        <v>0</v>
      </c>
      <c r="U278" t="n">
        <v>0</v>
      </c>
      <c r="V278" t="n">
        <v>8.19</v>
      </c>
      <c r="W278" t="n">
        <v>171.99</v>
      </c>
      <c r="X278" t="n">
        <v>163.8</v>
      </c>
      <c r="Y278" t="n">
        <v>19</v>
      </c>
      <c r="Z278" t="n">
        <v>31.12</v>
      </c>
      <c r="AA278" t="n">
        <v>3.16</v>
      </c>
      <c r="AB278" t="n">
        <v>34.28</v>
      </c>
      <c r="AC278" t="n">
        <v>6.17</v>
      </c>
      <c r="AD278" t="n">
        <v>0</v>
      </c>
      <c r="AE278" t="n">
        <v>163.8</v>
      </c>
      <c r="AF278" t="n">
        <v>0</v>
      </c>
      <c r="AG278" t="n">
        <v>0</v>
      </c>
      <c r="AH278" t="n">
        <v>0.16</v>
      </c>
      <c r="AI278" t="n">
        <v>8.199999999999999</v>
      </c>
      <c r="AJ278" t="n">
        <v>-0.01</v>
      </c>
      <c r="AK278" t="n">
        <v>14.53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48.81</v>
      </c>
      <c r="AV278" t="n">
        <v>0</v>
      </c>
      <c r="AW278" t="n">
        <v>123.18</v>
      </c>
      <c r="AX278" t="inlineStr">
        <is>
          <t>settled</t>
        </is>
      </c>
      <c r="AY278" t="inlineStr">
        <is>
          <t>2026-01-14 05:30:00</t>
        </is>
      </c>
      <c r="AZ278" t="inlineStr">
        <is>
          <t>CITIN26605478364</t>
        </is>
      </c>
      <c r="BA278" t="n">
        <v>0</v>
      </c>
      <c r="BB278" t="inlineStr">
        <is>
          <t>865eedf08848824613688e287d19f7532e6748c46a3857306016666faaa5a5ee</t>
        </is>
      </c>
    </row>
    <row r="279">
      <c r="A279" t="inlineStr">
        <is>
          <t>274</t>
        </is>
      </c>
      <c r="B279" t="inlineStr">
        <is>
          <t>7673711071</t>
        </is>
      </c>
      <c r="C279" t="inlineStr">
        <is>
          <t>2026-01-10 17:20:39</t>
        </is>
      </c>
      <c r="D279" t="inlineStr">
        <is>
          <t>2</t>
        </is>
      </c>
      <c r="E279" t="inlineStr">
        <is>
          <t>Sha Sha - Shandaar Shawarma</t>
        </is>
      </c>
      <c r="F279" t="inlineStr">
        <is>
          <t>18557902</t>
        </is>
      </c>
      <c r="G279" t="inlineStr">
        <is>
          <t>30% off upto ₹75 (2025-06-25 - 2031-01-01)</t>
        </is>
      </c>
      <c r="H279" t="inlineStr">
        <is>
          <t>ONLINE</t>
        </is>
      </c>
      <c r="I279" t="inlineStr">
        <is>
          <t>DELIVERED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O2</t>
        </is>
      </c>
      <c r="N279" t="inlineStr">
        <is>
          <t>36</t>
        </is>
      </c>
      <c r="O279" t="n">
        <v>916</v>
      </c>
      <c r="P279" t="n">
        <v>3.5</v>
      </c>
      <c r="Q279" t="n">
        <v>0</v>
      </c>
      <c r="R279" t="n">
        <v>75</v>
      </c>
      <c r="S279" t="n">
        <v>0</v>
      </c>
      <c r="T279" t="n">
        <v>0</v>
      </c>
      <c r="U279" t="n">
        <v>0</v>
      </c>
      <c r="V279" t="n">
        <v>42.23</v>
      </c>
      <c r="W279" t="n">
        <v>886.73</v>
      </c>
      <c r="X279" t="n">
        <v>844.5</v>
      </c>
      <c r="Y279" t="n">
        <v>19</v>
      </c>
      <c r="Z279" t="n">
        <v>160.46</v>
      </c>
      <c r="AA279" t="n">
        <v>16.32</v>
      </c>
      <c r="AB279" t="n">
        <v>176.78</v>
      </c>
      <c r="AC279" t="n">
        <v>31.82</v>
      </c>
      <c r="AD279" t="n">
        <v>0</v>
      </c>
      <c r="AE279" t="n">
        <v>844.5</v>
      </c>
      <c r="AF279" t="n">
        <v>0</v>
      </c>
      <c r="AG279" t="n">
        <v>0</v>
      </c>
      <c r="AH279" t="n">
        <v>0.84</v>
      </c>
      <c r="AI279" t="n">
        <v>42.23</v>
      </c>
      <c r="AJ279" t="n">
        <v>0</v>
      </c>
      <c r="AK279" t="n">
        <v>74.89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251.67</v>
      </c>
      <c r="AV279" t="n">
        <v>0</v>
      </c>
      <c r="AW279" t="n">
        <v>635.0599999999999</v>
      </c>
      <c r="AX279" t="inlineStr">
        <is>
          <t>settled</t>
        </is>
      </c>
      <c r="AY279" t="inlineStr">
        <is>
          <t>2026-01-14 05:30:00</t>
        </is>
      </c>
      <c r="AZ279" t="inlineStr">
        <is>
          <t>CITIN26605478364</t>
        </is>
      </c>
      <c r="BA279" t="n">
        <v>0</v>
      </c>
      <c r="BB279" t="inlineStr">
        <is>
          <t>29f8ed37a5df5b45afa2a9078d5fff85b9217fdbdb1600dfc423fd0869fddcce</t>
        </is>
      </c>
    </row>
    <row r="280">
      <c r="A280" t="inlineStr">
        <is>
          <t>275</t>
        </is>
      </c>
      <c r="B280" t="inlineStr">
        <is>
          <t>7665461914</t>
        </is>
      </c>
      <c r="C280" t="inlineStr">
        <is>
          <t>2026-01-10 17:58:17</t>
        </is>
      </c>
      <c r="D280" t="inlineStr">
        <is>
          <t>2</t>
        </is>
      </c>
      <c r="E280" t="inlineStr">
        <is>
          <t>Sha Sha - Shandaar Shawarma</t>
        </is>
      </c>
      <c r="F280" t="inlineStr">
        <is>
          <t>18557902</t>
        </is>
      </c>
      <c r="G280" t="inlineStr">
        <is>
          <t>NA</t>
        </is>
      </c>
      <c r="H280" t="inlineStr">
        <is>
          <t>ONLINE</t>
        </is>
      </c>
      <c r="I280" t="inlineStr">
        <is>
          <t>DELIVERED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O2</t>
        </is>
      </c>
      <c r="N280" t="inlineStr">
        <is>
          <t>36</t>
        </is>
      </c>
      <c r="O280" t="n">
        <v>219</v>
      </c>
      <c r="P280" t="n">
        <v>3.5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11.13</v>
      </c>
      <c r="W280" t="n">
        <v>233.63</v>
      </c>
      <c r="X280" t="n">
        <v>222.5</v>
      </c>
      <c r="Y280" t="n">
        <v>19</v>
      </c>
      <c r="Z280" t="n">
        <v>42.28</v>
      </c>
      <c r="AA280" t="n">
        <v>4.3</v>
      </c>
      <c r="AB280" t="n">
        <v>46.58</v>
      </c>
      <c r="AC280" t="n">
        <v>8.380000000000001</v>
      </c>
      <c r="AD280" t="n">
        <v>0</v>
      </c>
      <c r="AE280" t="n">
        <v>222.5</v>
      </c>
      <c r="AF280" t="n">
        <v>0</v>
      </c>
      <c r="AG280" t="n">
        <v>0</v>
      </c>
      <c r="AH280" t="n">
        <v>0.22</v>
      </c>
      <c r="AI280" t="n">
        <v>11.13</v>
      </c>
      <c r="AJ280" t="n">
        <v>0</v>
      </c>
      <c r="AK280" t="n">
        <v>19.73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66.31</v>
      </c>
      <c r="AV280" t="n">
        <v>0</v>
      </c>
      <c r="AW280" t="n">
        <v>167.32</v>
      </c>
      <c r="AX280" t="inlineStr">
        <is>
          <t>settled</t>
        </is>
      </c>
      <c r="AY280" t="inlineStr">
        <is>
          <t>2026-01-14 05:30:00</t>
        </is>
      </c>
      <c r="AZ280" t="inlineStr">
        <is>
          <t>CITIN26605478364</t>
        </is>
      </c>
      <c r="BA280" t="n">
        <v>0</v>
      </c>
      <c r="BB280" t="inlineStr">
        <is>
          <t>837e1fb2c774c59a2a269c9984f230a30e22b8d3b960d84be97531a97407a013</t>
        </is>
      </c>
    </row>
    <row r="281">
      <c r="A281" t="inlineStr">
        <is>
          <t>276</t>
        </is>
      </c>
      <c r="B281" t="inlineStr">
        <is>
          <t>7674057609</t>
        </is>
      </c>
      <c r="C281" t="inlineStr">
        <is>
          <t>2026-01-10 17:59:06</t>
        </is>
      </c>
      <c r="D281" t="inlineStr">
        <is>
          <t>2</t>
        </is>
      </c>
      <c r="E281" t="inlineStr">
        <is>
          <t>Sha Sha - Shandaar Shawarma</t>
        </is>
      </c>
      <c r="F281" t="inlineStr">
        <is>
          <t>18557902</t>
        </is>
      </c>
      <c r="G281" t="inlineStr">
        <is>
          <t>NA</t>
        </is>
      </c>
      <c r="H281" t="inlineStr">
        <is>
          <t>ONLINE</t>
        </is>
      </c>
      <c r="I281" t="inlineStr">
        <is>
          <t>DELIVERED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O2</t>
        </is>
      </c>
      <c r="N281" t="inlineStr">
        <is>
          <t>36</t>
        </is>
      </c>
      <c r="O281" t="n">
        <v>219</v>
      </c>
      <c r="P281" t="n">
        <v>3.5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11.13</v>
      </c>
      <c r="W281" t="n">
        <v>233.63</v>
      </c>
      <c r="X281" t="n">
        <v>222.5</v>
      </c>
      <c r="Y281" t="n">
        <v>19</v>
      </c>
      <c r="Z281" t="n">
        <v>42.28</v>
      </c>
      <c r="AA281" t="n">
        <v>4.3</v>
      </c>
      <c r="AB281" t="n">
        <v>46.58</v>
      </c>
      <c r="AC281" t="n">
        <v>8.380000000000001</v>
      </c>
      <c r="AD281" t="n">
        <v>0</v>
      </c>
      <c r="AE281" t="n">
        <v>222.5</v>
      </c>
      <c r="AF281" t="n">
        <v>0</v>
      </c>
      <c r="AG281" t="n">
        <v>0</v>
      </c>
      <c r="AH281" t="n">
        <v>0.22</v>
      </c>
      <c r="AI281" t="n">
        <v>11.13</v>
      </c>
      <c r="AJ281" t="n">
        <v>0</v>
      </c>
      <c r="AK281" t="n">
        <v>19.73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66.31</v>
      </c>
      <c r="AV281" t="n">
        <v>0</v>
      </c>
      <c r="AW281" t="n">
        <v>167.32</v>
      </c>
      <c r="AX281" t="inlineStr">
        <is>
          <t>settled</t>
        </is>
      </c>
      <c r="AY281" t="inlineStr">
        <is>
          <t>2026-01-14 05:30:00</t>
        </is>
      </c>
      <c r="AZ281" t="inlineStr">
        <is>
          <t>CITIN26605478364</t>
        </is>
      </c>
      <c r="BA281" t="n">
        <v>0</v>
      </c>
      <c r="BB281" t="inlineStr">
        <is>
          <t>837e1fb2c774c59a2a269c9984f230a30e22b8d3b960d84be97531a97407a013</t>
        </is>
      </c>
    </row>
    <row r="282">
      <c r="A282" t="inlineStr">
        <is>
          <t>277</t>
        </is>
      </c>
      <c r="B282" t="inlineStr">
        <is>
          <t>7665616476</t>
        </is>
      </c>
      <c r="C282" t="inlineStr">
        <is>
          <t>2026-01-10 18:28:29</t>
        </is>
      </c>
      <c r="D282" t="inlineStr">
        <is>
          <t>2</t>
        </is>
      </c>
      <c r="E282" t="inlineStr">
        <is>
          <t>Sha Sha - Shandaar Shawarma</t>
        </is>
      </c>
      <c r="F282" t="inlineStr">
        <is>
          <t>18557902</t>
        </is>
      </c>
      <c r="G282" t="inlineStr">
        <is>
          <t>30% off upto ₹75 (2025-06-25 - 2031-01-01)</t>
        </is>
      </c>
      <c r="H282" t="inlineStr">
        <is>
          <t>ONLINE</t>
        </is>
      </c>
      <c r="I282" t="inlineStr">
        <is>
          <t>DELIVERED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O2</t>
        </is>
      </c>
      <c r="N282" t="inlineStr">
        <is>
          <t>36</t>
        </is>
      </c>
      <c r="O282" t="n">
        <v>229</v>
      </c>
      <c r="P282" t="n">
        <v>3.5</v>
      </c>
      <c r="Q282" t="n">
        <v>0</v>
      </c>
      <c r="R282" t="n">
        <v>68.7</v>
      </c>
      <c r="S282" t="n">
        <v>0</v>
      </c>
      <c r="T282" t="n">
        <v>0</v>
      </c>
      <c r="U282" t="n">
        <v>0</v>
      </c>
      <c r="V282" t="n">
        <v>8.19</v>
      </c>
      <c r="W282" t="n">
        <v>171.99</v>
      </c>
      <c r="X282" t="n">
        <v>163.8</v>
      </c>
      <c r="Y282" t="n">
        <v>19</v>
      </c>
      <c r="Z282" t="n">
        <v>31.12</v>
      </c>
      <c r="AA282" t="n">
        <v>3.16</v>
      </c>
      <c r="AB282" t="n">
        <v>34.28</v>
      </c>
      <c r="AC282" t="n">
        <v>6.17</v>
      </c>
      <c r="AD282" t="n">
        <v>0</v>
      </c>
      <c r="AE282" t="n">
        <v>163.8</v>
      </c>
      <c r="AF282" t="n">
        <v>0</v>
      </c>
      <c r="AG282" t="n">
        <v>0</v>
      </c>
      <c r="AH282" t="n">
        <v>0.16</v>
      </c>
      <c r="AI282" t="n">
        <v>8.199999999999999</v>
      </c>
      <c r="AJ282" t="n">
        <v>-0.01</v>
      </c>
      <c r="AK282" t="n">
        <v>14.53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48.81</v>
      </c>
      <c r="AV282" t="n">
        <v>0</v>
      </c>
      <c r="AW282" t="n">
        <v>123.18</v>
      </c>
      <c r="AX282" t="inlineStr">
        <is>
          <t>settled</t>
        </is>
      </c>
      <c r="AY282" t="inlineStr">
        <is>
          <t>2026-01-14 05:30:00</t>
        </is>
      </c>
      <c r="AZ282" t="inlineStr">
        <is>
          <t>CITIN26605478364</t>
        </is>
      </c>
      <c r="BA282" t="n">
        <v>0</v>
      </c>
      <c r="BB282" t="inlineStr">
        <is>
          <t>019510b195e5619c98690c0fba51eb86eb62737b2dd98ae26275f8cf2db7f669</t>
        </is>
      </c>
    </row>
    <row r="283">
      <c r="A283" t="inlineStr">
        <is>
          <t>278</t>
        </is>
      </c>
      <c r="B283" t="inlineStr">
        <is>
          <t>7668058150</t>
        </is>
      </c>
      <c r="C283" t="inlineStr">
        <is>
          <t>2026-01-10 19:31:09</t>
        </is>
      </c>
      <c r="D283" t="inlineStr">
        <is>
          <t>2</t>
        </is>
      </c>
      <c r="E283" t="inlineStr">
        <is>
          <t>Sha Sha - Shandaar Shawarma</t>
        </is>
      </c>
      <c r="F283" t="inlineStr">
        <is>
          <t>18557902</t>
        </is>
      </c>
      <c r="G283" t="inlineStr">
        <is>
          <t>30% off upto ₹75 (2025-06-25 - 2031-01-01)</t>
        </is>
      </c>
      <c r="H283" t="inlineStr">
        <is>
          <t>ONLINE</t>
        </is>
      </c>
      <c r="I283" t="inlineStr">
        <is>
          <t>DELIVERED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O2</t>
        </is>
      </c>
      <c r="N283" t="inlineStr">
        <is>
          <t>36</t>
        </is>
      </c>
      <c r="O283" t="n">
        <v>229</v>
      </c>
      <c r="P283" t="n">
        <v>3.5</v>
      </c>
      <c r="Q283" t="n">
        <v>0</v>
      </c>
      <c r="R283" t="n">
        <v>68.7</v>
      </c>
      <c r="S283" t="n">
        <v>0</v>
      </c>
      <c r="T283" t="n">
        <v>0</v>
      </c>
      <c r="U283" t="n">
        <v>0</v>
      </c>
      <c r="V283" t="n">
        <v>8.19</v>
      </c>
      <c r="W283" t="n">
        <v>171.99</v>
      </c>
      <c r="X283" t="n">
        <v>163.8</v>
      </c>
      <c r="Y283" t="n">
        <v>19</v>
      </c>
      <c r="Z283" t="n">
        <v>31.12</v>
      </c>
      <c r="AA283" t="n">
        <v>3.16</v>
      </c>
      <c r="AB283" t="n">
        <v>34.28</v>
      </c>
      <c r="AC283" t="n">
        <v>6.17</v>
      </c>
      <c r="AD283" t="n">
        <v>0</v>
      </c>
      <c r="AE283" t="n">
        <v>163.8</v>
      </c>
      <c r="AF283" t="n">
        <v>0</v>
      </c>
      <c r="AG283" t="n">
        <v>0</v>
      </c>
      <c r="AH283" t="n">
        <v>0.16</v>
      </c>
      <c r="AI283" t="n">
        <v>8.199999999999999</v>
      </c>
      <c r="AJ283" t="n">
        <v>-0.01</v>
      </c>
      <c r="AK283" t="n">
        <v>14.53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48.81</v>
      </c>
      <c r="AV283" t="n">
        <v>0</v>
      </c>
      <c r="AW283" t="n">
        <v>123.18</v>
      </c>
      <c r="AX283" t="inlineStr">
        <is>
          <t>settled</t>
        </is>
      </c>
      <c r="AY283" t="inlineStr">
        <is>
          <t>2026-01-14 05:30:00</t>
        </is>
      </c>
      <c r="AZ283" t="inlineStr">
        <is>
          <t>CITIN26605478364</t>
        </is>
      </c>
      <c r="BA283" t="n">
        <v>0</v>
      </c>
      <c r="BB283" t="inlineStr">
        <is>
          <t>0e09dc92a10de46edbb31e90681b3e2bd11dd6a08d6f46f9772bea465b52b57f</t>
        </is>
      </c>
    </row>
    <row r="284">
      <c r="A284" t="inlineStr">
        <is>
          <t>279</t>
        </is>
      </c>
      <c r="B284" t="inlineStr">
        <is>
          <t>7661684175</t>
        </is>
      </c>
      <c r="C284" t="inlineStr">
        <is>
          <t>2026-01-10 20:11:23</t>
        </is>
      </c>
      <c r="D284" t="inlineStr">
        <is>
          <t>2</t>
        </is>
      </c>
      <c r="E284" t="inlineStr">
        <is>
          <t>Sha Sha - Shandaar Shawarma</t>
        </is>
      </c>
      <c r="F284" t="inlineStr">
        <is>
          <t>18557902</t>
        </is>
      </c>
      <c r="G284" t="inlineStr">
        <is>
          <t>30% off upto ₹75 (2025-06-25 - 2031-01-01)</t>
        </is>
      </c>
      <c r="H284" t="inlineStr">
        <is>
          <t>ONLINE</t>
        </is>
      </c>
      <c r="I284" t="inlineStr">
        <is>
          <t>DELIVERED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O2</t>
        </is>
      </c>
      <c r="N284" t="inlineStr">
        <is>
          <t>36</t>
        </is>
      </c>
      <c r="O284" t="n">
        <v>618</v>
      </c>
      <c r="P284" t="n">
        <v>3.5</v>
      </c>
      <c r="Q284" t="n">
        <v>0</v>
      </c>
      <c r="R284" t="n">
        <v>75</v>
      </c>
      <c r="S284" t="n">
        <v>0</v>
      </c>
      <c r="T284" t="n">
        <v>0</v>
      </c>
      <c r="U284" t="n">
        <v>0</v>
      </c>
      <c r="V284" t="n">
        <v>27.33</v>
      </c>
      <c r="W284" t="n">
        <v>573.83</v>
      </c>
      <c r="X284" t="n">
        <v>546.5</v>
      </c>
      <c r="Y284" t="n">
        <v>19</v>
      </c>
      <c r="Z284" t="n">
        <v>103.84</v>
      </c>
      <c r="AA284" t="n">
        <v>10.56</v>
      </c>
      <c r="AB284" t="n">
        <v>114.4</v>
      </c>
      <c r="AC284" t="n">
        <v>20.59</v>
      </c>
      <c r="AD284" t="n">
        <v>0</v>
      </c>
      <c r="AE284" t="n">
        <v>546.5</v>
      </c>
      <c r="AF284" t="n">
        <v>0</v>
      </c>
      <c r="AG284" t="n">
        <v>0</v>
      </c>
      <c r="AH284" t="n">
        <v>0.55</v>
      </c>
      <c r="AI284" t="n">
        <v>27.33</v>
      </c>
      <c r="AJ284" t="n">
        <v>0</v>
      </c>
      <c r="AK284" t="n">
        <v>48.47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162.87</v>
      </c>
      <c r="AV284" t="n">
        <v>0</v>
      </c>
      <c r="AW284" t="n">
        <v>410.96</v>
      </c>
      <c r="AX284" t="inlineStr">
        <is>
          <t>settled</t>
        </is>
      </c>
      <c r="AY284" t="inlineStr">
        <is>
          <t>2026-01-14 05:30:00</t>
        </is>
      </c>
      <c r="AZ284" t="inlineStr">
        <is>
          <t>CITIN26605478364</t>
        </is>
      </c>
      <c r="BA284" t="n">
        <v>0</v>
      </c>
      <c r="BB284" t="inlineStr">
        <is>
          <t>4afc4475eadd601d074b1817fd5fd5ec31071d1f6ef927c84d88075a079fa6b7</t>
        </is>
      </c>
    </row>
    <row r="285">
      <c r="A285" t="inlineStr">
        <is>
          <t>280</t>
        </is>
      </c>
      <c r="B285" t="inlineStr">
        <is>
          <t>7675500071</t>
        </is>
      </c>
      <c r="C285" t="inlineStr">
        <is>
          <t>2026-01-10 20:28:18</t>
        </is>
      </c>
      <c r="D285" t="inlineStr">
        <is>
          <t>2</t>
        </is>
      </c>
      <c r="E285" t="inlineStr">
        <is>
          <t>Sha Sha - Shandaar Shawarma</t>
        </is>
      </c>
      <c r="F285" t="inlineStr">
        <is>
          <t>18557902</t>
        </is>
      </c>
      <c r="G285" t="inlineStr">
        <is>
          <t>30% off upto ₹75 (2025-06-25 - 2031-01-01)</t>
        </is>
      </c>
      <c r="H285" t="inlineStr">
        <is>
          <t>ONLINE</t>
        </is>
      </c>
      <c r="I285" t="inlineStr">
        <is>
          <t>DELIVERED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O2</t>
        </is>
      </c>
      <c r="N285" t="inlineStr">
        <is>
          <t>36</t>
        </is>
      </c>
      <c r="O285" t="n">
        <v>345</v>
      </c>
      <c r="P285" t="n">
        <v>3.5</v>
      </c>
      <c r="Q285" t="n">
        <v>0</v>
      </c>
      <c r="R285" t="n">
        <v>75</v>
      </c>
      <c r="S285" t="n">
        <v>0</v>
      </c>
      <c r="T285" t="n">
        <v>0</v>
      </c>
      <c r="U285" t="n">
        <v>0</v>
      </c>
      <c r="V285" t="n">
        <v>13.68</v>
      </c>
      <c r="W285" t="n">
        <v>287.18</v>
      </c>
      <c r="X285" t="n">
        <v>273.5</v>
      </c>
      <c r="Y285" t="n">
        <v>19</v>
      </c>
      <c r="Z285" t="n">
        <v>51.96</v>
      </c>
      <c r="AA285" t="n">
        <v>5.28</v>
      </c>
      <c r="AB285" t="n">
        <v>57.24</v>
      </c>
      <c r="AC285" t="n">
        <v>10.3</v>
      </c>
      <c r="AD285" t="n">
        <v>0</v>
      </c>
      <c r="AE285" t="n">
        <v>273.5</v>
      </c>
      <c r="AF285" t="n">
        <v>0</v>
      </c>
      <c r="AG285" t="n">
        <v>0</v>
      </c>
      <c r="AH285" t="n">
        <v>0.27</v>
      </c>
      <c r="AI285" t="n">
        <v>13.68</v>
      </c>
      <c r="AJ285" t="n">
        <v>0</v>
      </c>
      <c r="AK285" t="n">
        <v>24.25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81.48999999999999</v>
      </c>
      <c r="AV285" t="n">
        <v>0</v>
      </c>
      <c r="AW285" t="n">
        <v>205.69</v>
      </c>
      <c r="AX285" t="inlineStr">
        <is>
          <t>settled</t>
        </is>
      </c>
      <c r="AY285" t="inlineStr">
        <is>
          <t>2026-01-14 05:30:00</t>
        </is>
      </c>
      <c r="AZ285" t="inlineStr">
        <is>
          <t>CITIN26605478364</t>
        </is>
      </c>
      <c r="BA285" t="n">
        <v>0</v>
      </c>
      <c r="BB285" t="inlineStr">
        <is>
          <t>72c34bce6d886f4439ed9a14721d2f6c56d2d574ad27f7951e7a7696dc8f6144</t>
        </is>
      </c>
    </row>
    <row r="286">
      <c r="A286" t="inlineStr">
        <is>
          <t>281</t>
        </is>
      </c>
      <c r="B286" t="inlineStr">
        <is>
          <t>7676057040</t>
        </is>
      </c>
      <c r="C286" t="inlineStr">
        <is>
          <t>2026-01-10 20:31:50</t>
        </is>
      </c>
      <c r="D286" t="inlineStr">
        <is>
          <t>2</t>
        </is>
      </c>
      <c r="E286" t="inlineStr">
        <is>
          <t>Sha Sha - Shandaar Shawarma</t>
        </is>
      </c>
      <c r="F286" t="inlineStr">
        <is>
          <t>18557902</t>
        </is>
      </c>
      <c r="G286" t="inlineStr">
        <is>
          <t>30% off upto ₹75 (2025-06-25 - 2031-01-01)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O2</t>
        </is>
      </c>
      <c r="N286" t="inlineStr">
        <is>
          <t>36</t>
        </is>
      </c>
      <c r="O286" t="n">
        <v>219</v>
      </c>
      <c r="P286" t="n">
        <v>3.5</v>
      </c>
      <c r="Q286" t="n">
        <v>0</v>
      </c>
      <c r="R286" t="n">
        <v>65.7</v>
      </c>
      <c r="S286" t="n">
        <v>0</v>
      </c>
      <c r="T286" t="n">
        <v>0</v>
      </c>
      <c r="U286" t="n">
        <v>0</v>
      </c>
      <c r="V286" t="n">
        <v>7.84</v>
      </c>
      <c r="W286" t="n">
        <v>164.64</v>
      </c>
      <c r="X286" t="n">
        <v>156.8</v>
      </c>
      <c r="Y286" t="n">
        <v>19</v>
      </c>
      <c r="Z286" t="n">
        <v>29.79</v>
      </c>
      <c r="AA286" t="n">
        <v>3.03</v>
      </c>
      <c r="AB286" t="n">
        <v>32.82</v>
      </c>
      <c r="AC286" t="n">
        <v>5.91</v>
      </c>
      <c r="AD286" t="n">
        <v>0</v>
      </c>
      <c r="AE286" t="n">
        <v>156.8</v>
      </c>
      <c r="AF286" t="n">
        <v>0</v>
      </c>
      <c r="AG286" t="n">
        <v>0</v>
      </c>
      <c r="AH286" t="n">
        <v>0.16</v>
      </c>
      <c r="AI286" t="n">
        <v>7.85</v>
      </c>
      <c r="AJ286" t="n">
        <v>-0.01</v>
      </c>
      <c r="AK286" t="n">
        <v>13.92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46.74</v>
      </c>
      <c r="AV286" t="n">
        <v>0</v>
      </c>
      <c r="AW286" t="n">
        <v>117.9</v>
      </c>
      <c r="AX286" t="inlineStr">
        <is>
          <t>settled</t>
        </is>
      </c>
      <c r="AY286" t="inlineStr">
        <is>
          <t>2026-01-14 05:30:00</t>
        </is>
      </c>
      <c r="AZ286" t="inlineStr">
        <is>
          <t>CITIN26605478364</t>
        </is>
      </c>
      <c r="BA286" t="n">
        <v>0</v>
      </c>
      <c r="BB286" t="inlineStr">
        <is>
          <t>f655a953b0ea96e2aade5cc3c62d1f66d75a1a4ee485b9975acfc2f07d7faf6e</t>
        </is>
      </c>
    </row>
    <row r="287">
      <c r="A287" t="inlineStr">
        <is>
          <t>282</t>
        </is>
      </c>
      <c r="B287" t="inlineStr">
        <is>
          <t>7664273918</t>
        </is>
      </c>
      <c r="C287" t="inlineStr">
        <is>
          <t>2026-01-10 20:51:27</t>
        </is>
      </c>
      <c r="D287" t="inlineStr">
        <is>
          <t>2</t>
        </is>
      </c>
      <c r="E287" t="inlineStr">
        <is>
          <t>Sha Sha - Shandaar Shawarma</t>
        </is>
      </c>
      <c r="F287" t="inlineStr">
        <is>
          <t>18557902</t>
        </is>
      </c>
      <c r="G287" t="inlineStr">
        <is>
          <t>30% off upto ₹75 (2025-06-25 - 2031-01-01)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O2</t>
        </is>
      </c>
      <c r="N287" t="inlineStr">
        <is>
          <t>36</t>
        </is>
      </c>
      <c r="O287" t="n">
        <v>229</v>
      </c>
      <c r="P287" t="n">
        <v>3.5</v>
      </c>
      <c r="Q287" t="n">
        <v>0</v>
      </c>
      <c r="R287" t="n">
        <v>68.7</v>
      </c>
      <c r="S287" t="n">
        <v>0</v>
      </c>
      <c r="T287" t="n">
        <v>0</v>
      </c>
      <c r="U287" t="n">
        <v>0</v>
      </c>
      <c r="V287" t="n">
        <v>8.19</v>
      </c>
      <c r="W287" t="n">
        <v>171.99</v>
      </c>
      <c r="X287" t="n">
        <v>163.8</v>
      </c>
      <c r="Y287" t="n">
        <v>19</v>
      </c>
      <c r="Z287" t="n">
        <v>31.12</v>
      </c>
      <c r="AA287" t="n">
        <v>3.16</v>
      </c>
      <c r="AB287" t="n">
        <v>34.28</v>
      </c>
      <c r="AC287" t="n">
        <v>6.17</v>
      </c>
      <c r="AD287" t="n">
        <v>0</v>
      </c>
      <c r="AE287" t="n">
        <v>163.8</v>
      </c>
      <c r="AF287" t="n">
        <v>0</v>
      </c>
      <c r="AG287" t="n">
        <v>0</v>
      </c>
      <c r="AH287" t="n">
        <v>0.16</v>
      </c>
      <c r="AI287" t="n">
        <v>8.199999999999999</v>
      </c>
      <c r="AJ287" t="n">
        <v>-0.01</v>
      </c>
      <c r="AK287" t="n">
        <v>14.53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48.81</v>
      </c>
      <c r="AV287" t="n">
        <v>0</v>
      </c>
      <c r="AW287" t="n">
        <v>123.18</v>
      </c>
      <c r="AX287" t="inlineStr">
        <is>
          <t>settled</t>
        </is>
      </c>
      <c r="AY287" t="inlineStr">
        <is>
          <t>2026-01-14 05:30:00</t>
        </is>
      </c>
      <c r="AZ287" t="inlineStr">
        <is>
          <t>CITIN26605478364</t>
        </is>
      </c>
      <c r="BA287" t="n">
        <v>0</v>
      </c>
      <c r="BB287" t="inlineStr">
        <is>
          <t>65b08775a3a8b7376a3c9a6279b29729c739e83aff330bad2a8e203e8b67987f</t>
        </is>
      </c>
    </row>
    <row r="288">
      <c r="A288" t="inlineStr">
        <is>
          <t>283</t>
        </is>
      </c>
      <c r="B288" t="inlineStr">
        <is>
          <t>7677489809</t>
        </is>
      </c>
      <c r="C288" t="inlineStr">
        <is>
          <t>2026-01-10 21:13:00</t>
        </is>
      </c>
      <c r="D288" t="inlineStr">
        <is>
          <t>2</t>
        </is>
      </c>
      <c r="E288" t="inlineStr">
        <is>
          <t>Sha Sha - Shandaar Shawarma</t>
        </is>
      </c>
      <c r="F288" t="inlineStr">
        <is>
          <t>18557902</t>
        </is>
      </c>
      <c r="G288" t="inlineStr">
        <is>
          <t>30% off upto ₹75 (2025-06-25 - 2031-01-01)</t>
        </is>
      </c>
      <c r="H288" t="inlineStr">
        <is>
          <t>ONLINE</t>
        </is>
      </c>
      <c r="I288" t="inlineStr">
        <is>
          <t>DELIVERED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O2</t>
        </is>
      </c>
      <c r="N288" t="inlineStr">
        <is>
          <t>36</t>
        </is>
      </c>
      <c r="O288" t="n">
        <v>219</v>
      </c>
      <c r="P288" t="n">
        <v>3.5</v>
      </c>
      <c r="Q288" t="n">
        <v>0</v>
      </c>
      <c r="R288" t="n">
        <v>65.7</v>
      </c>
      <c r="S288" t="n">
        <v>0</v>
      </c>
      <c r="T288" t="n">
        <v>0</v>
      </c>
      <c r="U288" t="n">
        <v>0</v>
      </c>
      <c r="V288" t="n">
        <v>7.84</v>
      </c>
      <c r="W288" t="n">
        <v>164.64</v>
      </c>
      <c r="X288" t="n">
        <v>156.8</v>
      </c>
      <c r="Y288" t="n">
        <v>19</v>
      </c>
      <c r="Z288" t="n">
        <v>29.79</v>
      </c>
      <c r="AA288" t="n">
        <v>3.03</v>
      </c>
      <c r="AB288" t="n">
        <v>32.82</v>
      </c>
      <c r="AC288" t="n">
        <v>5.91</v>
      </c>
      <c r="AD288" t="n">
        <v>0</v>
      </c>
      <c r="AE288" t="n">
        <v>156.8</v>
      </c>
      <c r="AF288" t="n">
        <v>0</v>
      </c>
      <c r="AG288" t="n">
        <v>0</v>
      </c>
      <c r="AH288" t="n">
        <v>0.16</v>
      </c>
      <c r="AI288" t="n">
        <v>7.85</v>
      </c>
      <c r="AJ288" t="n">
        <v>-0.01</v>
      </c>
      <c r="AK288" t="n">
        <v>13.92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46.74</v>
      </c>
      <c r="AV288" t="n">
        <v>0</v>
      </c>
      <c r="AW288" t="n">
        <v>117.9</v>
      </c>
      <c r="AX288" t="inlineStr">
        <is>
          <t>settled</t>
        </is>
      </c>
      <c r="AY288" t="inlineStr">
        <is>
          <t>2026-01-14 05:30:00</t>
        </is>
      </c>
      <c r="AZ288" t="inlineStr">
        <is>
          <t>CITIN26605478364</t>
        </is>
      </c>
      <c r="BA288" t="n">
        <v>0</v>
      </c>
      <c r="BB288" t="inlineStr">
        <is>
          <t>46d7458e0c74c9164e0c4d5fec11235cc61cc42595a55cb82260210a97e0a372</t>
        </is>
      </c>
    </row>
    <row r="289">
      <c r="A289" t="inlineStr">
        <is>
          <t>284</t>
        </is>
      </c>
      <c r="B289" t="inlineStr">
        <is>
          <t>7664179634</t>
        </is>
      </c>
      <c r="C289" t="inlineStr">
        <is>
          <t>2026-01-10 21:32:10</t>
        </is>
      </c>
      <c r="D289" t="inlineStr">
        <is>
          <t>2</t>
        </is>
      </c>
      <c r="E289" t="inlineStr">
        <is>
          <t>Sha Sha - Shandaar Shawarma</t>
        </is>
      </c>
      <c r="F289" t="inlineStr">
        <is>
          <t>18557902</t>
        </is>
      </c>
      <c r="G289" t="inlineStr">
        <is>
          <t>30% off upto ₹75 (2025-06-25 - 2031-01-01)</t>
        </is>
      </c>
      <c r="H289" t="inlineStr">
        <is>
          <t>ONLINE</t>
        </is>
      </c>
      <c r="I289" t="inlineStr">
        <is>
          <t>DELIVERED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O2</t>
        </is>
      </c>
      <c r="N289" t="inlineStr">
        <is>
          <t>36</t>
        </is>
      </c>
      <c r="O289" t="n">
        <v>219</v>
      </c>
      <c r="P289" t="n">
        <v>3.5</v>
      </c>
      <c r="Q289" t="n">
        <v>0</v>
      </c>
      <c r="R289" t="n">
        <v>65.7</v>
      </c>
      <c r="S289" t="n">
        <v>0</v>
      </c>
      <c r="T289" t="n">
        <v>0</v>
      </c>
      <c r="U289" t="n">
        <v>0</v>
      </c>
      <c r="V289" t="n">
        <v>7.84</v>
      </c>
      <c r="W289" t="n">
        <v>164.64</v>
      </c>
      <c r="X289" t="n">
        <v>156.8</v>
      </c>
      <c r="Y289" t="n">
        <v>19</v>
      </c>
      <c r="Z289" t="n">
        <v>29.79</v>
      </c>
      <c r="AA289" t="n">
        <v>3.03</v>
      </c>
      <c r="AB289" t="n">
        <v>32.82</v>
      </c>
      <c r="AC289" t="n">
        <v>5.91</v>
      </c>
      <c r="AD289" t="n">
        <v>0</v>
      </c>
      <c r="AE289" t="n">
        <v>156.8</v>
      </c>
      <c r="AF289" t="n">
        <v>0</v>
      </c>
      <c r="AG289" t="n">
        <v>0</v>
      </c>
      <c r="AH289" t="n">
        <v>0.16</v>
      </c>
      <c r="AI289" t="n">
        <v>7.85</v>
      </c>
      <c r="AJ289" t="n">
        <v>-0.01</v>
      </c>
      <c r="AK289" t="n">
        <v>13.92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46.74</v>
      </c>
      <c r="AV289" t="n">
        <v>0</v>
      </c>
      <c r="AW289" t="n">
        <v>117.9</v>
      </c>
      <c r="AX289" t="inlineStr">
        <is>
          <t>settled</t>
        </is>
      </c>
      <c r="AY289" t="inlineStr">
        <is>
          <t>2026-01-14 05:30:00</t>
        </is>
      </c>
      <c r="AZ289" t="inlineStr">
        <is>
          <t>CITIN26605478364</t>
        </is>
      </c>
      <c r="BA289" t="n">
        <v>0</v>
      </c>
      <c r="BB289" t="inlineStr">
        <is>
          <t>aa506c6c1c3f40fd8798329f310fdd8beb46a3621c7f93ced42a104558a5109d</t>
        </is>
      </c>
    </row>
    <row r="290">
      <c r="A290" t="inlineStr">
        <is>
          <t>285</t>
        </is>
      </c>
      <c r="B290" t="inlineStr">
        <is>
          <t>7676595903</t>
        </is>
      </c>
      <c r="C290" t="inlineStr">
        <is>
          <t>2026-01-10 23:03:48</t>
        </is>
      </c>
      <c r="D290" t="inlineStr">
        <is>
          <t>2</t>
        </is>
      </c>
      <c r="E290" t="inlineStr">
        <is>
          <t>Sha Sha - Shandaar Shawarma</t>
        </is>
      </c>
      <c r="F290" t="inlineStr">
        <is>
          <t>18557902</t>
        </is>
      </c>
      <c r="G290" t="inlineStr">
        <is>
          <t>30% off upto ₹75 (2025-06-25 - 2031-01-01)</t>
        </is>
      </c>
      <c r="H290" t="inlineStr">
        <is>
          <t>ONLINE</t>
        </is>
      </c>
      <c r="I290" t="inlineStr">
        <is>
          <t>DELIVERED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O2</t>
        </is>
      </c>
      <c r="N290" t="inlineStr">
        <is>
          <t>36</t>
        </is>
      </c>
      <c r="O290" t="n">
        <v>229</v>
      </c>
      <c r="P290" t="n">
        <v>3.5</v>
      </c>
      <c r="Q290" t="n">
        <v>0</v>
      </c>
      <c r="R290" t="n">
        <v>68.7</v>
      </c>
      <c r="S290" t="n">
        <v>0</v>
      </c>
      <c r="T290" t="n">
        <v>0</v>
      </c>
      <c r="U290" t="n">
        <v>0</v>
      </c>
      <c r="V290" t="n">
        <v>8.19</v>
      </c>
      <c r="W290" t="n">
        <v>171.99</v>
      </c>
      <c r="X290" t="n">
        <v>163.8</v>
      </c>
      <c r="Y290" t="n">
        <v>19</v>
      </c>
      <c r="Z290" t="n">
        <v>31.12</v>
      </c>
      <c r="AA290" t="n">
        <v>3.16</v>
      </c>
      <c r="AB290" t="n">
        <v>34.28</v>
      </c>
      <c r="AC290" t="n">
        <v>6.17</v>
      </c>
      <c r="AD290" t="n">
        <v>0</v>
      </c>
      <c r="AE290" t="n">
        <v>163.8</v>
      </c>
      <c r="AF290" t="n">
        <v>0</v>
      </c>
      <c r="AG290" t="n">
        <v>0</v>
      </c>
      <c r="AH290" t="n">
        <v>0.16</v>
      </c>
      <c r="AI290" t="n">
        <v>8.199999999999999</v>
      </c>
      <c r="AJ290" t="n">
        <v>-0.01</v>
      </c>
      <c r="AK290" t="n">
        <v>14.53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48.81</v>
      </c>
      <c r="AV290" t="n">
        <v>0</v>
      </c>
      <c r="AW290" t="n">
        <v>123.18</v>
      </c>
      <c r="AX290" t="inlineStr">
        <is>
          <t>settled</t>
        </is>
      </c>
      <c r="AY290" t="inlineStr">
        <is>
          <t>2026-01-14 05:30:00</t>
        </is>
      </c>
      <c r="AZ290" t="inlineStr">
        <is>
          <t>CITIN26605478364</t>
        </is>
      </c>
      <c r="BA290" t="n">
        <v>0</v>
      </c>
      <c r="BB290" t="inlineStr">
        <is>
          <t>15a970df4053891563313c1f7c28d262b98a5826439e949d8f30d4d9e4918775</t>
        </is>
      </c>
    </row>
    <row r="291">
      <c r="A291" t="inlineStr">
        <is>
          <t>286</t>
        </is>
      </c>
      <c r="B291" t="inlineStr">
        <is>
          <t>7677487000</t>
        </is>
      </c>
      <c r="C291" t="inlineStr">
        <is>
          <t>2026-01-10 23:15:06</t>
        </is>
      </c>
      <c r="D291" t="inlineStr">
        <is>
          <t>2</t>
        </is>
      </c>
      <c r="E291" t="inlineStr">
        <is>
          <t>Sha Sha - Shandaar Shawarma</t>
        </is>
      </c>
      <c r="F291" t="inlineStr">
        <is>
          <t>18557902</t>
        </is>
      </c>
      <c r="G291" t="inlineStr">
        <is>
          <t>30% off upto ₹75 (2025-06-25 - 2031-01-01)</t>
        </is>
      </c>
      <c r="H291" t="inlineStr">
        <is>
          <t>ONLINE</t>
        </is>
      </c>
      <c r="I291" t="inlineStr">
        <is>
          <t>DELIVERED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O2</t>
        </is>
      </c>
      <c r="N291" t="inlineStr">
        <is>
          <t>36</t>
        </is>
      </c>
      <c r="O291" t="n">
        <v>229</v>
      </c>
      <c r="P291" t="n">
        <v>3.5</v>
      </c>
      <c r="Q291" t="n">
        <v>0</v>
      </c>
      <c r="R291" t="n">
        <v>68.7</v>
      </c>
      <c r="S291" t="n">
        <v>0</v>
      </c>
      <c r="T291" t="n">
        <v>0</v>
      </c>
      <c r="U291" t="n">
        <v>0</v>
      </c>
      <c r="V291" t="n">
        <v>8.19</v>
      </c>
      <c r="W291" t="n">
        <v>171.99</v>
      </c>
      <c r="X291" t="n">
        <v>163.8</v>
      </c>
      <c r="Y291" t="n">
        <v>19</v>
      </c>
      <c r="Z291" t="n">
        <v>31.12</v>
      </c>
      <c r="AA291" t="n">
        <v>3.16</v>
      </c>
      <c r="AB291" t="n">
        <v>34.28</v>
      </c>
      <c r="AC291" t="n">
        <v>6.17</v>
      </c>
      <c r="AD291" t="n">
        <v>0</v>
      </c>
      <c r="AE291" t="n">
        <v>163.8</v>
      </c>
      <c r="AF291" t="n">
        <v>0</v>
      </c>
      <c r="AG291" t="n">
        <v>0</v>
      </c>
      <c r="AH291" t="n">
        <v>0.16</v>
      </c>
      <c r="AI291" t="n">
        <v>8.199999999999999</v>
      </c>
      <c r="AJ291" t="n">
        <v>-0.01</v>
      </c>
      <c r="AK291" t="n">
        <v>14.53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48.81</v>
      </c>
      <c r="AV291" t="n">
        <v>0</v>
      </c>
      <c r="AW291" t="n">
        <v>123.18</v>
      </c>
      <c r="AX291" t="inlineStr">
        <is>
          <t>settled</t>
        </is>
      </c>
      <c r="AY291" t="inlineStr">
        <is>
          <t>2026-01-14 05:30:00</t>
        </is>
      </c>
      <c r="AZ291" t="inlineStr">
        <is>
          <t>CITIN26605478364</t>
        </is>
      </c>
      <c r="BA291" t="n">
        <v>0</v>
      </c>
      <c r="BB291" t="inlineStr">
        <is>
          <t>48977de9fe52bc7dfef184540852136163d58477147f43aef06a008b21b868c9</t>
        </is>
      </c>
    </row>
    <row r="292">
      <c r="A292" t="inlineStr">
        <is>
          <t>287</t>
        </is>
      </c>
      <c r="B292" t="inlineStr">
        <is>
          <t>7677862383</t>
        </is>
      </c>
      <c r="C292" t="inlineStr">
        <is>
          <t>2026-01-10 23:26:49</t>
        </is>
      </c>
      <c r="D292" t="inlineStr">
        <is>
          <t>2</t>
        </is>
      </c>
      <c r="E292" t="inlineStr">
        <is>
          <t>Sha Sha - Shandaar Shawarma</t>
        </is>
      </c>
      <c r="F292" t="inlineStr">
        <is>
          <t>18557902</t>
        </is>
      </c>
      <c r="G292" t="inlineStr">
        <is>
          <t>30% off upto ₹75 (2025-06-25 - 2031-01-01)</t>
        </is>
      </c>
      <c r="H292" t="inlineStr">
        <is>
          <t>ONLINE</t>
        </is>
      </c>
      <c r="I292" t="inlineStr">
        <is>
          <t>DELIVERED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O2</t>
        </is>
      </c>
      <c r="N292" t="inlineStr">
        <is>
          <t>36</t>
        </is>
      </c>
      <c r="O292" t="n">
        <v>199</v>
      </c>
      <c r="P292" t="n">
        <v>3.5</v>
      </c>
      <c r="Q292" t="n">
        <v>0</v>
      </c>
      <c r="R292" t="n">
        <v>59.7</v>
      </c>
      <c r="S292" t="n">
        <v>0</v>
      </c>
      <c r="T292" t="n">
        <v>0</v>
      </c>
      <c r="U292" t="n">
        <v>0</v>
      </c>
      <c r="V292" t="n">
        <v>7.14</v>
      </c>
      <c r="W292" t="n">
        <v>149.94</v>
      </c>
      <c r="X292" t="n">
        <v>142.8</v>
      </c>
      <c r="Y292" t="n">
        <v>19</v>
      </c>
      <c r="Z292" t="n">
        <v>27.13</v>
      </c>
      <c r="AA292" t="n">
        <v>2.76</v>
      </c>
      <c r="AB292" t="n">
        <v>29.89</v>
      </c>
      <c r="AC292" t="n">
        <v>5.38</v>
      </c>
      <c r="AD292" t="n">
        <v>0</v>
      </c>
      <c r="AE292" t="n">
        <v>142.8</v>
      </c>
      <c r="AF292" t="n">
        <v>0</v>
      </c>
      <c r="AG292" t="n">
        <v>0</v>
      </c>
      <c r="AH292" t="n">
        <v>0.14</v>
      </c>
      <c r="AI292" t="n">
        <v>7.15</v>
      </c>
      <c r="AJ292" t="n">
        <v>-0.01</v>
      </c>
      <c r="AK292" t="n">
        <v>12.67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42.56</v>
      </c>
      <c r="AV292" t="n">
        <v>0</v>
      </c>
      <c r="AW292" t="n">
        <v>107.38</v>
      </c>
      <c r="AX292" t="inlineStr">
        <is>
          <t>settled</t>
        </is>
      </c>
      <c r="AY292" t="inlineStr">
        <is>
          <t>2026-01-14 05:30:00</t>
        </is>
      </c>
      <c r="AZ292" t="inlineStr">
        <is>
          <t>CITIN26605478364</t>
        </is>
      </c>
      <c r="BA292" t="n">
        <v>0</v>
      </c>
      <c r="BB292" t="inlineStr">
        <is>
          <t>1d7d7dece5ba3916b11022aef500b68a953dee00e7d93f86cf747e06d3170c0a</t>
        </is>
      </c>
    </row>
    <row r="293">
      <c r="A293" t="inlineStr">
        <is>
          <t>288</t>
        </is>
      </c>
      <c r="B293" t="inlineStr">
        <is>
          <t>7678070796</t>
        </is>
      </c>
      <c r="C293" t="inlineStr">
        <is>
          <t>2026-01-10 23:26:57</t>
        </is>
      </c>
      <c r="D293" t="inlineStr">
        <is>
          <t>2</t>
        </is>
      </c>
      <c r="E293" t="inlineStr">
        <is>
          <t>Sha Sha - Shandaar Shawarma</t>
        </is>
      </c>
      <c r="F293" t="inlineStr">
        <is>
          <t>18557902</t>
        </is>
      </c>
      <c r="G293" t="inlineStr">
        <is>
          <t>30% off upto ₹75 (2025-06-25 - 2031-01-01)</t>
        </is>
      </c>
      <c r="H293" t="inlineStr">
        <is>
          <t>ONLINE</t>
        </is>
      </c>
      <c r="I293" t="inlineStr">
        <is>
          <t>DELIVERED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O2</t>
        </is>
      </c>
      <c r="N293" t="inlineStr">
        <is>
          <t>36</t>
        </is>
      </c>
      <c r="O293" t="n">
        <v>229</v>
      </c>
      <c r="P293" t="n">
        <v>3.5</v>
      </c>
      <c r="Q293" t="n">
        <v>0</v>
      </c>
      <c r="R293" t="n">
        <v>68.7</v>
      </c>
      <c r="S293" t="n">
        <v>0</v>
      </c>
      <c r="T293" t="n">
        <v>0</v>
      </c>
      <c r="U293" t="n">
        <v>0</v>
      </c>
      <c r="V293" t="n">
        <v>8.19</v>
      </c>
      <c r="W293" t="n">
        <v>171.99</v>
      </c>
      <c r="X293" t="n">
        <v>163.8</v>
      </c>
      <c r="Y293" t="n">
        <v>19</v>
      </c>
      <c r="Z293" t="n">
        <v>31.12</v>
      </c>
      <c r="AA293" t="n">
        <v>3.16</v>
      </c>
      <c r="AB293" t="n">
        <v>34.28</v>
      </c>
      <c r="AC293" t="n">
        <v>6.17</v>
      </c>
      <c r="AD293" t="n">
        <v>0</v>
      </c>
      <c r="AE293" t="n">
        <v>163.8</v>
      </c>
      <c r="AF293" t="n">
        <v>0</v>
      </c>
      <c r="AG293" t="n">
        <v>0</v>
      </c>
      <c r="AH293" t="n">
        <v>0.16</v>
      </c>
      <c r="AI293" t="n">
        <v>8.199999999999999</v>
      </c>
      <c r="AJ293" t="n">
        <v>-0.01</v>
      </c>
      <c r="AK293" t="n">
        <v>14.53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48.81</v>
      </c>
      <c r="AV293" t="n">
        <v>0</v>
      </c>
      <c r="AW293" t="n">
        <v>123.18</v>
      </c>
      <c r="AX293" t="inlineStr">
        <is>
          <t>settled</t>
        </is>
      </c>
      <c r="AY293" t="inlineStr">
        <is>
          <t>2026-01-14 05:30:00</t>
        </is>
      </c>
      <c r="AZ293" t="inlineStr">
        <is>
          <t>CITIN26605478364</t>
        </is>
      </c>
      <c r="BA293" t="n">
        <v>0</v>
      </c>
      <c r="BB293" t="inlineStr">
        <is>
          <t>aff34c9f495f5ba4a0b3a466d21366947a18c4bd2c0f1a0b23d4b2fe86cc5a02</t>
        </is>
      </c>
    </row>
    <row r="294">
      <c r="A294" t="inlineStr">
        <is>
          <t>289</t>
        </is>
      </c>
      <c r="B294" t="inlineStr">
        <is>
          <t>7662412279</t>
        </is>
      </c>
      <c r="C294" t="inlineStr">
        <is>
          <t>2026-01-11 00:00:43</t>
        </is>
      </c>
      <c r="D294" t="inlineStr">
        <is>
          <t>2</t>
        </is>
      </c>
      <c r="E294" t="inlineStr">
        <is>
          <t>Sha Sha - Shandaar Shawarma</t>
        </is>
      </c>
      <c r="F294" t="inlineStr">
        <is>
          <t>18557902</t>
        </is>
      </c>
      <c r="G294" t="inlineStr">
        <is>
          <t>30% off upto ₹75 (2025-06-25 - 2031-01-01)</t>
        </is>
      </c>
      <c r="H294" t="inlineStr">
        <is>
          <t>ONLINE</t>
        </is>
      </c>
      <c r="I294" t="inlineStr">
        <is>
          <t>DELIVERED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O2</t>
        </is>
      </c>
      <c r="N294" t="inlineStr">
        <is>
          <t>36</t>
        </is>
      </c>
      <c r="O294" t="n">
        <v>229</v>
      </c>
      <c r="P294" t="n">
        <v>3.5</v>
      </c>
      <c r="Q294" t="n">
        <v>0</v>
      </c>
      <c r="R294" t="n">
        <v>68.7</v>
      </c>
      <c r="S294" t="n">
        <v>0</v>
      </c>
      <c r="T294" t="n">
        <v>0</v>
      </c>
      <c r="U294" t="n">
        <v>0</v>
      </c>
      <c r="V294" t="n">
        <v>8.19</v>
      </c>
      <c r="W294" t="n">
        <v>171.99</v>
      </c>
      <c r="X294" t="n">
        <v>163.8</v>
      </c>
      <c r="Y294" t="n">
        <v>19</v>
      </c>
      <c r="Z294" t="n">
        <v>31.12</v>
      </c>
      <c r="AA294" t="n">
        <v>3.16</v>
      </c>
      <c r="AB294" t="n">
        <v>34.28</v>
      </c>
      <c r="AC294" t="n">
        <v>6.17</v>
      </c>
      <c r="AD294" t="n">
        <v>0</v>
      </c>
      <c r="AE294" t="n">
        <v>163.8</v>
      </c>
      <c r="AF294" t="n">
        <v>0</v>
      </c>
      <c r="AG294" t="n">
        <v>0</v>
      </c>
      <c r="AH294" t="n">
        <v>0.16</v>
      </c>
      <c r="AI294" t="n">
        <v>8.199999999999999</v>
      </c>
      <c r="AJ294" t="n">
        <v>-0.01</v>
      </c>
      <c r="AK294" t="n">
        <v>14.53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48.81</v>
      </c>
      <c r="AV294" t="n">
        <v>0</v>
      </c>
      <c r="AW294" t="n">
        <v>123.18</v>
      </c>
      <c r="AX294" t="inlineStr">
        <is>
          <t>settled</t>
        </is>
      </c>
      <c r="AY294" t="inlineStr">
        <is>
          <t>2026-01-14 05:30:00</t>
        </is>
      </c>
      <c r="AZ294" t="inlineStr">
        <is>
          <t>CITIN26605478364</t>
        </is>
      </c>
      <c r="BA294" t="n">
        <v>0</v>
      </c>
      <c r="BB294" t="inlineStr">
        <is>
          <t>8e48e1080a0a48249f1b01193b75bb0a38fafa092609bd465d2289f0ad953714</t>
        </is>
      </c>
    </row>
    <row r="295">
      <c r="A295" t="inlineStr">
        <is>
          <t>290</t>
        </is>
      </c>
      <c r="B295" t="inlineStr">
        <is>
          <t>7671133849</t>
        </is>
      </c>
      <c r="C295" t="inlineStr">
        <is>
          <t>2026-01-11 00:01:11</t>
        </is>
      </c>
      <c r="D295" t="inlineStr">
        <is>
          <t>2</t>
        </is>
      </c>
      <c r="E295" t="inlineStr">
        <is>
          <t>Sha Sha - Shandaar Shawarma</t>
        </is>
      </c>
      <c r="F295" t="inlineStr">
        <is>
          <t>18557902</t>
        </is>
      </c>
      <c r="G295" t="inlineStr">
        <is>
          <t>30% off upto ₹75 (2025-06-25 - 2031-01-01)</t>
        </is>
      </c>
      <c r="H295" t="inlineStr">
        <is>
          <t>ONLINE</t>
        </is>
      </c>
      <c r="I295" t="inlineStr">
        <is>
          <t>DELIVERED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O2</t>
        </is>
      </c>
      <c r="N295" t="inlineStr">
        <is>
          <t>36</t>
        </is>
      </c>
      <c r="O295" t="n">
        <v>355</v>
      </c>
      <c r="P295" t="n">
        <v>3.5</v>
      </c>
      <c r="Q295" t="n">
        <v>0</v>
      </c>
      <c r="R295" t="n">
        <v>75</v>
      </c>
      <c r="S295" t="n">
        <v>0</v>
      </c>
      <c r="T295" t="n">
        <v>0</v>
      </c>
      <c r="U295" t="n">
        <v>0</v>
      </c>
      <c r="V295" t="n">
        <v>14.18</v>
      </c>
      <c r="W295" t="n">
        <v>297.68</v>
      </c>
      <c r="X295" t="n">
        <v>283.5</v>
      </c>
      <c r="Y295" t="n">
        <v>19</v>
      </c>
      <c r="Z295" t="n">
        <v>53.86</v>
      </c>
      <c r="AA295" t="n">
        <v>5.48</v>
      </c>
      <c r="AB295" t="n">
        <v>59.34</v>
      </c>
      <c r="AC295" t="n">
        <v>10.68</v>
      </c>
      <c r="AD295" t="n">
        <v>0</v>
      </c>
      <c r="AE295" t="n">
        <v>283.5</v>
      </c>
      <c r="AF295" t="n">
        <v>0</v>
      </c>
      <c r="AG295" t="n">
        <v>0</v>
      </c>
      <c r="AH295" t="n">
        <v>0.28</v>
      </c>
      <c r="AI295" t="n">
        <v>14.18</v>
      </c>
      <c r="AJ295" t="n">
        <v>0</v>
      </c>
      <c r="AK295" t="n">
        <v>25.14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84.48</v>
      </c>
      <c r="AV295" t="n">
        <v>0</v>
      </c>
      <c r="AW295" t="n">
        <v>213.2</v>
      </c>
      <c r="AX295" t="inlineStr">
        <is>
          <t>settled</t>
        </is>
      </c>
      <c r="AY295" t="inlineStr">
        <is>
          <t>2026-01-14 05:30:00</t>
        </is>
      </c>
      <c r="AZ295" t="inlineStr">
        <is>
          <t>CITIN26605478364</t>
        </is>
      </c>
      <c r="BA295" t="n">
        <v>0</v>
      </c>
      <c r="BB295" t="inlineStr">
        <is>
          <t>4f5a8f028b85e0f31403d755a023b6f95d519af98ac1209872219a55aeb33694</t>
        </is>
      </c>
    </row>
    <row r="296">
      <c r="A296" t="inlineStr">
        <is>
          <t>291</t>
        </is>
      </c>
      <c r="B296" t="inlineStr">
        <is>
          <t>7674286808</t>
        </is>
      </c>
      <c r="C296" t="inlineStr">
        <is>
          <t>2026-01-11 00:32:42</t>
        </is>
      </c>
      <c r="D296" t="inlineStr">
        <is>
          <t>2</t>
        </is>
      </c>
      <c r="E296" t="inlineStr">
        <is>
          <t>Sha Sha - Shandaar Shawarma</t>
        </is>
      </c>
      <c r="F296" t="inlineStr">
        <is>
          <t>18557902</t>
        </is>
      </c>
      <c r="G296" t="inlineStr">
        <is>
          <t>30% off upto ₹75 (2025-06-25 - 2031-01-01)</t>
        </is>
      </c>
      <c r="H296" t="inlineStr">
        <is>
          <t>ONLINE</t>
        </is>
      </c>
      <c r="I296" t="inlineStr">
        <is>
          <t>DELIVERED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O2</t>
        </is>
      </c>
      <c r="N296" t="inlineStr">
        <is>
          <t>36</t>
        </is>
      </c>
      <c r="O296" t="n">
        <v>229</v>
      </c>
      <c r="P296" t="n">
        <v>3.5</v>
      </c>
      <c r="Q296" t="n">
        <v>0</v>
      </c>
      <c r="R296" t="n">
        <v>68.7</v>
      </c>
      <c r="S296" t="n">
        <v>0</v>
      </c>
      <c r="T296" t="n">
        <v>0</v>
      </c>
      <c r="U296" t="n">
        <v>0</v>
      </c>
      <c r="V296" t="n">
        <v>8.19</v>
      </c>
      <c r="W296" t="n">
        <v>171.99</v>
      </c>
      <c r="X296" t="n">
        <v>163.8</v>
      </c>
      <c r="Y296" t="n">
        <v>19</v>
      </c>
      <c r="Z296" t="n">
        <v>31.12</v>
      </c>
      <c r="AA296" t="n">
        <v>3.16</v>
      </c>
      <c r="AB296" t="n">
        <v>34.28</v>
      </c>
      <c r="AC296" t="n">
        <v>6.17</v>
      </c>
      <c r="AD296" t="n">
        <v>0</v>
      </c>
      <c r="AE296" t="n">
        <v>163.8</v>
      </c>
      <c r="AF296" t="n">
        <v>0</v>
      </c>
      <c r="AG296" t="n">
        <v>0</v>
      </c>
      <c r="AH296" t="n">
        <v>0.16</v>
      </c>
      <c r="AI296" t="n">
        <v>8.199999999999999</v>
      </c>
      <c r="AJ296" t="n">
        <v>-0.01</v>
      </c>
      <c r="AK296" t="n">
        <v>14.53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48.81</v>
      </c>
      <c r="AV296" t="n">
        <v>0</v>
      </c>
      <c r="AW296" t="n">
        <v>123.18</v>
      </c>
      <c r="AX296" t="inlineStr">
        <is>
          <t>settled</t>
        </is>
      </c>
      <c r="AY296" t="inlineStr">
        <is>
          <t>2026-01-14 05:30:00</t>
        </is>
      </c>
      <c r="AZ296" t="inlineStr">
        <is>
          <t>CITIN26605478364</t>
        </is>
      </c>
      <c r="BA296" t="n">
        <v>0</v>
      </c>
      <c r="BB296" t="inlineStr">
        <is>
          <t>4813d3aa8c22a0c295b5e39a122a71defc73f6f2c8eb3c341673d58b6b47fcd4</t>
        </is>
      </c>
    </row>
    <row r="297">
      <c r="A297" t="inlineStr">
        <is>
          <t>292</t>
        </is>
      </c>
      <c r="B297" t="inlineStr">
        <is>
          <t>7673535130</t>
        </is>
      </c>
      <c r="C297" t="inlineStr">
        <is>
          <t>2026-01-11 00:34:34</t>
        </is>
      </c>
      <c r="D297" t="inlineStr">
        <is>
          <t>2</t>
        </is>
      </c>
      <c r="E297" t="inlineStr">
        <is>
          <t>Sha Sha - Shandaar Shawarma</t>
        </is>
      </c>
      <c r="F297" t="inlineStr">
        <is>
          <t>18557902</t>
        </is>
      </c>
      <c r="G297" t="inlineStr">
        <is>
          <t>30% off upto ₹75 (2025-06-25 - 2031-01-01)</t>
        </is>
      </c>
      <c r="H297" t="inlineStr">
        <is>
          <t>ONLINE</t>
        </is>
      </c>
      <c r="I297" t="inlineStr">
        <is>
          <t>DELIVERED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O2</t>
        </is>
      </c>
      <c r="N297" t="inlineStr">
        <is>
          <t>36</t>
        </is>
      </c>
      <c r="O297" t="n">
        <v>219</v>
      </c>
      <c r="P297" t="n">
        <v>3.5</v>
      </c>
      <c r="Q297" t="n">
        <v>0</v>
      </c>
      <c r="R297" t="n">
        <v>65.7</v>
      </c>
      <c r="S297" t="n">
        <v>0</v>
      </c>
      <c r="T297" t="n">
        <v>0</v>
      </c>
      <c r="U297" t="n">
        <v>0</v>
      </c>
      <c r="V297" t="n">
        <v>7.84</v>
      </c>
      <c r="W297" t="n">
        <v>164.64</v>
      </c>
      <c r="X297" t="n">
        <v>156.8</v>
      </c>
      <c r="Y297" t="n">
        <v>19</v>
      </c>
      <c r="Z297" t="n">
        <v>29.79</v>
      </c>
      <c r="AA297" t="n">
        <v>3.03</v>
      </c>
      <c r="AB297" t="n">
        <v>32.82</v>
      </c>
      <c r="AC297" t="n">
        <v>5.91</v>
      </c>
      <c r="AD297" t="n">
        <v>0</v>
      </c>
      <c r="AE297" t="n">
        <v>156.8</v>
      </c>
      <c r="AF297" t="n">
        <v>0</v>
      </c>
      <c r="AG297" t="n">
        <v>0</v>
      </c>
      <c r="AH297" t="n">
        <v>0.16</v>
      </c>
      <c r="AI297" t="n">
        <v>7.85</v>
      </c>
      <c r="AJ297" t="n">
        <v>-0.01</v>
      </c>
      <c r="AK297" t="n">
        <v>13.92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46.74</v>
      </c>
      <c r="AV297" t="n">
        <v>0</v>
      </c>
      <c r="AW297" t="n">
        <v>117.9</v>
      </c>
      <c r="AX297" t="inlineStr">
        <is>
          <t>settled</t>
        </is>
      </c>
      <c r="AY297" t="inlineStr">
        <is>
          <t>2026-01-14 05:30:00</t>
        </is>
      </c>
      <c r="AZ297" t="inlineStr">
        <is>
          <t>CITIN26605478364</t>
        </is>
      </c>
      <c r="BA297" t="n">
        <v>0</v>
      </c>
      <c r="BB297" t="inlineStr">
        <is>
          <t>b6a36b4a612c102f205f54968c23520756b949ba1dd35fc7724f342e1695e10f</t>
        </is>
      </c>
    </row>
    <row r="298">
      <c r="A298" t="inlineStr">
        <is>
          <t>293</t>
        </is>
      </c>
      <c r="B298" t="inlineStr">
        <is>
          <t>7668332665</t>
        </is>
      </c>
      <c r="C298" t="inlineStr">
        <is>
          <t>2026-01-11 00:42:16</t>
        </is>
      </c>
      <c r="D298" t="inlineStr">
        <is>
          <t>2</t>
        </is>
      </c>
      <c r="E298" t="inlineStr">
        <is>
          <t>Sha Sha - Shandaar Shawarma</t>
        </is>
      </c>
      <c r="F298" t="inlineStr">
        <is>
          <t>18557902</t>
        </is>
      </c>
      <c r="G298" t="inlineStr">
        <is>
          <t>30% off upto ₹75 (2025-06-25 - 2031-01-01)</t>
        </is>
      </c>
      <c r="H298" t="inlineStr">
        <is>
          <t>ONLINE</t>
        </is>
      </c>
      <c r="I298" t="inlineStr">
        <is>
          <t>DELIVERED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O2</t>
        </is>
      </c>
      <c r="N298" t="inlineStr">
        <is>
          <t>36</t>
        </is>
      </c>
      <c r="O298" t="n">
        <v>407</v>
      </c>
      <c r="P298" t="n">
        <v>3.5</v>
      </c>
      <c r="Q298" t="n">
        <v>0</v>
      </c>
      <c r="R298" t="n">
        <v>75</v>
      </c>
      <c r="S298" t="n">
        <v>0</v>
      </c>
      <c r="T298" t="n">
        <v>0</v>
      </c>
      <c r="U298" t="n">
        <v>0</v>
      </c>
      <c r="V298" t="n">
        <v>16.78</v>
      </c>
      <c r="W298" t="n">
        <v>352.28</v>
      </c>
      <c r="X298" t="n">
        <v>335.5</v>
      </c>
      <c r="Y298" t="n">
        <v>19</v>
      </c>
      <c r="Z298" t="n">
        <v>63.74</v>
      </c>
      <c r="AA298" t="n">
        <v>6.48</v>
      </c>
      <c r="AB298" t="n">
        <v>70.22</v>
      </c>
      <c r="AC298" t="n">
        <v>12.64</v>
      </c>
      <c r="AD298" t="n">
        <v>0</v>
      </c>
      <c r="AE298" t="n">
        <v>335.5</v>
      </c>
      <c r="AF298" t="n">
        <v>0</v>
      </c>
      <c r="AG298" t="n">
        <v>0</v>
      </c>
      <c r="AH298" t="n">
        <v>0.34</v>
      </c>
      <c r="AI298" t="n">
        <v>16.78</v>
      </c>
      <c r="AJ298" t="n">
        <v>0</v>
      </c>
      <c r="AK298" t="n">
        <v>29.76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99.98</v>
      </c>
      <c r="AV298" t="n">
        <v>0</v>
      </c>
      <c r="AW298" t="n">
        <v>252.3</v>
      </c>
      <c r="AX298" t="inlineStr">
        <is>
          <t>settled</t>
        </is>
      </c>
      <c r="AY298" t="inlineStr">
        <is>
          <t>2026-01-14 05:30:00</t>
        </is>
      </c>
      <c r="AZ298" t="inlineStr">
        <is>
          <t>CITIN26605478364</t>
        </is>
      </c>
      <c r="BA298" t="n">
        <v>0</v>
      </c>
      <c r="BB298" t="inlineStr">
        <is>
          <t>21466223310f6430ceb9566584c281e498189bba8228854e622ab095919c8254</t>
        </is>
      </c>
    </row>
    <row r="299">
      <c r="A299" t="inlineStr">
        <is>
          <t>294</t>
        </is>
      </c>
      <c r="B299" t="inlineStr">
        <is>
          <t>7666847291</t>
        </is>
      </c>
      <c r="C299" t="inlineStr">
        <is>
          <t>2026-01-11 01:09:55</t>
        </is>
      </c>
      <c r="D299" t="inlineStr">
        <is>
          <t>2</t>
        </is>
      </c>
      <c r="E299" t="inlineStr">
        <is>
          <t>Sha Sha - Shandaar Shawarma</t>
        </is>
      </c>
      <c r="F299" t="inlineStr">
        <is>
          <t>18557902</t>
        </is>
      </c>
      <c r="G299" t="inlineStr">
        <is>
          <t>30% off upto ₹75 (2025-06-25 - 2031-01-01)</t>
        </is>
      </c>
      <c r="H299" t="inlineStr">
        <is>
          <t>ONLINE</t>
        </is>
      </c>
      <c r="I299" t="inlineStr">
        <is>
          <t>DELIVERED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O2</t>
        </is>
      </c>
      <c r="N299" t="inlineStr">
        <is>
          <t>36</t>
        </is>
      </c>
      <c r="O299" t="n">
        <v>229</v>
      </c>
      <c r="P299" t="n">
        <v>3.5</v>
      </c>
      <c r="Q299" t="n">
        <v>0</v>
      </c>
      <c r="R299" t="n">
        <v>68.7</v>
      </c>
      <c r="S299" t="n">
        <v>0</v>
      </c>
      <c r="T299" t="n">
        <v>0</v>
      </c>
      <c r="U299" t="n">
        <v>0</v>
      </c>
      <c r="V299" t="n">
        <v>8.19</v>
      </c>
      <c r="W299" t="n">
        <v>171.99</v>
      </c>
      <c r="X299" t="n">
        <v>163.8</v>
      </c>
      <c r="Y299" t="n">
        <v>19</v>
      </c>
      <c r="Z299" t="n">
        <v>31.12</v>
      </c>
      <c r="AA299" t="n">
        <v>3.16</v>
      </c>
      <c r="AB299" t="n">
        <v>34.28</v>
      </c>
      <c r="AC299" t="n">
        <v>6.17</v>
      </c>
      <c r="AD299" t="n">
        <v>0</v>
      </c>
      <c r="AE299" t="n">
        <v>163.8</v>
      </c>
      <c r="AF299" t="n">
        <v>0</v>
      </c>
      <c r="AG299" t="n">
        <v>0</v>
      </c>
      <c r="AH299" t="n">
        <v>0.16</v>
      </c>
      <c r="AI299" t="n">
        <v>8.199999999999999</v>
      </c>
      <c r="AJ299" t="n">
        <v>-0.01</v>
      </c>
      <c r="AK299" t="n">
        <v>14.53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48.81</v>
      </c>
      <c r="AV299" t="n">
        <v>0</v>
      </c>
      <c r="AW299" t="n">
        <v>123.18</v>
      </c>
      <c r="AX299" t="inlineStr">
        <is>
          <t>settled</t>
        </is>
      </c>
      <c r="AY299" t="inlineStr">
        <is>
          <t>2026-01-14 05:30:00</t>
        </is>
      </c>
      <c r="AZ299" t="inlineStr">
        <is>
          <t>CITIN26605478364</t>
        </is>
      </c>
      <c r="BA299" t="n">
        <v>0</v>
      </c>
      <c r="BB299" t="inlineStr">
        <is>
          <t>8282357a3801c7d2151e82fa5b394e6c039259e3c96afddb94814a0081887d5c</t>
        </is>
      </c>
    </row>
    <row r="300">
      <c r="A300" t="inlineStr">
        <is>
          <t>295</t>
        </is>
      </c>
      <c r="B300" t="inlineStr">
        <is>
          <t>7677185784</t>
        </is>
      </c>
      <c r="C300" t="inlineStr">
        <is>
          <t>2026-01-11 01:14:46</t>
        </is>
      </c>
      <c r="D300" t="inlineStr">
        <is>
          <t>2</t>
        </is>
      </c>
      <c r="E300" t="inlineStr">
        <is>
          <t>Sha Sha - Shandaar Shawarma</t>
        </is>
      </c>
      <c r="F300" t="inlineStr">
        <is>
          <t>18557902</t>
        </is>
      </c>
      <c r="G300" t="inlineStr">
        <is>
          <t>30% off upto ₹75 (2025-06-25 - 2031-01-01)</t>
        </is>
      </c>
      <c r="H300" t="inlineStr">
        <is>
          <t>ONLINE</t>
        </is>
      </c>
      <c r="I300" t="inlineStr">
        <is>
          <t>DELIVERED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O2</t>
        </is>
      </c>
      <c r="N300" t="inlineStr">
        <is>
          <t>36</t>
        </is>
      </c>
      <c r="O300" t="n">
        <v>229</v>
      </c>
      <c r="P300" t="n">
        <v>3.5</v>
      </c>
      <c r="Q300" t="n">
        <v>0</v>
      </c>
      <c r="R300" t="n">
        <v>68.7</v>
      </c>
      <c r="S300" t="n">
        <v>0</v>
      </c>
      <c r="T300" t="n">
        <v>0</v>
      </c>
      <c r="U300" t="n">
        <v>0</v>
      </c>
      <c r="V300" t="n">
        <v>8.19</v>
      </c>
      <c r="W300" t="n">
        <v>171.99</v>
      </c>
      <c r="X300" t="n">
        <v>163.8</v>
      </c>
      <c r="Y300" t="n">
        <v>19</v>
      </c>
      <c r="Z300" t="n">
        <v>31.12</v>
      </c>
      <c r="AA300" t="n">
        <v>3.16</v>
      </c>
      <c r="AB300" t="n">
        <v>34.28</v>
      </c>
      <c r="AC300" t="n">
        <v>6.17</v>
      </c>
      <c r="AD300" t="n">
        <v>0</v>
      </c>
      <c r="AE300" t="n">
        <v>163.8</v>
      </c>
      <c r="AF300" t="n">
        <v>0</v>
      </c>
      <c r="AG300" t="n">
        <v>0</v>
      </c>
      <c r="AH300" t="n">
        <v>0.16</v>
      </c>
      <c r="AI300" t="n">
        <v>8.199999999999999</v>
      </c>
      <c r="AJ300" t="n">
        <v>-0.01</v>
      </c>
      <c r="AK300" t="n">
        <v>14.53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48.81</v>
      </c>
      <c r="AV300" t="n">
        <v>0</v>
      </c>
      <c r="AW300" t="n">
        <v>123.18</v>
      </c>
      <c r="AX300" t="inlineStr">
        <is>
          <t>settled</t>
        </is>
      </c>
      <c r="AY300" t="inlineStr">
        <is>
          <t>2026-01-14 05:30:00</t>
        </is>
      </c>
      <c r="AZ300" t="inlineStr">
        <is>
          <t>CITIN26605478364</t>
        </is>
      </c>
      <c r="BA300" t="n">
        <v>0</v>
      </c>
      <c r="BB300" t="inlineStr">
        <is>
          <t>139d3891ebba356ac8e931c57ecc6973750f1481fa4759c9ad665a29fd91eb44</t>
        </is>
      </c>
    </row>
    <row r="301">
      <c r="A301" t="inlineStr">
        <is>
          <t>296</t>
        </is>
      </c>
      <c r="B301" t="inlineStr">
        <is>
          <t>7677075373</t>
        </is>
      </c>
      <c r="C301" t="inlineStr">
        <is>
          <t>2026-01-11 01:19:45</t>
        </is>
      </c>
      <c r="D301" t="inlineStr">
        <is>
          <t>2</t>
        </is>
      </c>
      <c r="E301" t="inlineStr">
        <is>
          <t>Sha Sha - Shandaar Shawarma</t>
        </is>
      </c>
      <c r="F301" t="inlineStr">
        <is>
          <t>18557902</t>
        </is>
      </c>
      <c r="G301" t="inlineStr">
        <is>
          <t>30% off upto ₹75 (2025-06-25 - 2031-01-01)</t>
        </is>
      </c>
      <c r="H301" t="inlineStr">
        <is>
          <t>ONLINE</t>
        </is>
      </c>
      <c r="I301" t="inlineStr">
        <is>
          <t>DELIVERED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O2</t>
        </is>
      </c>
      <c r="N301" t="inlineStr">
        <is>
          <t>36</t>
        </is>
      </c>
      <c r="O301" t="n">
        <v>229</v>
      </c>
      <c r="P301" t="n">
        <v>3.5</v>
      </c>
      <c r="Q301" t="n">
        <v>0</v>
      </c>
      <c r="R301" t="n">
        <v>68.7</v>
      </c>
      <c r="S301" t="n">
        <v>0</v>
      </c>
      <c r="T301" t="n">
        <v>0</v>
      </c>
      <c r="U301" t="n">
        <v>0</v>
      </c>
      <c r="V301" t="n">
        <v>8.19</v>
      </c>
      <c r="W301" t="n">
        <v>171.99</v>
      </c>
      <c r="X301" t="n">
        <v>163.8</v>
      </c>
      <c r="Y301" t="n">
        <v>19</v>
      </c>
      <c r="Z301" t="n">
        <v>31.12</v>
      </c>
      <c r="AA301" t="n">
        <v>3.16</v>
      </c>
      <c r="AB301" t="n">
        <v>34.28</v>
      </c>
      <c r="AC301" t="n">
        <v>6.17</v>
      </c>
      <c r="AD301" t="n">
        <v>0</v>
      </c>
      <c r="AE301" t="n">
        <v>163.8</v>
      </c>
      <c r="AF301" t="n">
        <v>0</v>
      </c>
      <c r="AG301" t="n">
        <v>0</v>
      </c>
      <c r="AH301" t="n">
        <v>0.16</v>
      </c>
      <c r="AI301" t="n">
        <v>8.199999999999999</v>
      </c>
      <c r="AJ301" t="n">
        <v>-0.01</v>
      </c>
      <c r="AK301" t="n">
        <v>14.53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48.81</v>
      </c>
      <c r="AV301" t="n">
        <v>0</v>
      </c>
      <c r="AW301" t="n">
        <v>123.18</v>
      </c>
      <c r="AX301" t="inlineStr">
        <is>
          <t>settled</t>
        </is>
      </c>
      <c r="AY301" t="inlineStr">
        <is>
          <t>2026-01-14 05:30:00</t>
        </is>
      </c>
      <c r="AZ301" t="inlineStr">
        <is>
          <t>CITIN26605478364</t>
        </is>
      </c>
      <c r="BA301" t="n">
        <v>0</v>
      </c>
      <c r="BB301" t="inlineStr">
        <is>
          <t>813823d85f296577d29d3e6cc8339212dd5a43105444ef0f736fd3c7b0d4919c</t>
        </is>
      </c>
    </row>
    <row r="302">
      <c r="A302" t="inlineStr">
        <is>
          <t>297</t>
        </is>
      </c>
      <c r="B302" t="inlineStr">
        <is>
          <t>7673423290</t>
        </is>
      </c>
      <c r="C302" t="inlineStr">
        <is>
          <t>2026-01-11 01:21:52</t>
        </is>
      </c>
      <c r="D302" t="inlineStr">
        <is>
          <t>2</t>
        </is>
      </c>
      <c r="E302" t="inlineStr">
        <is>
          <t>Sha Sha - Shandaar Shawarma</t>
        </is>
      </c>
      <c r="F302" t="inlineStr">
        <is>
          <t>18557902</t>
        </is>
      </c>
      <c r="G302" t="inlineStr">
        <is>
          <t>30% off upto ₹75 (2025-06-25 - 2031-01-01)</t>
        </is>
      </c>
      <c r="H302" t="inlineStr">
        <is>
          <t>ONLINE</t>
        </is>
      </c>
      <c r="I302" t="inlineStr">
        <is>
          <t>DELIVERED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O2</t>
        </is>
      </c>
      <c r="N302" t="inlineStr">
        <is>
          <t>36</t>
        </is>
      </c>
      <c r="O302" t="n">
        <v>199</v>
      </c>
      <c r="P302" t="n">
        <v>3.5</v>
      </c>
      <c r="Q302" t="n">
        <v>0</v>
      </c>
      <c r="R302" t="n">
        <v>59.7</v>
      </c>
      <c r="S302" t="n">
        <v>0</v>
      </c>
      <c r="T302" t="n">
        <v>0</v>
      </c>
      <c r="U302" t="n">
        <v>0</v>
      </c>
      <c r="V302" t="n">
        <v>7.14</v>
      </c>
      <c r="W302" t="n">
        <v>149.94</v>
      </c>
      <c r="X302" t="n">
        <v>142.8</v>
      </c>
      <c r="Y302" t="n">
        <v>19</v>
      </c>
      <c r="Z302" t="n">
        <v>27.13</v>
      </c>
      <c r="AA302" t="n">
        <v>2.76</v>
      </c>
      <c r="AB302" t="n">
        <v>29.89</v>
      </c>
      <c r="AC302" t="n">
        <v>5.38</v>
      </c>
      <c r="AD302" t="n">
        <v>0</v>
      </c>
      <c r="AE302" t="n">
        <v>142.8</v>
      </c>
      <c r="AF302" t="n">
        <v>0</v>
      </c>
      <c r="AG302" t="n">
        <v>0</v>
      </c>
      <c r="AH302" t="n">
        <v>0.14</v>
      </c>
      <c r="AI302" t="n">
        <v>7.15</v>
      </c>
      <c r="AJ302" t="n">
        <v>-0.01</v>
      </c>
      <c r="AK302" t="n">
        <v>12.67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42.56</v>
      </c>
      <c r="AV302" t="n">
        <v>0</v>
      </c>
      <c r="AW302" t="n">
        <v>107.38</v>
      </c>
      <c r="AX302" t="inlineStr">
        <is>
          <t>settled</t>
        </is>
      </c>
      <c r="AY302" t="inlineStr">
        <is>
          <t>2026-01-14 05:30:00</t>
        </is>
      </c>
      <c r="AZ302" t="inlineStr">
        <is>
          <t>CITIN26605478364</t>
        </is>
      </c>
      <c r="BA302" t="n">
        <v>0</v>
      </c>
      <c r="BB302" t="inlineStr">
        <is>
          <t>d33038d9c670e7ba822857692355b3e9e586fb6ce9ea90f25a0d025c339772ed</t>
        </is>
      </c>
    </row>
    <row r="303">
      <c r="A303" t="inlineStr">
        <is>
          <t>298</t>
        </is>
      </c>
      <c r="B303" t="inlineStr">
        <is>
          <t>7672412567</t>
        </is>
      </c>
      <c r="C303" t="inlineStr">
        <is>
          <t>2026-01-11 02:06:34</t>
        </is>
      </c>
      <c r="D303" t="inlineStr">
        <is>
          <t>2</t>
        </is>
      </c>
      <c r="E303" t="inlineStr">
        <is>
          <t>Sha Sha - Shandaar Shawarma</t>
        </is>
      </c>
      <c r="F303" t="inlineStr">
        <is>
          <t>18557902</t>
        </is>
      </c>
      <c r="G303" t="inlineStr">
        <is>
          <t>30% off upto ₹75 (2025-06-25 - 2031-01-01)</t>
        </is>
      </c>
      <c r="H303" t="inlineStr">
        <is>
          <t>ONLINE</t>
        </is>
      </c>
      <c r="I303" t="inlineStr">
        <is>
          <t>DELIVERED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O2</t>
        </is>
      </c>
      <c r="N303" t="inlineStr">
        <is>
          <t>36</t>
        </is>
      </c>
      <c r="O303" t="n">
        <v>458</v>
      </c>
      <c r="P303" t="n">
        <v>3.5</v>
      </c>
      <c r="Q303" t="n">
        <v>0</v>
      </c>
      <c r="R303" t="n">
        <v>75</v>
      </c>
      <c r="S303" t="n">
        <v>0</v>
      </c>
      <c r="T303" t="n">
        <v>0</v>
      </c>
      <c r="U303" t="n">
        <v>0</v>
      </c>
      <c r="V303" t="n">
        <v>19.33</v>
      </c>
      <c r="W303" t="n">
        <v>405.83</v>
      </c>
      <c r="X303" t="n">
        <v>386.5</v>
      </c>
      <c r="Y303" t="n">
        <v>19</v>
      </c>
      <c r="Z303" t="n">
        <v>73.44</v>
      </c>
      <c r="AA303" t="n">
        <v>7.47</v>
      </c>
      <c r="AB303" t="n">
        <v>80.91</v>
      </c>
      <c r="AC303" t="n">
        <v>14.56</v>
      </c>
      <c r="AD303" t="n">
        <v>0</v>
      </c>
      <c r="AE303" t="n">
        <v>386.5</v>
      </c>
      <c r="AF303" t="n">
        <v>0</v>
      </c>
      <c r="AG303" t="n">
        <v>0</v>
      </c>
      <c r="AH303" t="n">
        <v>0.39</v>
      </c>
      <c r="AI303" t="n">
        <v>19.33</v>
      </c>
      <c r="AJ303" t="n">
        <v>0</v>
      </c>
      <c r="AK303" t="n">
        <v>34.28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115.19</v>
      </c>
      <c r="AV303" t="n">
        <v>0</v>
      </c>
      <c r="AW303" t="n">
        <v>290.64</v>
      </c>
      <c r="AX303" t="inlineStr">
        <is>
          <t>settled</t>
        </is>
      </c>
      <c r="AY303" t="inlineStr">
        <is>
          <t>2026-01-14 05:30:00</t>
        </is>
      </c>
      <c r="AZ303" t="inlineStr">
        <is>
          <t>CITIN26605478364</t>
        </is>
      </c>
      <c r="BA303" t="n">
        <v>0</v>
      </c>
      <c r="BB303" t="inlineStr">
        <is>
          <t>dcaf510612bd8735114e0e333ff982f77ce29624fb0dc20ff149f5d0a777599c</t>
        </is>
      </c>
    </row>
    <row r="304">
      <c r="A304" t="inlineStr">
        <is>
          <t>299</t>
        </is>
      </c>
      <c r="B304" t="inlineStr">
        <is>
          <t>7671671013</t>
        </is>
      </c>
      <c r="C304" t="inlineStr">
        <is>
          <t>2026-01-11 02:38:23</t>
        </is>
      </c>
      <c r="D304" t="inlineStr">
        <is>
          <t>2</t>
        </is>
      </c>
      <c r="E304" t="inlineStr">
        <is>
          <t>Sha Sha - Shandaar Shawarma</t>
        </is>
      </c>
      <c r="F304" t="inlineStr">
        <is>
          <t>18557902</t>
        </is>
      </c>
      <c r="G304" t="inlineStr">
        <is>
          <t>30% off upto ₹75 (2025-06-25 - 2031-01-01)</t>
        </is>
      </c>
      <c r="H304" t="inlineStr">
        <is>
          <t>ONLINE</t>
        </is>
      </c>
      <c r="I304" t="inlineStr">
        <is>
          <t>DELIVERED</t>
        </is>
      </c>
      <c r="J304" t="inlineStr">
        <is>
          <t>NA</t>
        </is>
      </c>
      <c r="K304" t="inlineStr">
        <is>
          <t>NA</t>
        </is>
      </c>
      <c r="L304" t="inlineStr">
        <is>
          <t>NA</t>
        </is>
      </c>
      <c r="M304" t="inlineStr">
        <is>
          <t>O2</t>
        </is>
      </c>
      <c r="N304" t="inlineStr">
        <is>
          <t>36</t>
        </is>
      </c>
      <c r="O304" t="n">
        <v>229</v>
      </c>
      <c r="P304" t="n">
        <v>3.5</v>
      </c>
      <c r="Q304" t="n">
        <v>0</v>
      </c>
      <c r="R304" t="n">
        <v>68.7</v>
      </c>
      <c r="S304" t="n">
        <v>0</v>
      </c>
      <c r="T304" t="n">
        <v>0</v>
      </c>
      <c r="U304" t="n">
        <v>0</v>
      </c>
      <c r="V304" t="n">
        <v>8.19</v>
      </c>
      <c r="W304" t="n">
        <v>171.99</v>
      </c>
      <c r="X304" t="n">
        <v>163.8</v>
      </c>
      <c r="Y304" t="n">
        <v>19</v>
      </c>
      <c r="Z304" t="n">
        <v>31.12</v>
      </c>
      <c r="AA304" t="n">
        <v>3.16</v>
      </c>
      <c r="AB304" t="n">
        <v>34.28</v>
      </c>
      <c r="AC304" t="n">
        <v>6.17</v>
      </c>
      <c r="AD304" t="n">
        <v>0</v>
      </c>
      <c r="AE304" t="n">
        <v>163.8</v>
      </c>
      <c r="AF304" t="n">
        <v>0</v>
      </c>
      <c r="AG304" t="n">
        <v>0</v>
      </c>
      <c r="AH304" t="n">
        <v>0.16</v>
      </c>
      <c r="AI304" t="n">
        <v>8.199999999999999</v>
      </c>
      <c r="AJ304" t="n">
        <v>-0.01</v>
      </c>
      <c r="AK304" t="n">
        <v>14.53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48.81</v>
      </c>
      <c r="AV304" t="n">
        <v>0</v>
      </c>
      <c r="AW304" t="n">
        <v>123.18</v>
      </c>
      <c r="AX304" t="inlineStr">
        <is>
          <t>settled</t>
        </is>
      </c>
      <c r="AY304" t="inlineStr">
        <is>
          <t>2026-01-14 05:30:00</t>
        </is>
      </c>
      <c r="AZ304" t="inlineStr">
        <is>
          <t>CITIN26605478364</t>
        </is>
      </c>
      <c r="BA304" t="n">
        <v>0</v>
      </c>
      <c r="BB304" t="inlineStr">
        <is>
          <t>ddf8830284b5b59de674f7bbea2c356861790e47f46ab309fcc01e1e282a2483</t>
        </is>
      </c>
    </row>
    <row r="305">
      <c r="A305" t="inlineStr">
        <is>
          <t>300</t>
        </is>
      </c>
      <c r="B305" t="inlineStr">
        <is>
          <t>7671717391</t>
        </is>
      </c>
      <c r="C305" t="inlineStr">
        <is>
          <t>2026-01-11 02:51:47</t>
        </is>
      </c>
      <c r="D305" t="inlineStr">
        <is>
          <t>2</t>
        </is>
      </c>
      <c r="E305" t="inlineStr">
        <is>
          <t>Sha Sha - Shandaar Shawarma</t>
        </is>
      </c>
      <c r="F305" t="inlineStr">
        <is>
          <t>18557902</t>
        </is>
      </c>
      <c r="G305" t="inlineStr">
        <is>
          <t>NA</t>
        </is>
      </c>
      <c r="H305" t="inlineStr">
        <is>
          <t>ONLINE</t>
        </is>
      </c>
      <c r="I305" t="inlineStr">
        <is>
          <t>DELIVERED</t>
        </is>
      </c>
      <c r="J305" t="inlineStr">
        <is>
          <t>NA</t>
        </is>
      </c>
      <c r="K305" t="inlineStr">
        <is>
          <t>NA</t>
        </is>
      </c>
      <c r="L305" t="inlineStr">
        <is>
          <t>NA</t>
        </is>
      </c>
      <c r="M305" t="inlineStr">
        <is>
          <t>O2</t>
        </is>
      </c>
      <c r="N305" t="inlineStr">
        <is>
          <t>36</t>
        </is>
      </c>
      <c r="O305" t="n">
        <v>229</v>
      </c>
      <c r="P305" t="n">
        <v>3.5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11.63</v>
      </c>
      <c r="W305" t="n">
        <v>244.13</v>
      </c>
      <c r="X305" t="n">
        <v>232.5</v>
      </c>
      <c r="Y305" t="n">
        <v>19</v>
      </c>
      <c r="Z305" t="n">
        <v>44.18</v>
      </c>
      <c r="AA305" t="n">
        <v>4.49</v>
      </c>
      <c r="AB305" t="n">
        <v>48.67</v>
      </c>
      <c r="AC305" t="n">
        <v>8.76</v>
      </c>
      <c r="AD305" t="n">
        <v>0</v>
      </c>
      <c r="AE305" t="n">
        <v>232.5</v>
      </c>
      <c r="AF305" t="n">
        <v>0</v>
      </c>
      <c r="AG305" t="n">
        <v>0</v>
      </c>
      <c r="AH305" t="n">
        <v>0.23</v>
      </c>
      <c r="AI305" t="n">
        <v>11.63</v>
      </c>
      <c r="AJ305" t="n">
        <v>0</v>
      </c>
      <c r="AK305" t="n">
        <v>20.62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69.29000000000001</v>
      </c>
      <c r="AV305" t="n">
        <v>0</v>
      </c>
      <c r="AW305" t="n">
        <v>174.84</v>
      </c>
      <c r="AX305" t="inlineStr">
        <is>
          <t>settled</t>
        </is>
      </c>
      <c r="AY305" t="inlineStr">
        <is>
          <t>2026-01-14 05:30:00</t>
        </is>
      </c>
      <c r="AZ305" t="inlineStr">
        <is>
          <t>CITIN26605478364</t>
        </is>
      </c>
      <c r="BA305" t="n">
        <v>0</v>
      </c>
      <c r="BB305" t="inlineStr">
        <is>
          <t>1966e2d783d8dd8cbdaef265e72c8d5c0c0d1585ea31b1fda902a2d188ff327a</t>
        </is>
      </c>
    </row>
    <row r="306">
      <c r="A306" t="inlineStr">
        <is>
          <t>301</t>
        </is>
      </c>
      <c r="B306" t="inlineStr">
        <is>
          <t>7660494229</t>
        </is>
      </c>
      <c r="C306" t="inlineStr">
        <is>
          <t>2026-01-11 03:11:22</t>
        </is>
      </c>
      <c r="D306" t="inlineStr">
        <is>
          <t>2</t>
        </is>
      </c>
      <c r="E306" t="inlineStr">
        <is>
          <t>Sha Sha - Shandaar Shawarma</t>
        </is>
      </c>
      <c r="F306" t="inlineStr">
        <is>
          <t>18557902</t>
        </is>
      </c>
      <c r="G306" t="inlineStr">
        <is>
          <t>30% off upto ₹75 (2025-06-25 - 2031-01-01)</t>
        </is>
      </c>
      <c r="H306" t="inlineStr">
        <is>
          <t>ONLINE</t>
        </is>
      </c>
      <c r="I306" t="inlineStr">
        <is>
          <t>DELIVERED</t>
        </is>
      </c>
      <c r="J306" t="inlineStr">
        <is>
          <t>NA</t>
        </is>
      </c>
      <c r="K306" t="inlineStr">
        <is>
          <t>NA</t>
        </is>
      </c>
      <c r="L306" t="inlineStr">
        <is>
          <t>NA</t>
        </is>
      </c>
      <c r="M306" t="inlineStr">
        <is>
          <t>O2</t>
        </is>
      </c>
      <c r="N306" t="inlineStr">
        <is>
          <t>36</t>
        </is>
      </c>
      <c r="O306" t="n">
        <v>229</v>
      </c>
      <c r="P306" t="n">
        <v>3.5</v>
      </c>
      <c r="Q306" t="n">
        <v>0</v>
      </c>
      <c r="R306" t="n">
        <v>68.7</v>
      </c>
      <c r="S306" t="n">
        <v>0</v>
      </c>
      <c r="T306" t="n">
        <v>0</v>
      </c>
      <c r="U306" t="n">
        <v>0</v>
      </c>
      <c r="V306" t="n">
        <v>8.19</v>
      </c>
      <c r="W306" t="n">
        <v>171.99</v>
      </c>
      <c r="X306" t="n">
        <v>163.8</v>
      </c>
      <c r="Y306" t="n">
        <v>19</v>
      </c>
      <c r="Z306" t="n">
        <v>31.12</v>
      </c>
      <c r="AA306" t="n">
        <v>3.16</v>
      </c>
      <c r="AB306" t="n">
        <v>34.28</v>
      </c>
      <c r="AC306" t="n">
        <v>6.17</v>
      </c>
      <c r="AD306" t="n">
        <v>0</v>
      </c>
      <c r="AE306" t="n">
        <v>163.8</v>
      </c>
      <c r="AF306" t="n">
        <v>0</v>
      </c>
      <c r="AG306" t="n">
        <v>0</v>
      </c>
      <c r="AH306" t="n">
        <v>0.16</v>
      </c>
      <c r="AI306" t="n">
        <v>8.199999999999999</v>
      </c>
      <c r="AJ306" t="n">
        <v>-0.01</v>
      </c>
      <c r="AK306" t="n">
        <v>14.53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48.81</v>
      </c>
      <c r="AV306" t="n">
        <v>0</v>
      </c>
      <c r="AW306" t="n">
        <v>123.18</v>
      </c>
      <c r="AX306" t="inlineStr">
        <is>
          <t>settled</t>
        </is>
      </c>
      <c r="AY306" t="inlineStr">
        <is>
          <t>2026-01-14 05:30:00</t>
        </is>
      </c>
      <c r="AZ306" t="inlineStr">
        <is>
          <t>CITIN26605478364</t>
        </is>
      </c>
      <c r="BA306" t="n">
        <v>0</v>
      </c>
      <c r="BB306" t="inlineStr">
        <is>
          <t>676eb539e8f1352aa3d4ef9bf2b3dfa0dbdd8f853d2c3767e1ceabcb2ced337b</t>
        </is>
      </c>
    </row>
    <row r="307">
      <c r="A307" t="inlineStr">
        <is>
          <t>302</t>
        </is>
      </c>
      <c r="B307" t="inlineStr">
        <is>
          <t>7675563891</t>
        </is>
      </c>
      <c r="C307" t="inlineStr">
        <is>
          <t>2026-01-11 04:02:19</t>
        </is>
      </c>
      <c r="D307" t="inlineStr">
        <is>
          <t>2</t>
        </is>
      </c>
      <c r="E307" t="inlineStr">
        <is>
          <t>Sha Sha - Shandaar Shawarma</t>
        </is>
      </c>
      <c r="F307" t="inlineStr">
        <is>
          <t>18557902</t>
        </is>
      </c>
      <c r="G307" t="inlineStr">
        <is>
          <t>30% off upto ₹75 (2025-06-25 - 2031-01-01)</t>
        </is>
      </c>
      <c r="H307" t="inlineStr">
        <is>
          <t>ONLINE</t>
        </is>
      </c>
      <c r="I307" t="inlineStr">
        <is>
          <t>DELIVERED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O2</t>
        </is>
      </c>
      <c r="N307" t="inlineStr">
        <is>
          <t>36</t>
        </is>
      </c>
      <c r="O307" t="n">
        <v>229</v>
      </c>
      <c r="P307" t="n">
        <v>3.5</v>
      </c>
      <c r="Q307" t="n">
        <v>0</v>
      </c>
      <c r="R307" t="n">
        <v>68.7</v>
      </c>
      <c r="S307" t="n">
        <v>0</v>
      </c>
      <c r="T307" t="n">
        <v>0</v>
      </c>
      <c r="U307" t="n">
        <v>0</v>
      </c>
      <c r="V307" t="n">
        <v>8.19</v>
      </c>
      <c r="W307" t="n">
        <v>171.99</v>
      </c>
      <c r="X307" t="n">
        <v>163.8</v>
      </c>
      <c r="Y307" t="n">
        <v>19</v>
      </c>
      <c r="Z307" t="n">
        <v>31.12</v>
      </c>
      <c r="AA307" t="n">
        <v>3.16</v>
      </c>
      <c r="AB307" t="n">
        <v>34.28</v>
      </c>
      <c r="AC307" t="n">
        <v>6.17</v>
      </c>
      <c r="AD307" t="n">
        <v>0</v>
      </c>
      <c r="AE307" t="n">
        <v>163.8</v>
      </c>
      <c r="AF307" t="n">
        <v>0</v>
      </c>
      <c r="AG307" t="n">
        <v>0</v>
      </c>
      <c r="AH307" t="n">
        <v>0.16</v>
      </c>
      <c r="AI307" t="n">
        <v>8.199999999999999</v>
      </c>
      <c r="AJ307" t="n">
        <v>-0.01</v>
      </c>
      <c r="AK307" t="n">
        <v>14.53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48.81</v>
      </c>
      <c r="AV307" t="n">
        <v>0</v>
      </c>
      <c r="AW307" t="n">
        <v>123.18</v>
      </c>
      <c r="AX307" t="inlineStr">
        <is>
          <t>settled</t>
        </is>
      </c>
      <c r="AY307" t="inlineStr">
        <is>
          <t>2026-01-14 05:30:00</t>
        </is>
      </c>
      <c r="AZ307" t="inlineStr">
        <is>
          <t>CITIN26605478364</t>
        </is>
      </c>
      <c r="BA307" t="n">
        <v>0</v>
      </c>
      <c r="BB307" t="inlineStr">
        <is>
          <t>5c8d7e3df745d8490b381a93b8645a8eccbe5214673fc905a639141f916e185f</t>
        </is>
      </c>
    </row>
    <row r="308">
      <c r="A308" t="inlineStr">
        <is>
          <t>303</t>
        </is>
      </c>
      <c r="B308" t="inlineStr">
        <is>
          <t>7675424776</t>
        </is>
      </c>
      <c r="C308" t="inlineStr">
        <is>
          <t>2026-01-11 04:13:51</t>
        </is>
      </c>
      <c r="D308" t="inlineStr">
        <is>
          <t>2</t>
        </is>
      </c>
      <c r="E308" t="inlineStr">
        <is>
          <t>Sha Sha - Shandaar Shawarma</t>
        </is>
      </c>
      <c r="F308" t="inlineStr">
        <is>
          <t>18557902</t>
        </is>
      </c>
      <c r="G308" t="inlineStr">
        <is>
          <t>NA</t>
        </is>
      </c>
      <c r="H308" t="inlineStr">
        <is>
          <t>ONLINE</t>
        </is>
      </c>
      <c r="I308" t="inlineStr">
        <is>
          <t>DELIVERED</t>
        </is>
      </c>
      <c r="J308" t="inlineStr">
        <is>
          <t>NA</t>
        </is>
      </c>
      <c r="K308" t="inlineStr">
        <is>
          <t>NA</t>
        </is>
      </c>
      <c r="L308" t="inlineStr">
        <is>
          <t>NA</t>
        </is>
      </c>
      <c r="M308" t="inlineStr">
        <is>
          <t>O2</t>
        </is>
      </c>
      <c r="N308" t="inlineStr">
        <is>
          <t>36</t>
        </is>
      </c>
      <c r="O308" t="n">
        <v>219</v>
      </c>
      <c r="P308" t="n">
        <v>3.5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11.13</v>
      </c>
      <c r="W308" t="n">
        <v>233.63</v>
      </c>
      <c r="X308" t="n">
        <v>222.5</v>
      </c>
      <c r="Y308" t="n">
        <v>19</v>
      </c>
      <c r="Z308" t="n">
        <v>42.28</v>
      </c>
      <c r="AA308" t="n">
        <v>4.3</v>
      </c>
      <c r="AB308" t="n">
        <v>46.58</v>
      </c>
      <c r="AC308" t="n">
        <v>8.380000000000001</v>
      </c>
      <c r="AD308" t="n">
        <v>0</v>
      </c>
      <c r="AE308" t="n">
        <v>222.5</v>
      </c>
      <c r="AF308" t="n">
        <v>0</v>
      </c>
      <c r="AG308" t="n">
        <v>0</v>
      </c>
      <c r="AH308" t="n">
        <v>0.22</v>
      </c>
      <c r="AI308" t="n">
        <v>11.13</v>
      </c>
      <c r="AJ308" t="n">
        <v>0</v>
      </c>
      <c r="AK308" t="n">
        <v>19.73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66.31</v>
      </c>
      <c r="AV308" t="n">
        <v>0</v>
      </c>
      <c r="AW308" t="n">
        <v>167.32</v>
      </c>
      <c r="AX308" t="inlineStr">
        <is>
          <t>settled</t>
        </is>
      </c>
      <c r="AY308" t="inlineStr">
        <is>
          <t>2026-01-14 05:30:00</t>
        </is>
      </c>
      <c r="AZ308" t="inlineStr">
        <is>
          <t>CITIN26605478364</t>
        </is>
      </c>
      <c r="BA308" t="n">
        <v>0</v>
      </c>
      <c r="BB308" t="inlineStr">
        <is>
          <t>fe9968787a0a8510902f3bbeb52e55c6b26bda873575d7767efc6daee19f6434</t>
        </is>
      </c>
    </row>
    <row r="309">
      <c r="A309" t="inlineStr">
        <is>
          <t>304</t>
        </is>
      </c>
      <c r="B309" t="inlineStr">
        <is>
          <t>7676794640</t>
        </is>
      </c>
      <c r="C309" t="inlineStr">
        <is>
          <t>2026-01-11 04:23:13</t>
        </is>
      </c>
      <c r="D309" t="inlineStr">
        <is>
          <t>2</t>
        </is>
      </c>
      <c r="E309" t="inlineStr">
        <is>
          <t>Sha Sha - Shandaar Shawarma</t>
        </is>
      </c>
      <c r="F309" t="inlineStr">
        <is>
          <t>18557902</t>
        </is>
      </c>
      <c r="G309" t="inlineStr">
        <is>
          <t>30% off upto ₹75 (2025-06-25 - 2031-01-01)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O2</t>
        </is>
      </c>
      <c r="N309" t="inlineStr">
        <is>
          <t>36</t>
        </is>
      </c>
      <c r="O309" t="n">
        <v>229</v>
      </c>
      <c r="P309" t="n">
        <v>3.5</v>
      </c>
      <c r="Q309" t="n">
        <v>0</v>
      </c>
      <c r="R309" t="n">
        <v>68.7</v>
      </c>
      <c r="S309" t="n">
        <v>0</v>
      </c>
      <c r="T309" t="n">
        <v>0</v>
      </c>
      <c r="U309" t="n">
        <v>0</v>
      </c>
      <c r="V309" t="n">
        <v>8.19</v>
      </c>
      <c r="W309" t="n">
        <v>171.99</v>
      </c>
      <c r="X309" t="n">
        <v>163.8</v>
      </c>
      <c r="Y309" t="n">
        <v>19</v>
      </c>
      <c r="Z309" t="n">
        <v>31.12</v>
      </c>
      <c r="AA309" t="n">
        <v>3.16</v>
      </c>
      <c r="AB309" t="n">
        <v>34.28</v>
      </c>
      <c r="AC309" t="n">
        <v>6.17</v>
      </c>
      <c r="AD309" t="n">
        <v>0</v>
      </c>
      <c r="AE309" t="n">
        <v>163.8</v>
      </c>
      <c r="AF309" t="n">
        <v>0</v>
      </c>
      <c r="AG309" t="n">
        <v>0</v>
      </c>
      <c r="AH309" t="n">
        <v>0.16</v>
      </c>
      <c r="AI309" t="n">
        <v>8.199999999999999</v>
      </c>
      <c r="AJ309" t="n">
        <v>-0.01</v>
      </c>
      <c r="AK309" t="n">
        <v>14.53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48.81</v>
      </c>
      <c r="AV309" t="n">
        <v>0</v>
      </c>
      <c r="AW309" t="n">
        <v>123.18</v>
      </c>
      <c r="AX309" t="inlineStr">
        <is>
          <t>settled</t>
        </is>
      </c>
      <c r="AY309" t="inlineStr">
        <is>
          <t>2026-01-14 05:30:00</t>
        </is>
      </c>
      <c r="AZ309" t="inlineStr">
        <is>
          <t>CITIN26605478364</t>
        </is>
      </c>
      <c r="BA309" t="n">
        <v>0</v>
      </c>
      <c r="BB309" t="inlineStr">
        <is>
          <t>bf47ae751ca8467d78b11b367090fc90a9657cc0227743ffc7f0da4a03dc419c</t>
        </is>
      </c>
    </row>
    <row r="310">
      <c r="A310" t="inlineStr">
        <is>
          <t>305</t>
        </is>
      </c>
      <c r="B310" t="inlineStr">
        <is>
          <t>7677719892</t>
        </is>
      </c>
      <c r="C310" t="inlineStr">
        <is>
          <t>2026-01-11 10:31:24</t>
        </is>
      </c>
      <c r="D310" t="inlineStr">
        <is>
          <t>2</t>
        </is>
      </c>
      <c r="E310" t="inlineStr">
        <is>
          <t>Sha Sha - Shandaar Shawarma</t>
        </is>
      </c>
      <c r="F310" t="inlineStr">
        <is>
          <t>18557902</t>
        </is>
      </c>
      <c r="G310" t="inlineStr">
        <is>
          <t>30% off upto ₹75 (2025-06-25 - 2031-01-01)</t>
        </is>
      </c>
      <c r="H310" t="inlineStr">
        <is>
          <t>ONLINE</t>
        </is>
      </c>
      <c r="I310" t="inlineStr">
        <is>
          <t>DELIVERED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O2</t>
        </is>
      </c>
      <c r="N310" t="inlineStr">
        <is>
          <t>36</t>
        </is>
      </c>
      <c r="O310" t="n">
        <v>229</v>
      </c>
      <c r="P310" t="n">
        <v>3.5</v>
      </c>
      <c r="Q310" t="n">
        <v>0</v>
      </c>
      <c r="R310" t="n">
        <v>68.7</v>
      </c>
      <c r="S310" t="n">
        <v>0</v>
      </c>
      <c r="T310" t="n">
        <v>0</v>
      </c>
      <c r="U310" t="n">
        <v>0</v>
      </c>
      <c r="V310" t="n">
        <v>8.19</v>
      </c>
      <c r="W310" t="n">
        <v>171.99</v>
      </c>
      <c r="X310" t="n">
        <v>163.8</v>
      </c>
      <c r="Y310" t="n">
        <v>19</v>
      </c>
      <c r="Z310" t="n">
        <v>31.12</v>
      </c>
      <c r="AA310" t="n">
        <v>3.16</v>
      </c>
      <c r="AB310" t="n">
        <v>34.28</v>
      </c>
      <c r="AC310" t="n">
        <v>6.17</v>
      </c>
      <c r="AD310" t="n">
        <v>0</v>
      </c>
      <c r="AE310" t="n">
        <v>163.8</v>
      </c>
      <c r="AF310" t="n">
        <v>0</v>
      </c>
      <c r="AG310" t="n">
        <v>0</v>
      </c>
      <c r="AH310" t="n">
        <v>0.16</v>
      </c>
      <c r="AI310" t="n">
        <v>8.199999999999999</v>
      </c>
      <c r="AJ310" t="n">
        <v>-0.01</v>
      </c>
      <c r="AK310" t="n">
        <v>14.53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48.81</v>
      </c>
      <c r="AV310" t="n">
        <v>0</v>
      </c>
      <c r="AW310" t="n">
        <v>123.18</v>
      </c>
      <c r="AX310" t="inlineStr">
        <is>
          <t>settled</t>
        </is>
      </c>
      <c r="AY310" t="inlineStr">
        <is>
          <t>2026-01-14 05:30:00</t>
        </is>
      </c>
      <c r="AZ310" t="inlineStr">
        <is>
          <t>CITIN26605478364</t>
        </is>
      </c>
      <c r="BA310" t="n">
        <v>0</v>
      </c>
      <c r="BB310" t="inlineStr">
        <is>
          <t>21aa2aed573bca11d7e972a69f930586856d18e11b49e635bd88a1b9d54dfbc2</t>
        </is>
      </c>
    </row>
    <row r="311">
      <c r="A311" t="inlineStr">
        <is>
          <t>306</t>
        </is>
      </c>
      <c r="B311" t="inlineStr">
        <is>
          <t>7671718504</t>
        </is>
      </c>
      <c r="C311" t="inlineStr">
        <is>
          <t>2026-01-11 11:29:51</t>
        </is>
      </c>
      <c r="D311" t="inlineStr">
        <is>
          <t>2</t>
        </is>
      </c>
      <c r="E311" t="inlineStr">
        <is>
          <t>Sha Sha - Shandaar Shawarma</t>
        </is>
      </c>
      <c r="F311" t="inlineStr">
        <is>
          <t>18557902</t>
        </is>
      </c>
      <c r="G311" t="inlineStr">
        <is>
          <t>30% off upto ₹75 (2025-06-25 - 2031-01-01)</t>
        </is>
      </c>
      <c r="H311" t="inlineStr">
        <is>
          <t>ONLINE</t>
        </is>
      </c>
      <c r="I311" t="inlineStr">
        <is>
          <t>DELIVERED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O2</t>
        </is>
      </c>
      <c r="N311" t="inlineStr">
        <is>
          <t>36</t>
        </is>
      </c>
      <c r="O311" t="n">
        <v>229</v>
      </c>
      <c r="P311" t="n">
        <v>3.5</v>
      </c>
      <c r="Q311" t="n">
        <v>0</v>
      </c>
      <c r="R311" t="n">
        <v>68.7</v>
      </c>
      <c r="S311" t="n">
        <v>0</v>
      </c>
      <c r="T311" t="n">
        <v>0</v>
      </c>
      <c r="U311" t="n">
        <v>0</v>
      </c>
      <c r="V311" t="n">
        <v>8.19</v>
      </c>
      <c r="W311" t="n">
        <v>171.99</v>
      </c>
      <c r="X311" t="n">
        <v>163.8</v>
      </c>
      <c r="Y311" t="n">
        <v>19</v>
      </c>
      <c r="Z311" t="n">
        <v>31.12</v>
      </c>
      <c r="AA311" t="n">
        <v>3.16</v>
      </c>
      <c r="AB311" t="n">
        <v>34.28</v>
      </c>
      <c r="AC311" t="n">
        <v>6.17</v>
      </c>
      <c r="AD311" t="n">
        <v>0</v>
      </c>
      <c r="AE311" t="n">
        <v>163.8</v>
      </c>
      <c r="AF311" t="n">
        <v>0</v>
      </c>
      <c r="AG311" t="n">
        <v>0</v>
      </c>
      <c r="AH311" t="n">
        <v>0.16</v>
      </c>
      <c r="AI311" t="n">
        <v>8.199999999999999</v>
      </c>
      <c r="AJ311" t="n">
        <v>-0.01</v>
      </c>
      <c r="AK311" t="n">
        <v>14.53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48.81</v>
      </c>
      <c r="AV311" t="n">
        <v>0</v>
      </c>
      <c r="AW311" t="n">
        <v>123.18</v>
      </c>
      <c r="AX311" t="inlineStr">
        <is>
          <t>settled</t>
        </is>
      </c>
      <c r="AY311" t="inlineStr">
        <is>
          <t>2026-01-14 05:30:00</t>
        </is>
      </c>
      <c r="AZ311" t="inlineStr">
        <is>
          <t>CITIN26605478364</t>
        </is>
      </c>
      <c r="BA311" t="n">
        <v>0</v>
      </c>
      <c r="BB311" t="inlineStr">
        <is>
          <t>d8d9d33ad8cec6dbfaea6f9560042842637beab8f976cedf3f8aee2b3b7819b9</t>
        </is>
      </c>
    </row>
    <row r="312">
      <c r="A312" t="inlineStr">
        <is>
          <t>307</t>
        </is>
      </c>
      <c r="B312" t="inlineStr">
        <is>
          <t>7673702245</t>
        </is>
      </c>
      <c r="C312" t="inlineStr">
        <is>
          <t>2026-01-11 12:50:01</t>
        </is>
      </c>
      <c r="D312" t="inlineStr">
        <is>
          <t>2</t>
        </is>
      </c>
      <c r="E312" t="inlineStr">
        <is>
          <t>Sha Sha - Shandaar Shawarma</t>
        </is>
      </c>
      <c r="F312" t="inlineStr">
        <is>
          <t>18557902</t>
        </is>
      </c>
      <c r="G312" t="inlineStr">
        <is>
          <t>30% off upto ₹75 (2025-06-25 - 2031-01-01)</t>
        </is>
      </c>
      <c r="H312" t="inlineStr">
        <is>
          <t>ONLINE</t>
        </is>
      </c>
      <c r="I312" t="inlineStr">
        <is>
          <t>DELIVERED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O2</t>
        </is>
      </c>
      <c r="N312" t="inlineStr">
        <is>
          <t>36</t>
        </is>
      </c>
      <c r="O312" t="n">
        <v>229</v>
      </c>
      <c r="P312" t="n">
        <v>3.5</v>
      </c>
      <c r="Q312" t="n">
        <v>0</v>
      </c>
      <c r="R312" t="n">
        <v>68.7</v>
      </c>
      <c r="S312" t="n">
        <v>0</v>
      </c>
      <c r="T312" t="n">
        <v>0</v>
      </c>
      <c r="U312" t="n">
        <v>0</v>
      </c>
      <c r="V312" t="n">
        <v>8.19</v>
      </c>
      <c r="W312" t="n">
        <v>171.99</v>
      </c>
      <c r="X312" t="n">
        <v>163.8</v>
      </c>
      <c r="Y312" t="n">
        <v>19</v>
      </c>
      <c r="Z312" t="n">
        <v>31.12</v>
      </c>
      <c r="AA312" t="n">
        <v>3.16</v>
      </c>
      <c r="AB312" t="n">
        <v>34.28</v>
      </c>
      <c r="AC312" t="n">
        <v>6.17</v>
      </c>
      <c r="AD312" t="n">
        <v>0</v>
      </c>
      <c r="AE312" t="n">
        <v>163.8</v>
      </c>
      <c r="AF312" t="n">
        <v>0</v>
      </c>
      <c r="AG312" t="n">
        <v>0</v>
      </c>
      <c r="AH312" t="n">
        <v>0.16</v>
      </c>
      <c r="AI312" t="n">
        <v>8.199999999999999</v>
      </c>
      <c r="AJ312" t="n">
        <v>-0.01</v>
      </c>
      <c r="AK312" t="n">
        <v>14.53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48.81</v>
      </c>
      <c r="AV312" t="n">
        <v>0</v>
      </c>
      <c r="AW312" t="n">
        <v>123.18</v>
      </c>
      <c r="AX312" t="inlineStr">
        <is>
          <t>settled</t>
        </is>
      </c>
      <c r="AY312" t="inlineStr">
        <is>
          <t>2026-01-14 05:30:00</t>
        </is>
      </c>
      <c r="AZ312" t="inlineStr">
        <is>
          <t>CITIN26605478364</t>
        </is>
      </c>
      <c r="BA312" t="n">
        <v>0</v>
      </c>
      <c r="BB312" t="inlineStr">
        <is>
          <t>691893265855ae972cf7a2fb2d85f59ed26cae6d5093c8e3d36ad78e542be467</t>
        </is>
      </c>
    </row>
    <row r="313">
      <c r="A313" t="inlineStr">
        <is>
          <t>308</t>
        </is>
      </c>
      <c r="B313" t="inlineStr">
        <is>
          <t>7667369912</t>
        </is>
      </c>
      <c r="C313" t="inlineStr">
        <is>
          <t>2026-01-11 14:02:15</t>
        </is>
      </c>
      <c r="D313" t="inlineStr">
        <is>
          <t>2</t>
        </is>
      </c>
      <c r="E313" t="inlineStr">
        <is>
          <t>Sha Sha - Shandaar Shawarma</t>
        </is>
      </c>
      <c r="F313" t="inlineStr">
        <is>
          <t>18557902</t>
        </is>
      </c>
      <c r="G313" t="inlineStr">
        <is>
          <t>NA</t>
        </is>
      </c>
      <c r="H313" t="inlineStr">
        <is>
          <t>ONLINE</t>
        </is>
      </c>
      <c r="I313" t="inlineStr">
        <is>
          <t>DELIVERED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O2</t>
        </is>
      </c>
      <c r="N313" t="inlineStr">
        <is>
          <t>36</t>
        </is>
      </c>
      <c r="O313" t="n">
        <v>458</v>
      </c>
      <c r="P313" t="n">
        <v>3.5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23.08</v>
      </c>
      <c r="W313" t="n">
        <v>484.58</v>
      </c>
      <c r="X313" t="n">
        <v>461.5</v>
      </c>
      <c r="Y313" t="n">
        <v>19</v>
      </c>
      <c r="Z313" t="n">
        <v>87.68000000000001</v>
      </c>
      <c r="AA313" t="n">
        <v>8.92</v>
      </c>
      <c r="AB313" t="n">
        <v>96.59999999999999</v>
      </c>
      <c r="AC313" t="n">
        <v>17.39</v>
      </c>
      <c r="AD313" t="n">
        <v>0</v>
      </c>
      <c r="AE313" t="n">
        <v>461.5</v>
      </c>
      <c r="AF313" t="n">
        <v>0</v>
      </c>
      <c r="AG313" t="n">
        <v>0</v>
      </c>
      <c r="AH313" t="n">
        <v>0.46</v>
      </c>
      <c r="AI313" t="n">
        <v>23.08</v>
      </c>
      <c r="AJ313" t="n">
        <v>0</v>
      </c>
      <c r="AK313" t="n">
        <v>40.93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137.53</v>
      </c>
      <c r="AV313" t="n">
        <v>0</v>
      </c>
      <c r="AW313" t="n">
        <v>347.05</v>
      </c>
      <c r="AX313" t="inlineStr">
        <is>
          <t>settled</t>
        </is>
      </c>
      <c r="AY313" t="inlineStr">
        <is>
          <t>2026-01-14 05:30:00</t>
        </is>
      </c>
      <c r="AZ313" t="inlineStr">
        <is>
          <t>CITIN26605478364</t>
        </is>
      </c>
      <c r="BA313" t="n">
        <v>0</v>
      </c>
      <c r="BB313" t="inlineStr">
        <is>
          <t>4c5766f9f42a4c071e2e5e213fa766acaf030338f2b72734ca3995997961f24d</t>
        </is>
      </c>
    </row>
    <row r="314">
      <c r="A314" t="inlineStr">
        <is>
          <t>309</t>
        </is>
      </c>
      <c r="B314" t="inlineStr">
        <is>
          <t>7678936488</t>
        </is>
      </c>
      <c r="C314" t="inlineStr">
        <is>
          <t>2026-01-11 14:30:36</t>
        </is>
      </c>
      <c r="D314" t="inlineStr">
        <is>
          <t>2</t>
        </is>
      </c>
      <c r="E314" t="inlineStr">
        <is>
          <t>Sha Sha - Shandaar Shawarma</t>
        </is>
      </c>
      <c r="F314" t="inlineStr">
        <is>
          <t>18557902</t>
        </is>
      </c>
      <c r="G314" t="inlineStr">
        <is>
          <t>30% off upto ₹75 (2025-06-25 - 2031-01-01)</t>
        </is>
      </c>
      <c r="H314" t="inlineStr">
        <is>
          <t>ONLINE</t>
        </is>
      </c>
      <c r="I314" t="inlineStr">
        <is>
          <t>DELIVERED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O2</t>
        </is>
      </c>
      <c r="N314" t="inlineStr">
        <is>
          <t>36</t>
        </is>
      </c>
      <c r="O314" t="n">
        <v>229</v>
      </c>
      <c r="P314" t="n">
        <v>3.5</v>
      </c>
      <c r="Q314" t="n">
        <v>0</v>
      </c>
      <c r="R314" t="n">
        <v>68.7</v>
      </c>
      <c r="S314" t="n">
        <v>0</v>
      </c>
      <c r="T314" t="n">
        <v>0</v>
      </c>
      <c r="U314" t="n">
        <v>0</v>
      </c>
      <c r="V314" t="n">
        <v>8.19</v>
      </c>
      <c r="W314" t="n">
        <v>171.99</v>
      </c>
      <c r="X314" t="n">
        <v>163.8</v>
      </c>
      <c r="Y314" t="n">
        <v>19</v>
      </c>
      <c r="Z314" t="n">
        <v>31.12</v>
      </c>
      <c r="AA314" t="n">
        <v>3.16</v>
      </c>
      <c r="AB314" t="n">
        <v>34.28</v>
      </c>
      <c r="AC314" t="n">
        <v>6.17</v>
      </c>
      <c r="AD314" t="n">
        <v>0</v>
      </c>
      <c r="AE314" t="n">
        <v>163.8</v>
      </c>
      <c r="AF314" t="n">
        <v>0</v>
      </c>
      <c r="AG314" t="n">
        <v>0</v>
      </c>
      <c r="AH314" t="n">
        <v>0.16</v>
      </c>
      <c r="AI314" t="n">
        <v>8.199999999999999</v>
      </c>
      <c r="AJ314" t="n">
        <v>-0.01</v>
      </c>
      <c r="AK314" t="n">
        <v>14.53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48.81</v>
      </c>
      <c r="AV314" t="n">
        <v>0</v>
      </c>
      <c r="AW314" t="n">
        <v>123.18</v>
      </c>
      <c r="AX314" t="inlineStr">
        <is>
          <t>settled</t>
        </is>
      </c>
      <c r="AY314" t="inlineStr">
        <is>
          <t>2026-01-14 05:30:00</t>
        </is>
      </c>
      <c r="AZ314" t="inlineStr">
        <is>
          <t>CITIN26605478364</t>
        </is>
      </c>
      <c r="BA314" t="n">
        <v>0</v>
      </c>
      <c r="BB314" t="inlineStr">
        <is>
          <t>f3959076196a642bd7745e07253d7dba59503d0201f2704d06618f2cee92d92f</t>
        </is>
      </c>
    </row>
    <row r="315">
      <c r="A315" t="inlineStr">
        <is>
          <t>310</t>
        </is>
      </c>
      <c r="B315" t="inlineStr">
        <is>
          <t>7680177008</t>
        </is>
      </c>
      <c r="C315" t="inlineStr">
        <is>
          <t>2026-01-11 15:08:12</t>
        </is>
      </c>
      <c r="D315" t="inlineStr">
        <is>
          <t>2</t>
        </is>
      </c>
      <c r="E315" t="inlineStr">
        <is>
          <t>Sha Sha - Shandaar Shawarma</t>
        </is>
      </c>
      <c r="F315" t="inlineStr">
        <is>
          <t>18557902</t>
        </is>
      </c>
      <c r="G315" t="inlineStr">
        <is>
          <t>30% off upto ₹75 (2025-06-25 - 2031-01-01)</t>
        </is>
      </c>
      <c r="H315" t="inlineStr">
        <is>
          <t>ONLINE</t>
        </is>
      </c>
      <c r="I315" t="inlineStr">
        <is>
          <t>DELIVERED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O2</t>
        </is>
      </c>
      <c r="N315" t="inlineStr">
        <is>
          <t>36</t>
        </is>
      </c>
      <c r="O315" t="n">
        <v>428</v>
      </c>
      <c r="P315" t="n">
        <v>3.5</v>
      </c>
      <c r="Q315" t="n">
        <v>0</v>
      </c>
      <c r="R315" t="n">
        <v>75</v>
      </c>
      <c r="S315" t="n">
        <v>0</v>
      </c>
      <c r="T315" t="n">
        <v>0</v>
      </c>
      <c r="U315" t="n">
        <v>0</v>
      </c>
      <c r="V315" t="n">
        <v>17.83</v>
      </c>
      <c r="W315" t="n">
        <v>374.33</v>
      </c>
      <c r="X315" t="n">
        <v>356.5</v>
      </c>
      <c r="Y315" t="n">
        <v>19</v>
      </c>
      <c r="Z315" t="n">
        <v>67.73999999999999</v>
      </c>
      <c r="AA315" t="n">
        <v>6.89</v>
      </c>
      <c r="AB315" t="n">
        <v>74.63</v>
      </c>
      <c r="AC315" t="n">
        <v>13.43</v>
      </c>
      <c r="AD315" t="n">
        <v>0</v>
      </c>
      <c r="AE315" t="n">
        <v>356.5</v>
      </c>
      <c r="AF315" t="n">
        <v>0</v>
      </c>
      <c r="AG315" t="n">
        <v>0</v>
      </c>
      <c r="AH315" t="n">
        <v>0.36</v>
      </c>
      <c r="AI315" t="n">
        <v>17.83</v>
      </c>
      <c r="AJ315" t="n">
        <v>0</v>
      </c>
      <c r="AK315" t="n">
        <v>31.62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106.25</v>
      </c>
      <c r="AV315" t="n">
        <v>0</v>
      </c>
      <c r="AW315" t="n">
        <v>268.08</v>
      </c>
      <c r="AX315" t="inlineStr">
        <is>
          <t>settled</t>
        </is>
      </c>
      <c r="AY315" t="inlineStr">
        <is>
          <t>2026-01-14 05:30:00</t>
        </is>
      </c>
      <c r="AZ315" t="inlineStr">
        <is>
          <t>CITIN26605478364</t>
        </is>
      </c>
      <c r="BA315" t="n">
        <v>0</v>
      </c>
      <c r="BB315" t="inlineStr">
        <is>
          <t>64295d7b89d26ecc4ff06b083fbb84ec88770b25f976dc215aff5da405c42ab5</t>
        </is>
      </c>
    </row>
    <row r="316">
      <c r="A316" t="inlineStr">
        <is>
          <t>311</t>
        </is>
      </c>
      <c r="B316" t="inlineStr">
        <is>
          <t>7674087854</t>
        </is>
      </c>
      <c r="C316" t="inlineStr">
        <is>
          <t>2026-01-11 16:01:43</t>
        </is>
      </c>
      <c r="D316" t="inlineStr">
        <is>
          <t>2</t>
        </is>
      </c>
      <c r="E316" t="inlineStr">
        <is>
          <t>Sha Sha - Shandaar Shawarma</t>
        </is>
      </c>
      <c r="F316" t="inlineStr">
        <is>
          <t>18557902</t>
        </is>
      </c>
      <c r="G316" t="inlineStr">
        <is>
          <t>30% off upto ₹75 (2025-06-25 - 2031-01-01)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O2</t>
        </is>
      </c>
      <c r="N316" t="inlineStr">
        <is>
          <t>36</t>
        </is>
      </c>
      <c r="O316" t="n">
        <v>229</v>
      </c>
      <c r="P316" t="n">
        <v>3.5</v>
      </c>
      <c r="Q316" t="n">
        <v>0</v>
      </c>
      <c r="R316" t="n">
        <v>68.7</v>
      </c>
      <c r="S316" t="n">
        <v>0</v>
      </c>
      <c r="T316" t="n">
        <v>0</v>
      </c>
      <c r="U316" t="n">
        <v>0</v>
      </c>
      <c r="V316" t="n">
        <v>8.19</v>
      </c>
      <c r="W316" t="n">
        <v>171.99</v>
      </c>
      <c r="X316" t="n">
        <v>163.8</v>
      </c>
      <c r="Y316" t="n">
        <v>19</v>
      </c>
      <c r="Z316" t="n">
        <v>31.12</v>
      </c>
      <c r="AA316" t="n">
        <v>3.16</v>
      </c>
      <c r="AB316" t="n">
        <v>34.28</v>
      </c>
      <c r="AC316" t="n">
        <v>6.17</v>
      </c>
      <c r="AD316" t="n">
        <v>0</v>
      </c>
      <c r="AE316" t="n">
        <v>163.8</v>
      </c>
      <c r="AF316" t="n">
        <v>0</v>
      </c>
      <c r="AG316" t="n">
        <v>0</v>
      </c>
      <c r="AH316" t="n">
        <v>0.16</v>
      </c>
      <c r="AI316" t="n">
        <v>8.199999999999999</v>
      </c>
      <c r="AJ316" t="n">
        <v>-0.01</v>
      </c>
      <c r="AK316" t="n">
        <v>14.53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48.81</v>
      </c>
      <c r="AV316" t="n">
        <v>0</v>
      </c>
      <c r="AW316" t="n">
        <v>123.18</v>
      </c>
      <c r="AX316" t="inlineStr">
        <is>
          <t>settled</t>
        </is>
      </c>
      <c r="AY316" t="inlineStr">
        <is>
          <t>2026-01-14 05:30:00</t>
        </is>
      </c>
      <c r="AZ316" t="inlineStr">
        <is>
          <t>CITIN26605478364</t>
        </is>
      </c>
      <c r="BA316" t="n">
        <v>0</v>
      </c>
      <c r="BB316" t="inlineStr">
        <is>
          <t>e0de046eec611107b81147c8aa6567d017a853550106e659370e352e01c78bcc</t>
        </is>
      </c>
    </row>
    <row r="317">
      <c r="A317" t="inlineStr">
        <is>
          <t>312</t>
        </is>
      </c>
      <c r="B317" t="inlineStr">
        <is>
          <t>7676375388</t>
        </is>
      </c>
      <c r="C317" t="inlineStr">
        <is>
          <t>2026-01-11 18:04:49</t>
        </is>
      </c>
      <c r="D317" t="inlineStr">
        <is>
          <t>2</t>
        </is>
      </c>
      <c r="E317" t="inlineStr">
        <is>
          <t>Sha Sha - Shandaar Shawarma</t>
        </is>
      </c>
      <c r="F317" t="inlineStr">
        <is>
          <t>18557902</t>
        </is>
      </c>
      <c r="G317" t="inlineStr">
        <is>
          <t>NA</t>
        </is>
      </c>
      <c r="H317" t="inlineStr">
        <is>
          <t>ONLINE</t>
        </is>
      </c>
      <c r="I317" t="inlineStr">
        <is>
          <t>DELIVERED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O2</t>
        </is>
      </c>
      <c r="N317" t="inlineStr">
        <is>
          <t>36</t>
        </is>
      </c>
      <c r="O317" t="n">
        <v>229</v>
      </c>
      <c r="P317" t="n">
        <v>3.5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11.63</v>
      </c>
      <c r="W317" t="n">
        <v>244.13</v>
      </c>
      <c r="X317" t="n">
        <v>232.5</v>
      </c>
      <c r="Y317" t="n">
        <v>19</v>
      </c>
      <c r="Z317" t="n">
        <v>44.18</v>
      </c>
      <c r="AA317" t="n">
        <v>4.49</v>
      </c>
      <c r="AB317" t="n">
        <v>48.67</v>
      </c>
      <c r="AC317" t="n">
        <v>8.76</v>
      </c>
      <c r="AD317" t="n">
        <v>0</v>
      </c>
      <c r="AE317" t="n">
        <v>232.5</v>
      </c>
      <c r="AF317" t="n">
        <v>0</v>
      </c>
      <c r="AG317" t="n">
        <v>0</v>
      </c>
      <c r="AH317" t="n">
        <v>0.23</v>
      </c>
      <c r="AI317" t="n">
        <v>11.63</v>
      </c>
      <c r="AJ317" t="n">
        <v>0</v>
      </c>
      <c r="AK317" t="n">
        <v>20.62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69.29000000000001</v>
      </c>
      <c r="AV317" t="n">
        <v>0</v>
      </c>
      <c r="AW317" t="n">
        <v>174.84</v>
      </c>
      <c r="AX317" t="inlineStr">
        <is>
          <t>settled</t>
        </is>
      </c>
      <c r="AY317" t="inlineStr">
        <is>
          <t>2026-01-14 05:30:00</t>
        </is>
      </c>
      <c r="AZ317" t="inlineStr">
        <is>
          <t>CITIN26605478364</t>
        </is>
      </c>
      <c r="BA317" t="n">
        <v>0</v>
      </c>
      <c r="BB317" t="inlineStr">
        <is>
          <t>a0b6258028aad4ed27ff366e33b5a6486ba9c02e364bf1862b1619db6c375cc5</t>
        </is>
      </c>
    </row>
    <row r="318">
      <c r="A318" t="inlineStr">
        <is>
          <t>313</t>
        </is>
      </c>
      <c r="B318" t="inlineStr">
        <is>
          <t>7675511925</t>
        </is>
      </c>
      <c r="C318" t="inlineStr">
        <is>
          <t>2026-01-11 18:48:31</t>
        </is>
      </c>
      <c r="D318" t="inlineStr">
        <is>
          <t>2</t>
        </is>
      </c>
      <c r="E318" t="inlineStr">
        <is>
          <t>Sha Sha - Shandaar Shawarma</t>
        </is>
      </c>
      <c r="F318" t="inlineStr">
        <is>
          <t>18557902</t>
        </is>
      </c>
      <c r="G318" t="inlineStr">
        <is>
          <t>NA</t>
        </is>
      </c>
      <c r="H318" t="inlineStr">
        <is>
          <t>ONLINE</t>
        </is>
      </c>
      <c r="I318" t="inlineStr">
        <is>
          <t>DELIVERED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O2</t>
        </is>
      </c>
      <c r="N318" t="inlineStr">
        <is>
          <t>36</t>
        </is>
      </c>
      <c r="O318" t="n">
        <v>358</v>
      </c>
      <c r="P318" t="n">
        <v>3.5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18.08</v>
      </c>
      <c r="W318" t="n">
        <v>379.58</v>
      </c>
      <c r="X318" t="n">
        <v>361.5</v>
      </c>
      <c r="Y318" t="n">
        <v>19</v>
      </c>
      <c r="Z318" t="n">
        <v>68.68000000000001</v>
      </c>
      <c r="AA318" t="n">
        <v>6.98</v>
      </c>
      <c r="AB318" t="n">
        <v>75.66</v>
      </c>
      <c r="AC318" t="n">
        <v>13.62</v>
      </c>
      <c r="AD318" t="n">
        <v>0</v>
      </c>
      <c r="AE318" t="n">
        <v>361.5</v>
      </c>
      <c r="AF318" t="n">
        <v>0</v>
      </c>
      <c r="AG318" t="n">
        <v>0</v>
      </c>
      <c r="AH318" t="n">
        <v>0.36</v>
      </c>
      <c r="AI318" t="n">
        <v>18.08</v>
      </c>
      <c r="AJ318" t="n">
        <v>0</v>
      </c>
      <c r="AK318" t="n">
        <v>32.06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107.72</v>
      </c>
      <c r="AV318" t="n">
        <v>0</v>
      </c>
      <c r="AW318" t="n">
        <v>271.86</v>
      </c>
      <c r="AX318" t="inlineStr">
        <is>
          <t>settled</t>
        </is>
      </c>
      <c r="AY318" t="inlineStr">
        <is>
          <t>2026-01-14 05:30:00</t>
        </is>
      </c>
      <c r="AZ318" t="inlineStr">
        <is>
          <t>CITIN26605478364</t>
        </is>
      </c>
      <c r="BA318" t="n">
        <v>0</v>
      </c>
      <c r="BB318" t="inlineStr">
        <is>
          <t>55e6341fbdde05000fe63510931d24845a9b8fdda623ad613a6fbcdeff04a33f</t>
        </is>
      </c>
    </row>
    <row r="319">
      <c r="A319" t="inlineStr">
        <is>
          <t>314</t>
        </is>
      </c>
      <c r="B319" t="inlineStr">
        <is>
          <t>7664584817</t>
        </is>
      </c>
      <c r="C319" t="inlineStr">
        <is>
          <t>2026-01-11 19:43:30</t>
        </is>
      </c>
      <c r="D319" t="inlineStr">
        <is>
          <t>2</t>
        </is>
      </c>
      <c r="E319" t="inlineStr">
        <is>
          <t>Sha Sha - Shandaar Shawarma</t>
        </is>
      </c>
      <c r="F319" t="inlineStr">
        <is>
          <t>18557902</t>
        </is>
      </c>
      <c r="G319" t="inlineStr">
        <is>
          <t>30% off upto ₹75 (2025-06-25 - 2031-01-01)</t>
        </is>
      </c>
      <c r="H319" t="inlineStr">
        <is>
          <t>ONLINE</t>
        </is>
      </c>
      <c r="I319" t="inlineStr">
        <is>
          <t>DELIVERED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O2</t>
        </is>
      </c>
      <c r="N319" t="inlineStr">
        <is>
          <t>36</t>
        </is>
      </c>
      <c r="O319" t="n">
        <v>647</v>
      </c>
      <c r="P319" t="n">
        <v>3.5</v>
      </c>
      <c r="Q319" t="n">
        <v>0</v>
      </c>
      <c r="R319" t="n">
        <v>75</v>
      </c>
      <c r="S319" t="n">
        <v>0</v>
      </c>
      <c r="T319" t="n">
        <v>0</v>
      </c>
      <c r="U319" t="n">
        <v>0</v>
      </c>
      <c r="V319" t="n">
        <v>28.78</v>
      </c>
      <c r="W319" t="n">
        <v>604.28</v>
      </c>
      <c r="X319" t="n">
        <v>575.5</v>
      </c>
      <c r="Y319" t="n">
        <v>19</v>
      </c>
      <c r="Z319" t="n">
        <v>109.34</v>
      </c>
      <c r="AA319" t="n">
        <v>11.12</v>
      </c>
      <c r="AB319" t="n">
        <v>120.46</v>
      </c>
      <c r="AC319" t="n">
        <v>21.68</v>
      </c>
      <c r="AD319" t="n">
        <v>0</v>
      </c>
      <c r="AE319" t="n">
        <v>575.5</v>
      </c>
      <c r="AF319" t="n">
        <v>0</v>
      </c>
      <c r="AG319" t="n">
        <v>0</v>
      </c>
      <c r="AH319" t="n">
        <v>0.58</v>
      </c>
      <c r="AI319" t="n">
        <v>28.78</v>
      </c>
      <c r="AJ319" t="n">
        <v>0</v>
      </c>
      <c r="AK319" t="n">
        <v>51.04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171.5</v>
      </c>
      <c r="AV319" t="n">
        <v>0</v>
      </c>
      <c r="AW319" t="n">
        <v>432.78</v>
      </c>
      <c r="AX319" t="inlineStr">
        <is>
          <t>settled</t>
        </is>
      </c>
      <c r="AY319" t="inlineStr">
        <is>
          <t>2026-01-14 05:30:00</t>
        </is>
      </c>
      <c r="AZ319" t="inlineStr">
        <is>
          <t>CITIN26605478364</t>
        </is>
      </c>
      <c r="BA319" t="n">
        <v>0</v>
      </c>
      <c r="BB319" t="inlineStr">
        <is>
          <t>e829dc8b9c1727af368495bce7cbde0f2d51dfd2886ce1eb55e5575af9da8d40</t>
        </is>
      </c>
    </row>
    <row r="320">
      <c r="A320" t="inlineStr">
        <is>
          <t>315</t>
        </is>
      </c>
      <c r="B320" t="inlineStr">
        <is>
          <t>7679367905</t>
        </is>
      </c>
      <c r="C320" t="inlineStr">
        <is>
          <t>2026-01-11 20:01:04</t>
        </is>
      </c>
      <c r="D320" t="inlineStr">
        <is>
          <t>2</t>
        </is>
      </c>
      <c r="E320" t="inlineStr">
        <is>
          <t>Sha Sha - Shandaar Shawarma</t>
        </is>
      </c>
      <c r="F320" t="inlineStr">
        <is>
          <t>18557902</t>
        </is>
      </c>
      <c r="G320" t="inlineStr">
        <is>
          <t>30% off upto ₹75 (2025-06-25 - 2031-01-01)</t>
        </is>
      </c>
      <c r="H320" t="inlineStr">
        <is>
          <t>ONLINE</t>
        </is>
      </c>
      <c r="I320" t="inlineStr">
        <is>
          <t>DELIVERED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O2</t>
        </is>
      </c>
      <c r="N320" t="inlineStr">
        <is>
          <t>36</t>
        </is>
      </c>
      <c r="O320" t="n">
        <v>219</v>
      </c>
      <c r="P320" t="n">
        <v>3.5</v>
      </c>
      <c r="Q320" t="n">
        <v>0</v>
      </c>
      <c r="R320" t="n">
        <v>65.7</v>
      </c>
      <c r="S320" t="n">
        <v>0</v>
      </c>
      <c r="T320" t="n">
        <v>0</v>
      </c>
      <c r="U320" t="n">
        <v>0</v>
      </c>
      <c r="V320" t="n">
        <v>7.84</v>
      </c>
      <c r="W320" t="n">
        <v>164.64</v>
      </c>
      <c r="X320" t="n">
        <v>156.8</v>
      </c>
      <c r="Y320" t="n">
        <v>19</v>
      </c>
      <c r="Z320" t="n">
        <v>29.79</v>
      </c>
      <c r="AA320" t="n">
        <v>3.03</v>
      </c>
      <c r="AB320" t="n">
        <v>32.82</v>
      </c>
      <c r="AC320" t="n">
        <v>5.91</v>
      </c>
      <c r="AD320" t="n">
        <v>0</v>
      </c>
      <c r="AE320" t="n">
        <v>156.8</v>
      </c>
      <c r="AF320" t="n">
        <v>0</v>
      </c>
      <c r="AG320" t="n">
        <v>0</v>
      </c>
      <c r="AH320" t="n">
        <v>0.16</v>
      </c>
      <c r="AI320" t="n">
        <v>7.85</v>
      </c>
      <c r="AJ320" t="n">
        <v>-0.01</v>
      </c>
      <c r="AK320" t="n">
        <v>13.92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46.74</v>
      </c>
      <c r="AV320" t="n">
        <v>0</v>
      </c>
      <c r="AW320" t="n">
        <v>117.9</v>
      </c>
      <c r="AX320" t="inlineStr">
        <is>
          <t>settled</t>
        </is>
      </c>
      <c r="AY320" t="inlineStr">
        <is>
          <t>2026-01-14 05:30:00</t>
        </is>
      </c>
      <c r="AZ320" t="inlineStr">
        <is>
          <t>CITIN26605478364</t>
        </is>
      </c>
      <c r="BA320" t="n">
        <v>0</v>
      </c>
      <c r="BB320" t="inlineStr">
        <is>
          <t>b63e922383d3b28f1dea872a938e8df843266dd6977e4e7df1409ec6d848ad2a</t>
        </is>
      </c>
    </row>
    <row r="321">
      <c r="A321" t="inlineStr">
        <is>
          <t>316</t>
        </is>
      </c>
      <c r="B321" t="inlineStr">
        <is>
          <t>7678047970</t>
        </is>
      </c>
      <c r="C321" t="inlineStr">
        <is>
          <t>2026-01-11 20:05:52</t>
        </is>
      </c>
      <c r="D321" t="inlineStr">
        <is>
          <t>2</t>
        </is>
      </c>
      <c r="E321" t="inlineStr">
        <is>
          <t>Sha Sha - Shandaar Shawarma</t>
        </is>
      </c>
      <c r="F321" t="inlineStr">
        <is>
          <t>18557902</t>
        </is>
      </c>
      <c r="G321" t="inlineStr">
        <is>
          <t>30% off upto ₹75 (2025-06-25 - 2031-01-01)</t>
        </is>
      </c>
      <c r="H321" t="inlineStr">
        <is>
          <t>ONLINE</t>
        </is>
      </c>
      <c r="I321" t="inlineStr">
        <is>
          <t>DELIVERED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O2</t>
        </is>
      </c>
      <c r="N321" t="inlineStr">
        <is>
          <t>36</t>
        </is>
      </c>
      <c r="O321" t="n">
        <v>518</v>
      </c>
      <c r="P321" t="n">
        <v>3.5</v>
      </c>
      <c r="Q321" t="n">
        <v>0</v>
      </c>
      <c r="R321" t="n">
        <v>75</v>
      </c>
      <c r="S321" t="n">
        <v>0</v>
      </c>
      <c r="T321" t="n">
        <v>0</v>
      </c>
      <c r="U321" t="n">
        <v>0</v>
      </c>
      <c r="V321" t="n">
        <v>22.33</v>
      </c>
      <c r="W321" t="n">
        <v>468.83</v>
      </c>
      <c r="X321" t="n">
        <v>446.5</v>
      </c>
      <c r="Y321" t="n">
        <v>19</v>
      </c>
      <c r="Z321" t="n">
        <v>84.84</v>
      </c>
      <c r="AA321" t="n">
        <v>8.630000000000001</v>
      </c>
      <c r="AB321" t="n">
        <v>93.47</v>
      </c>
      <c r="AC321" t="n">
        <v>16.82</v>
      </c>
      <c r="AD321" t="n">
        <v>0</v>
      </c>
      <c r="AE321" t="n">
        <v>446.5</v>
      </c>
      <c r="AF321" t="n">
        <v>0</v>
      </c>
      <c r="AG321" t="n">
        <v>0</v>
      </c>
      <c r="AH321" t="n">
        <v>0.45</v>
      </c>
      <c r="AI321" t="n">
        <v>22.33</v>
      </c>
      <c r="AJ321" t="n">
        <v>0</v>
      </c>
      <c r="AK321" t="n">
        <v>39.6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133.07</v>
      </c>
      <c r="AV321" t="n">
        <v>0</v>
      </c>
      <c r="AW321" t="n">
        <v>335.76</v>
      </c>
      <c r="AX321" t="inlineStr">
        <is>
          <t>settled</t>
        </is>
      </c>
      <c r="AY321" t="inlineStr">
        <is>
          <t>2026-01-14 05:30:00</t>
        </is>
      </c>
      <c r="AZ321" t="inlineStr">
        <is>
          <t>CITIN26605478364</t>
        </is>
      </c>
      <c r="BA321" t="n">
        <v>0</v>
      </c>
      <c r="BB321" t="inlineStr">
        <is>
          <t>b0dddaadb0da5856ae207a0110c3cfcdf3fc37ed01a15eb6c6dfc3afa92296a8</t>
        </is>
      </c>
    </row>
    <row r="322">
      <c r="A322" t="inlineStr">
        <is>
          <t>317</t>
        </is>
      </c>
      <c r="B322" t="inlineStr">
        <is>
          <t>7679337454</t>
        </is>
      </c>
      <c r="C322" t="inlineStr">
        <is>
          <t>2026-01-11 20:20:31</t>
        </is>
      </c>
      <c r="D322" t="inlineStr">
        <is>
          <t>2</t>
        </is>
      </c>
      <c r="E322" t="inlineStr">
        <is>
          <t>Sha Sha - Shandaar Shawarma</t>
        </is>
      </c>
      <c r="F322" t="inlineStr">
        <is>
          <t>18557902</t>
        </is>
      </c>
      <c r="G322" t="inlineStr">
        <is>
          <t>30% off upto ₹75 (2025-06-25 - 2031-01-01)</t>
        </is>
      </c>
      <c r="H322" t="inlineStr">
        <is>
          <t>ONLINE</t>
        </is>
      </c>
      <c r="I322" t="inlineStr">
        <is>
          <t>DELIVERED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O2</t>
        </is>
      </c>
      <c r="N322" t="inlineStr">
        <is>
          <t>36</t>
        </is>
      </c>
      <c r="O322" t="n">
        <v>358</v>
      </c>
      <c r="P322" t="n">
        <v>3.5</v>
      </c>
      <c r="Q322" t="n">
        <v>0</v>
      </c>
      <c r="R322" t="n">
        <v>75</v>
      </c>
      <c r="S322" t="n">
        <v>0</v>
      </c>
      <c r="T322" t="n">
        <v>0</v>
      </c>
      <c r="U322" t="n">
        <v>0</v>
      </c>
      <c r="V322" t="n">
        <v>14.33</v>
      </c>
      <c r="W322" t="n">
        <v>300.83</v>
      </c>
      <c r="X322" t="n">
        <v>286.5</v>
      </c>
      <c r="Y322" t="n">
        <v>19</v>
      </c>
      <c r="Z322" t="n">
        <v>54.44</v>
      </c>
      <c r="AA322" t="n">
        <v>5.54</v>
      </c>
      <c r="AB322" t="n">
        <v>59.98</v>
      </c>
      <c r="AC322" t="n">
        <v>10.8</v>
      </c>
      <c r="AD322" t="n">
        <v>0</v>
      </c>
      <c r="AE322" t="n">
        <v>286.5</v>
      </c>
      <c r="AF322" t="n">
        <v>0</v>
      </c>
      <c r="AG322" t="n">
        <v>0</v>
      </c>
      <c r="AH322" t="n">
        <v>0.29</v>
      </c>
      <c r="AI322" t="n">
        <v>14.33</v>
      </c>
      <c r="AJ322" t="n">
        <v>0</v>
      </c>
      <c r="AK322" t="n">
        <v>25.42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85.40000000000001</v>
      </c>
      <c r="AV322" t="n">
        <v>0</v>
      </c>
      <c r="AW322" t="n">
        <v>215.43</v>
      </c>
      <c r="AX322" t="inlineStr">
        <is>
          <t>settled</t>
        </is>
      </c>
      <c r="AY322" t="inlineStr">
        <is>
          <t>2026-01-14 05:30:00</t>
        </is>
      </c>
      <c r="AZ322" t="inlineStr">
        <is>
          <t>CITIN26605478364</t>
        </is>
      </c>
      <c r="BA322" t="n">
        <v>0</v>
      </c>
      <c r="BB322" t="inlineStr">
        <is>
          <t>3705afc772b1f0f5b4a0136aeebb24e865b35b77fc681db73030ddac286169cf</t>
        </is>
      </c>
    </row>
    <row r="323">
      <c r="A323" t="inlineStr">
        <is>
          <t>318</t>
        </is>
      </c>
      <c r="B323" t="inlineStr">
        <is>
          <t>7679440387</t>
        </is>
      </c>
      <c r="C323" t="inlineStr">
        <is>
          <t>2026-01-11 21:08:46</t>
        </is>
      </c>
      <c r="D323" t="inlineStr">
        <is>
          <t>2</t>
        </is>
      </c>
      <c r="E323" t="inlineStr">
        <is>
          <t>Sha Sha - Shandaar Shawarma</t>
        </is>
      </c>
      <c r="F323" t="inlineStr">
        <is>
          <t>18557902</t>
        </is>
      </c>
      <c r="G323" t="inlineStr">
        <is>
          <t>30% off upto ₹75 (2025-06-25 - 2031-01-01)</t>
        </is>
      </c>
      <c r="H323" t="inlineStr">
        <is>
          <t>ONLINE</t>
        </is>
      </c>
      <c r="I323" t="inlineStr">
        <is>
          <t>DELIVERED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O2</t>
        </is>
      </c>
      <c r="N323" t="inlineStr">
        <is>
          <t>36</t>
        </is>
      </c>
      <c r="O323" t="n">
        <v>458</v>
      </c>
      <c r="P323" t="n">
        <v>3.5</v>
      </c>
      <c r="Q323" t="n">
        <v>0</v>
      </c>
      <c r="R323" t="n">
        <v>75</v>
      </c>
      <c r="S323" t="n">
        <v>0</v>
      </c>
      <c r="T323" t="n">
        <v>0</v>
      </c>
      <c r="U323" t="n">
        <v>0</v>
      </c>
      <c r="V323" t="n">
        <v>19.33</v>
      </c>
      <c r="W323" t="n">
        <v>405.83</v>
      </c>
      <c r="X323" t="n">
        <v>386.5</v>
      </c>
      <c r="Y323" t="n">
        <v>19</v>
      </c>
      <c r="Z323" t="n">
        <v>73.44</v>
      </c>
      <c r="AA323" t="n">
        <v>7.47</v>
      </c>
      <c r="AB323" t="n">
        <v>80.91</v>
      </c>
      <c r="AC323" t="n">
        <v>14.56</v>
      </c>
      <c r="AD323" t="n">
        <v>0</v>
      </c>
      <c r="AE323" t="n">
        <v>386.5</v>
      </c>
      <c r="AF323" t="n">
        <v>0</v>
      </c>
      <c r="AG323" t="n">
        <v>0</v>
      </c>
      <c r="AH323" t="n">
        <v>0.39</v>
      </c>
      <c r="AI323" t="n">
        <v>19.33</v>
      </c>
      <c r="AJ323" t="n">
        <v>0</v>
      </c>
      <c r="AK323" t="n">
        <v>34.28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115.19</v>
      </c>
      <c r="AV323" t="n">
        <v>0</v>
      </c>
      <c r="AW323" t="n">
        <v>290.64</v>
      </c>
      <c r="AX323" t="inlineStr">
        <is>
          <t>settled</t>
        </is>
      </c>
      <c r="AY323" t="inlineStr">
        <is>
          <t>2026-01-14 05:30:00</t>
        </is>
      </c>
      <c r="AZ323" t="inlineStr">
        <is>
          <t>CITIN26605478364</t>
        </is>
      </c>
      <c r="BA323" t="n">
        <v>0</v>
      </c>
      <c r="BB323" t="inlineStr">
        <is>
          <t>edb3cba36d69795e5dd9f65d1f77044f7a50f18f5e40e0db6b245fbd2261affe</t>
        </is>
      </c>
    </row>
    <row r="324">
      <c r="A324" t="inlineStr">
        <is>
          <t>319</t>
        </is>
      </c>
      <c r="B324" t="inlineStr">
        <is>
          <t>7667376297</t>
        </is>
      </c>
      <c r="C324" t="inlineStr">
        <is>
          <t>2026-01-11 21:44:51</t>
        </is>
      </c>
      <c r="D324" t="inlineStr">
        <is>
          <t>2</t>
        </is>
      </c>
      <c r="E324" t="inlineStr">
        <is>
          <t>Sha Sha - Shandaar Shawarma</t>
        </is>
      </c>
      <c r="F324" t="inlineStr">
        <is>
          <t>18557902</t>
        </is>
      </c>
      <c r="G324" t="inlineStr">
        <is>
          <t>NA</t>
        </is>
      </c>
      <c r="H324" t="inlineStr">
        <is>
          <t>ONLINE</t>
        </is>
      </c>
      <c r="I324" t="inlineStr">
        <is>
          <t>DELIVERED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O2</t>
        </is>
      </c>
      <c r="N324" t="inlineStr">
        <is>
          <t>36</t>
        </is>
      </c>
      <c r="O324" t="n">
        <v>219</v>
      </c>
      <c r="P324" t="n">
        <v>3.5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11.13</v>
      </c>
      <c r="W324" t="n">
        <v>233.63</v>
      </c>
      <c r="X324" t="n">
        <v>222.5</v>
      </c>
      <c r="Y324" t="n">
        <v>19</v>
      </c>
      <c r="Z324" t="n">
        <v>42.28</v>
      </c>
      <c r="AA324" t="n">
        <v>4.3</v>
      </c>
      <c r="AB324" t="n">
        <v>46.58</v>
      </c>
      <c r="AC324" t="n">
        <v>8.380000000000001</v>
      </c>
      <c r="AD324" t="n">
        <v>0</v>
      </c>
      <c r="AE324" t="n">
        <v>222.5</v>
      </c>
      <c r="AF324" t="n">
        <v>0</v>
      </c>
      <c r="AG324" t="n">
        <v>0</v>
      </c>
      <c r="AH324" t="n">
        <v>0.22</v>
      </c>
      <c r="AI324" t="n">
        <v>11.13</v>
      </c>
      <c r="AJ324" t="n">
        <v>0</v>
      </c>
      <c r="AK324" t="n">
        <v>19.73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66.31</v>
      </c>
      <c r="AV324" t="n">
        <v>0</v>
      </c>
      <c r="AW324" t="n">
        <v>167.32</v>
      </c>
      <c r="AX324" t="inlineStr">
        <is>
          <t>settled</t>
        </is>
      </c>
      <c r="AY324" t="inlineStr">
        <is>
          <t>2026-01-14 05:30:00</t>
        </is>
      </c>
      <c r="AZ324" t="inlineStr">
        <is>
          <t>CITIN26605478364</t>
        </is>
      </c>
      <c r="BA324" t="n">
        <v>0</v>
      </c>
      <c r="BB324" t="inlineStr">
        <is>
          <t>9a5c0494eaeb80db70345eeacc130f39448b7c6461fcf05b7c698fce45b6d43e</t>
        </is>
      </c>
    </row>
    <row r="325">
      <c r="A325" t="inlineStr">
        <is>
          <t>320</t>
        </is>
      </c>
      <c r="B325" t="inlineStr">
        <is>
          <t>7673581585</t>
        </is>
      </c>
      <c r="C325" t="inlineStr">
        <is>
          <t>2026-01-11 21:51:33</t>
        </is>
      </c>
      <c r="D325" t="inlineStr">
        <is>
          <t>2</t>
        </is>
      </c>
      <c r="E325" t="inlineStr">
        <is>
          <t>Sha Sha - Shandaar Shawarma</t>
        </is>
      </c>
      <c r="F325" t="inlineStr">
        <is>
          <t>18557902</t>
        </is>
      </c>
      <c r="G325" t="inlineStr">
        <is>
          <t>30% off upto ₹75 (2025-06-25 - 2031-01-01)</t>
        </is>
      </c>
      <c r="H325" t="inlineStr">
        <is>
          <t>ONLINE</t>
        </is>
      </c>
      <c r="I325" t="inlineStr">
        <is>
          <t>DELIVERED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O2</t>
        </is>
      </c>
      <c r="N325" t="inlineStr">
        <is>
          <t>36</t>
        </is>
      </c>
      <c r="O325" t="n">
        <v>229</v>
      </c>
      <c r="P325" t="n">
        <v>3.5</v>
      </c>
      <c r="Q325" t="n">
        <v>0</v>
      </c>
      <c r="R325" t="n">
        <v>68.7</v>
      </c>
      <c r="S325" t="n">
        <v>0</v>
      </c>
      <c r="T325" t="n">
        <v>0</v>
      </c>
      <c r="U325" t="n">
        <v>0</v>
      </c>
      <c r="V325" t="n">
        <v>8.19</v>
      </c>
      <c r="W325" t="n">
        <v>171.99</v>
      </c>
      <c r="X325" t="n">
        <v>163.8</v>
      </c>
      <c r="Y325" t="n">
        <v>19</v>
      </c>
      <c r="Z325" t="n">
        <v>31.12</v>
      </c>
      <c r="AA325" t="n">
        <v>3.16</v>
      </c>
      <c r="AB325" t="n">
        <v>34.28</v>
      </c>
      <c r="AC325" t="n">
        <v>6.17</v>
      </c>
      <c r="AD325" t="n">
        <v>0</v>
      </c>
      <c r="AE325" t="n">
        <v>163.8</v>
      </c>
      <c r="AF325" t="n">
        <v>0</v>
      </c>
      <c r="AG325" t="n">
        <v>0</v>
      </c>
      <c r="AH325" t="n">
        <v>0.16</v>
      </c>
      <c r="AI325" t="n">
        <v>8.199999999999999</v>
      </c>
      <c r="AJ325" t="n">
        <v>-0.01</v>
      </c>
      <c r="AK325" t="n">
        <v>14.53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48.81</v>
      </c>
      <c r="AV325" t="n">
        <v>0</v>
      </c>
      <c r="AW325" t="n">
        <v>123.18</v>
      </c>
      <c r="AX325" t="inlineStr">
        <is>
          <t>settled</t>
        </is>
      </c>
      <c r="AY325" t="inlineStr">
        <is>
          <t>2026-01-14 05:30:00</t>
        </is>
      </c>
      <c r="AZ325" t="inlineStr">
        <is>
          <t>CITIN26605478364</t>
        </is>
      </c>
      <c r="BA325" t="n">
        <v>0</v>
      </c>
      <c r="BB325" t="inlineStr">
        <is>
          <t>3615bbab2ece159dec95f89aab443c45ec95dbd6cfa4d96f9cce32e8a91ecb4c</t>
        </is>
      </c>
    </row>
    <row r="326">
      <c r="A326" t="inlineStr">
        <is>
          <t>321</t>
        </is>
      </c>
      <c r="B326" t="inlineStr">
        <is>
          <t>7667559464</t>
        </is>
      </c>
      <c r="C326" t="inlineStr">
        <is>
          <t>2026-01-11 22:06:46</t>
        </is>
      </c>
      <c r="D326" t="inlineStr">
        <is>
          <t>2</t>
        </is>
      </c>
      <c r="E326" t="inlineStr">
        <is>
          <t>Sha Sha - Shandaar Shawarma</t>
        </is>
      </c>
      <c r="F326" t="inlineStr">
        <is>
          <t>18557902</t>
        </is>
      </c>
      <c r="G326" t="inlineStr">
        <is>
          <t>30% off upto ₹75 (2025-06-25 - 2031-01-01)</t>
        </is>
      </c>
      <c r="H326" t="inlineStr">
        <is>
          <t>ONLINE</t>
        </is>
      </c>
      <c r="I326" t="inlineStr">
        <is>
          <t>DELIVERED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O2</t>
        </is>
      </c>
      <c r="N326" t="inlineStr">
        <is>
          <t>36</t>
        </is>
      </c>
      <c r="O326" t="n">
        <v>458</v>
      </c>
      <c r="P326" t="n">
        <v>3.5</v>
      </c>
      <c r="Q326" t="n">
        <v>0</v>
      </c>
      <c r="R326" t="n">
        <v>75</v>
      </c>
      <c r="S326" t="n">
        <v>0</v>
      </c>
      <c r="T326" t="n">
        <v>0</v>
      </c>
      <c r="U326" t="n">
        <v>0</v>
      </c>
      <c r="V326" t="n">
        <v>19.33</v>
      </c>
      <c r="W326" t="n">
        <v>405.83</v>
      </c>
      <c r="X326" t="n">
        <v>386.5</v>
      </c>
      <c r="Y326" t="n">
        <v>19</v>
      </c>
      <c r="Z326" t="n">
        <v>73.44</v>
      </c>
      <c r="AA326" t="n">
        <v>7.47</v>
      </c>
      <c r="AB326" t="n">
        <v>80.91</v>
      </c>
      <c r="AC326" t="n">
        <v>14.56</v>
      </c>
      <c r="AD326" t="n">
        <v>0</v>
      </c>
      <c r="AE326" t="n">
        <v>386.5</v>
      </c>
      <c r="AF326" t="n">
        <v>0</v>
      </c>
      <c r="AG326" t="n">
        <v>0</v>
      </c>
      <c r="AH326" t="n">
        <v>0.39</v>
      </c>
      <c r="AI326" t="n">
        <v>19.33</v>
      </c>
      <c r="AJ326" t="n">
        <v>0</v>
      </c>
      <c r="AK326" t="n">
        <v>34.28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115.19</v>
      </c>
      <c r="AV326" t="n">
        <v>0</v>
      </c>
      <c r="AW326" t="n">
        <v>290.64</v>
      </c>
      <c r="AX326" t="inlineStr">
        <is>
          <t>settled</t>
        </is>
      </c>
      <c r="AY326" t="inlineStr">
        <is>
          <t>2026-01-14 05:30:00</t>
        </is>
      </c>
      <c r="AZ326" t="inlineStr">
        <is>
          <t>CITIN26605478364</t>
        </is>
      </c>
      <c r="BA326" t="n">
        <v>0</v>
      </c>
      <c r="BB326" t="inlineStr">
        <is>
          <t>a0e49e7c227e64cc4629008597e174d56eac9011341a3c67dd61b8362e0a8100</t>
        </is>
      </c>
    </row>
    <row r="327">
      <c r="A327" t="inlineStr">
        <is>
          <t>322</t>
        </is>
      </c>
      <c r="B327" t="inlineStr">
        <is>
          <t>7670986241</t>
        </is>
      </c>
      <c r="C327" t="inlineStr">
        <is>
          <t>2026-01-11 22:14:56</t>
        </is>
      </c>
      <c r="D327" t="inlineStr">
        <is>
          <t>2</t>
        </is>
      </c>
      <c r="E327" t="inlineStr">
        <is>
          <t>Sha Sha - Shandaar Shawarma</t>
        </is>
      </c>
      <c r="F327" t="inlineStr">
        <is>
          <t>18557902</t>
        </is>
      </c>
      <c r="G327" t="inlineStr">
        <is>
          <t>30% off upto ₹75 (2025-06-25 - 2031-01-01)</t>
        </is>
      </c>
      <c r="H327" t="inlineStr">
        <is>
          <t>ONLINE</t>
        </is>
      </c>
      <c r="I327" t="inlineStr">
        <is>
          <t>DELIVERED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O2</t>
        </is>
      </c>
      <c r="N327" t="inlineStr">
        <is>
          <t>36</t>
        </is>
      </c>
      <c r="O327" t="n">
        <v>416</v>
      </c>
      <c r="P327" t="n">
        <v>3.5</v>
      </c>
      <c r="Q327" t="n">
        <v>0</v>
      </c>
      <c r="R327" t="n">
        <v>75</v>
      </c>
      <c r="S327" t="n">
        <v>0</v>
      </c>
      <c r="T327" t="n">
        <v>0</v>
      </c>
      <c r="U327" t="n">
        <v>0</v>
      </c>
      <c r="V327" t="n">
        <v>17.23</v>
      </c>
      <c r="W327" t="n">
        <v>361.73</v>
      </c>
      <c r="X327" t="n">
        <v>344.5</v>
      </c>
      <c r="Y327" t="n">
        <v>19</v>
      </c>
      <c r="Z327" t="n">
        <v>65.45999999999999</v>
      </c>
      <c r="AA327" t="n">
        <v>6.66</v>
      </c>
      <c r="AB327" t="n">
        <v>72.12</v>
      </c>
      <c r="AC327" t="n">
        <v>12.98</v>
      </c>
      <c r="AD327" t="n">
        <v>0</v>
      </c>
      <c r="AE327" t="n">
        <v>344.5</v>
      </c>
      <c r="AF327" t="n">
        <v>0</v>
      </c>
      <c r="AG327" t="n">
        <v>0</v>
      </c>
      <c r="AH327" t="n">
        <v>0.34</v>
      </c>
      <c r="AI327" t="n">
        <v>17.23</v>
      </c>
      <c r="AJ327" t="n">
        <v>0</v>
      </c>
      <c r="AK327" t="n">
        <v>30.55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102.67</v>
      </c>
      <c r="AV327" t="n">
        <v>0</v>
      </c>
      <c r="AW327" t="n">
        <v>259.06</v>
      </c>
      <c r="AX327" t="inlineStr">
        <is>
          <t>settled</t>
        </is>
      </c>
      <c r="AY327" t="inlineStr">
        <is>
          <t>2026-01-14 05:30:00</t>
        </is>
      </c>
      <c r="AZ327" t="inlineStr">
        <is>
          <t>CITIN26605478364</t>
        </is>
      </c>
      <c r="BA327" t="n">
        <v>0</v>
      </c>
      <c r="BB327" t="inlineStr">
        <is>
          <t>2a0b4a326a8900dca0a077610a2dafcd296a067ffcf3a2f6631d9516aec0623e</t>
        </is>
      </c>
    </row>
    <row r="328">
      <c r="A328" t="inlineStr">
        <is>
          <t>323</t>
        </is>
      </c>
      <c r="B328" t="inlineStr">
        <is>
          <t>7673045585</t>
        </is>
      </c>
      <c r="C328" t="inlineStr">
        <is>
          <t>2026-01-11 22:58:44</t>
        </is>
      </c>
      <c r="D328" t="inlineStr">
        <is>
          <t>2</t>
        </is>
      </c>
      <c r="E328" t="inlineStr">
        <is>
          <t>Sha Sha - Shandaar Shawarma</t>
        </is>
      </c>
      <c r="F328" t="inlineStr">
        <is>
          <t>18557902</t>
        </is>
      </c>
      <c r="G328" t="inlineStr">
        <is>
          <t>30% off upto ₹75 (2025-06-25 - 2031-01-01)</t>
        </is>
      </c>
      <c r="H328" t="inlineStr">
        <is>
          <t>ONLINE</t>
        </is>
      </c>
      <c r="I328" t="inlineStr">
        <is>
          <t>DELIVERED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O2</t>
        </is>
      </c>
      <c r="N328" t="inlineStr">
        <is>
          <t>36</t>
        </is>
      </c>
      <c r="O328" t="n">
        <v>229</v>
      </c>
      <c r="P328" t="n">
        <v>3.5</v>
      </c>
      <c r="Q328" t="n">
        <v>0</v>
      </c>
      <c r="R328" t="n">
        <v>68.7</v>
      </c>
      <c r="S328" t="n">
        <v>0</v>
      </c>
      <c r="T328" t="n">
        <v>0</v>
      </c>
      <c r="U328" t="n">
        <v>0</v>
      </c>
      <c r="V328" t="n">
        <v>8.19</v>
      </c>
      <c r="W328" t="n">
        <v>171.99</v>
      </c>
      <c r="X328" t="n">
        <v>163.8</v>
      </c>
      <c r="Y328" t="n">
        <v>19</v>
      </c>
      <c r="Z328" t="n">
        <v>31.12</v>
      </c>
      <c r="AA328" t="n">
        <v>3.16</v>
      </c>
      <c r="AB328" t="n">
        <v>34.28</v>
      </c>
      <c r="AC328" t="n">
        <v>6.17</v>
      </c>
      <c r="AD328" t="n">
        <v>0</v>
      </c>
      <c r="AE328" t="n">
        <v>163.8</v>
      </c>
      <c r="AF328" t="n">
        <v>0</v>
      </c>
      <c r="AG328" t="n">
        <v>0</v>
      </c>
      <c r="AH328" t="n">
        <v>0.16</v>
      </c>
      <c r="AI328" t="n">
        <v>8.199999999999999</v>
      </c>
      <c r="AJ328" t="n">
        <v>-0.01</v>
      </c>
      <c r="AK328" t="n">
        <v>14.53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48.81</v>
      </c>
      <c r="AV328" t="n">
        <v>0</v>
      </c>
      <c r="AW328" t="n">
        <v>123.18</v>
      </c>
      <c r="AX328" t="inlineStr">
        <is>
          <t>settled</t>
        </is>
      </c>
      <c r="AY328" t="inlineStr">
        <is>
          <t>2026-01-14 05:30:00</t>
        </is>
      </c>
      <c r="AZ328" t="inlineStr">
        <is>
          <t>CITIN26605478364</t>
        </is>
      </c>
      <c r="BA328" t="n">
        <v>0</v>
      </c>
      <c r="BB328" t="inlineStr">
        <is>
          <t>cd5466b629f01037eb0f73bc404901f928dd5503e36c42650d4ea5e9a2b33cb6</t>
        </is>
      </c>
    </row>
    <row r="329">
      <c r="A329" t="inlineStr">
        <is>
          <t>324</t>
        </is>
      </c>
      <c r="B329" t="inlineStr">
        <is>
          <t>7678073088</t>
        </is>
      </c>
      <c r="C329" t="inlineStr">
        <is>
          <t>2026-01-11 23:20:19</t>
        </is>
      </c>
      <c r="D329" t="inlineStr">
        <is>
          <t>2</t>
        </is>
      </c>
      <c r="E329" t="inlineStr">
        <is>
          <t>Sha Sha - Shandaar Shawarma</t>
        </is>
      </c>
      <c r="F329" t="inlineStr">
        <is>
          <t>18557902</t>
        </is>
      </c>
      <c r="G329" t="inlineStr">
        <is>
          <t>NA</t>
        </is>
      </c>
      <c r="H329" t="inlineStr">
        <is>
          <t>ONLINE</t>
        </is>
      </c>
      <c r="I329" t="inlineStr">
        <is>
          <t>DELIVERED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O2</t>
        </is>
      </c>
      <c r="N329" t="inlineStr">
        <is>
          <t>36</t>
        </is>
      </c>
      <c r="O329" t="n">
        <v>229</v>
      </c>
      <c r="P329" t="n">
        <v>3.5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11.63</v>
      </c>
      <c r="W329" t="n">
        <v>244.13</v>
      </c>
      <c r="X329" t="n">
        <v>232.5</v>
      </c>
      <c r="Y329" t="n">
        <v>19</v>
      </c>
      <c r="Z329" t="n">
        <v>44.18</v>
      </c>
      <c r="AA329" t="n">
        <v>4.49</v>
      </c>
      <c r="AB329" t="n">
        <v>48.67</v>
      </c>
      <c r="AC329" t="n">
        <v>8.76</v>
      </c>
      <c r="AD329" t="n">
        <v>0</v>
      </c>
      <c r="AE329" t="n">
        <v>232.5</v>
      </c>
      <c r="AF329" t="n">
        <v>0</v>
      </c>
      <c r="AG329" t="n">
        <v>0</v>
      </c>
      <c r="AH329" t="n">
        <v>0.23</v>
      </c>
      <c r="AI329" t="n">
        <v>11.63</v>
      </c>
      <c r="AJ329" t="n">
        <v>0</v>
      </c>
      <c r="AK329" t="n">
        <v>20.62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69.29000000000001</v>
      </c>
      <c r="AV329" t="n">
        <v>0</v>
      </c>
      <c r="AW329" t="n">
        <v>174.84</v>
      </c>
      <c r="AX329" t="inlineStr">
        <is>
          <t>settled</t>
        </is>
      </c>
      <c r="AY329" t="inlineStr">
        <is>
          <t>2026-01-14 05:30:00</t>
        </is>
      </c>
      <c r="AZ329" t="inlineStr">
        <is>
          <t>CITIN26605478364</t>
        </is>
      </c>
      <c r="BA329" t="n">
        <v>0</v>
      </c>
      <c r="BB329" t="inlineStr">
        <is>
          <t>89bf16e9776ad67e6efb193a383485cb4f0e041f577c20b8fb6c7bc91fc43c54</t>
        </is>
      </c>
    </row>
    <row r="330">
      <c r="A330" t="inlineStr">
        <is>
          <t>325</t>
        </is>
      </c>
      <c r="B330" t="inlineStr">
        <is>
          <t>7680828960</t>
        </is>
      </c>
      <c r="C330" t="inlineStr">
        <is>
          <t>2026-01-11 23:37:44</t>
        </is>
      </c>
      <c r="D330" t="inlineStr">
        <is>
          <t>2</t>
        </is>
      </c>
      <c r="E330" t="inlineStr">
        <is>
          <t>Sha Sha - Shandaar Shawarma</t>
        </is>
      </c>
      <c r="F330" t="inlineStr">
        <is>
          <t>18557902</t>
        </is>
      </c>
      <c r="G330" t="inlineStr">
        <is>
          <t>30% off upto ₹75 (2025-06-25 - 2031-01-01)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O2</t>
        </is>
      </c>
      <c r="N330" t="inlineStr">
        <is>
          <t>36</t>
        </is>
      </c>
      <c r="O330" t="n">
        <v>229</v>
      </c>
      <c r="P330" t="n">
        <v>3.5</v>
      </c>
      <c r="Q330" t="n">
        <v>0</v>
      </c>
      <c r="R330" t="n">
        <v>68.7</v>
      </c>
      <c r="S330" t="n">
        <v>0</v>
      </c>
      <c r="T330" t="n">
        <v>0</v>
      </c>
      <c r="U330" t="n">
        <v>0</v>
      </c>
      <c r="V330" t="n">
        <v>8.19</v>
      </c>
      <c r="W330" t="n">
        <v>171.99</v>
      </c>
      <c r="X330" t="n">
        <v>163.8</v>
      </c>
      <c r="Y330" t="n">
        <v>19</v>
      </c>
      <c r="Z330" t="n">
        <v>31.12</v>
      </c>
      <c r="AA330" t="n">
        <v>3.16</v>
      </c>
      <c r="AB330" t="n">
        <v>34.28</v>
      </c>
      <c r="AC330" t="n">
        <v>6.17</v>
      </c>
      <c r="AD330" t="n">
        <v>0</v>
      </c>
      <c r="AE330" t="n">
        <v>163.8</v>
      </c>
      <c r="AF330" t="n">
        <v>0</v>
      </c>
      <c r="AG330" t="n">
        <v>0</v>
      </c>
      <c r="AH330" t="n">
        <v>0.16</v>
      </c>
      <c r="AI330" t="n">
        <v>8.199999999999999</v>
      </c>
      <c r="AJ330" t="n">
        <v>-0.01</v>
      </c>
      <c r="AK330" t="n">
        <v>14.53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48.81</v>
      </c>
      <c r="AV330" t="n">
        <v>0</v>
      </c>
      <c r="AW330" t="n">
        <v>123.18</v>
      </c>
      <c r="AX330" t="inlineStr">
        <is>
          <t>settled</t>
        </is>
      </c>
      <c r="AY330" t="inlineStr">
        <is>
          <t>2026-01-14 05:30:00</t>
        </is>
      </c>
      <c r="AZ330" t="inlineStr">
        <is>
          <t>CITIN26605478364</t>
        </is>
      </c>
      <c r="BA330" t="n">
        <v>0</v>
      </c>
      <c r="BB330" t="inlineStr">
        <is>
          <t>c864cabf967482366bc1c469efc09862e44310c384611918b958675dd5273767</t>
        </is>
      </c>
    </row>
    <row r="331">
      <c r="A331" t="inlineStr">
        <is>
          <t>326</t>
        </is>
      </c>
      <c r="B331" t="inlineStr">
        <is>
          <t>7682180091</t>
        </is>
      </c>
      <c r="C331" t="inlineStr">
        <is>
          <t>2026-01-11 23:55:21</t>
        </is>
      </c>
      <c r="D331" t="inlineStr">
        <is>
          <t>2</t>
        </is>
      </c>
      <c r="E331" t="inlineStr">
        <is>
          <t>Sha Sha - Shandaar Shawarma</t>
        </is>
      </c>
      <c r="F331" t="inlineStr">
        <is>
          <t>18557902</t>
        </is>
      </c>
      <c r="G331" t="inlineStr">
        <is>
          <t>30% off upto ₹75 (2025-06-25 - 2031-01-01)</t>
        </is>
      </c>
      <c r="H331" t="inlineStr">
        <is>
          <t>ONLINE</t>
        </is>
      </c>
      <c r="I331" t="inlineStr">
        <is>
          <t>DELIVERED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O2</t>
        </is>
      </c>
      <c r="N331" t="inlineStr">
        <is>
          <t>36</t>
        </is>
      </c>
      <c r="O331" t="n">
        <v>458</v>
      </c>
      <c r="P331" t="n">
        <v>3.5</v>
      </c>
      <c r="Q331" t="n">
        <v>0</v>
      </c>
      <c r="R331" t="n">
        <v>75</v>
      </c>
      <c r="S331" t="n">
        <v>0</v>
      </c>
      <c r="T331" t="n">
        <v>0</v>
      </c>
      <c r="U331" t="n">
        <v>0</v>
      </c>
      <c r="V331" t="n">
        <v>19.33</v>
      </c>
      <c r="W331" t="n">
        <v>405.83</v>
      </c>
      <c r="X331" t="n">
        <v>386.5</v>
      </c>
      <c r="Y331" t="n">
        <v>19</v>
      </c>
      <c r="Z331" t="n">
        <v>73.44</v>
      </c>
      <c r="AA331" t="n">
        <v>7.47</v>
      </c>
      <c r="AB331" t="n">
        <v>80.91</v>
      </c>
      <c r="AC331" t="n">
        <v>14.56</v>
      </c>
      <c r="AD331" t="n">
        <v>0</v>
      </c>
      <c r="AE331" t="n">
        <v>386.5</v>
      </c>
      <c r="AF331" t="n">
        <v>0</v>
      </c>
      <c r="AG331" t="n">
        <v>0</v>
      </c>
      <c r="AH331" t="n">
        <v>0.39</v>
      </c>
      <c r="AI331" t="n">
        <v>19.33</v>
      </c>
      <c r="AJ331" t="n">
        <v>0</v>
      </c>
      <c r="AK331" t="n">
        <v>34.28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115.19</v>
      </c>
      <c r="AV331" t="n">
        <v>0</v>
      </c>
      <c r="AW331" t="n">
        <v>290.64</v>
      </c>
      <c r="AX331" t="inlineStr">
        <is>
          <t>settled</t>
        </is>
      </c>
      <c r="AY331" t="inlineStr">
        <is>
          <t>2026-01-14 05:30:00</t>
        </is>
      </c>
      <c r="AZ331" t="inlineStr">
        <is>
          <t>CITIN26605478364</t>
        </is>
      </c>
      <c r="BA331" t="n">
        <v>0</v>
      </c>
      <c r="BB331" t="inlineStr">
        <is>
          <t>f2331c06fce7437b2ae7836284653b4167b86b7c5a15f679b9ac72ee4b572167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33168698</t>
        </is>
      </c>
      <c r="E13" t="inlineStr">
        <is>
          <t>07 January 26 - 11 January 26</t>
        </is>
      </c>
      <c r="F13" t="inlineStr">
        <is>
          <t>settled</t>
        </is>
      </c>
      <c r="G13" t="n">
        <v>4001.61</v>
      </c>
      <c r="H13" t="n">
        <v>4001.61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33001818</t>
        </is>
      </c>
      <c r="E14" t="inlineStr">
        <is>
          <t>05 January 26 - 06 January 26</t>
        </is>
      </c>
      <c r="F14" t="inlineStr">
        <is>
          <t>settled</t>
        </is>
      </c>
      <c r="G14" t="n">
        <v>892.08</v>
      </c>
      <c r="H14" t="n">
        <v>892.08</v>
      </c>
      <c r="I14" t="n">
        <v>0</v>
      </c>
    </row>
    <row r="15">
      <c r="B15" t="inlineStr">
        <is>
          <t>Total Ads &amp; miscellaneous services</t>
        </is>
      </c>
      <c r="G15" t="n">
        <v>4893.69</v>
      </c>
      <c r="H15" t="n">
        <v>4893.69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4893.69</v>
      </c>
      <c r="H23" t="n">
        <v>4893.69</v>
      </c>
      <c r="I2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288"/>
  <sheetViews>
    <sheetView workbookViewId="0">
      <selection activeCell="A1" sqref="A1"/>
    </sheetView>
  </sheetViews>
  <sheetFormatPr baseColWidth="8" defaultRowHeight="15"/>
  <sheetData>
    <row r="1">
      <c r="O1" t="n">
        <v>219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219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167.32</v>
      </c>
      <c r="AW1" t="n">
        <v>167.32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83250</v>
      </c>
      <c r="P2" t="n">
        <v>983.5</v>
      </c>
      <c r="Q2" t="n">
        <v>0</v>
      </c>
      <c r="R2" t="n">
        <v>16044.90000000005</v>
      </c>
      <c r="S2" t="n">
        <v>0</v>
      </c>
      <c r="T2" t="n">
        <v>0</v>
      </c>
      <c r="U2" t="n">
        <v>76.65000000000001</v>
      </c>
      <c r="V2" t="n">
        <v>3406.180000000008</v>
      </c>
      <c r="W2" t="n">
        <v>71518.12999999996</v>
      </c>
      <c r="X2" t="n">
        <v>68111.95000000022</v>
      </c>
      <c r="Y2" t="n">
        <v>5413.34</v>
      </c>
      <c r="Z2" t="n">
        <v>13020.02000000006</v>
      </c>
      <c r="AA2" t="n">
        <v>1315.46</v>
      </c>
      <c r="AB2" t="n">
        <v>14335.48000000002</v>
      </c>
      <c r="AC2" t="n">
        <v>2580.410000000007</v>
      </c>
      <c r="AD2" t="n">
        <v>0</v>
      </c>
      <c r="AE2" t="n">
        <v>68111.95000000022</v>
      </c>
      <c r="AF2" t="n">
        <v>0</v>
      </c>
      <c r="AG2" t="n">
        <v>0</v>
      </c>
      <c r="AH2" t="n">
        <v>67.8899999999997</v>
      </c>
      <c r="AI2" t="n">
        <v>3407.829999999991</v>
      </c>
      <c r="AJ2" t="n">
        <v>-1.650000000000001</v>
      </c>
      <c r="AK2" t="n">
        <v>6056.130000000001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20391.61000000002</v>
      </c>
      <c r="AV2" t="n">
        <v>0</v>
      </c>
      <c r="AW2" t="n">
        <v>51126.52000000003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98235</v>
      </c>
      <c r="P3" t="n">
        <v>1160.53</v>
      </c>
      <c r="Q3" t="n">
        <v>0</v>
      </c>
      <c r="R3" t="n">
        <v>18932.98200000006</v>
      </c>
      <c r="S3" t="n">
        <v>0</v>
      </c>
      <c r="T3" t="n">
        <v>0</v>
      </c>
      <c r="U3" t="n">
        <v>90.447</v>
      </c>
      <c r="V3" t="n">
        <v>4019.29240000001</v>
      </c>
      <c r="W3" t="n">
        <v>84391.39339999994</v>
      </c>
      <c r="X3" t="n">
        <v>80372.10100000026</v>
      </c>
      <c r="Y3" t="n">
        <v>6387.741199999999</v>
      </c>
      <c r="Z3" t="n">
        <v>15363.62360000007</v>
      </c>
      <c r="AA3" t="n">
        <v>1552.2428</v>
      </c>
      <c r="AB3" t="n">
        <v>16915.86640000002</v>
      </c>
      <c r="AC3" t="n">
        <v>3044.883800000008</v>
      </c>
      <c r="AD3" t="n">
        <v>0</v>
      </c>
      <c r="AE3" t="n">
        <v>80372.10100000026</v>
      </c>
      <c r="AF3" t="n">
        <v>0</v>
      </c>
      <c r="AG3" t="n">
        <v>0</v>
      </c>
      <c r="AH3" t="n">
        <v>80.11019999999965</v>
      </c>
      <c r="AI3" t="n">
        <v>4021.239399999989</v>
      </c>
      <c r="AJ3" t="n">
        <v>-1.947000000000001</v>
      </c>
      <c r="AK3" t="n">
        <v>7146.233400000001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24062.09980000002</v>
      </c>
      <c r="AV3" t="n">
        <v>0</v>
      </c>
      <c r="AW3" t="n">
        <v>60329.29360000003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83469</v>
      </c>
      <c r="P4" t="n">
        <v>983.5</v>
      </c>
      <c r="Q4" t="n">
        <v>0</v>
      </c>
      <c r="R4" t="n">
        <v>16044.90000000005</v>
      </c>
      <c r="S4" t="n">
        <v>0</v>
      </c>
      <c r="T4" t="n">
        <v>0</v>
      </c>
      <c r="U4" t="n">
        <v>76.65000000000001</v>
      </c>
      <c r="V4" t="n">
        <v>3406.180000000008</v>
      </c>
      <c r="W4" t="n">
        <v>71737.12999999996</v>
      </c>
      <c r="X4" t="n">
        <v>68111.95000000022</v>
      </c>
      <c r="Y4" t="n">
        <v>5413.34</v>
      </c>
      <c r="Z4" t="n">
        <v>13020.02000000006</v>
      </c>
      <c r="AA4" t="n">
        <v>1315.46</v>
      </c>
      <c r="AB4" t="n">
        <v>14335.48000000002</v>
      </c>
      <c r="AC4" t="n">
        <v>2580.410000000007</v>
      </c>
      <c r="AD4" t="n">
        <v>0</v>
      </c>
      <c r="AE4" t="n">
        <v>68111.95000000022</v>
      </c>
      <c r="AF4" t="n">
        <v>0</v>
      </c>
      <c r="AG4" t="n">
        <v>0</v>
      </c>
      <c r="AH4" t="n">
        <v>67.8899999999997</v>
      </c>
      <c r="AI4" t="n">
        <v>3407.829999999991</v>
      </c>
      <c r="AJ4" t="n">
        <v>-1.650000000000001</v>
      </c>
      <c r="AK4" t="n">
        <v>6056.130000000001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20391.61000000002</v>
      </c>
      <c r="AV4" t="n">
        <v>167.32</v>
      </c>
      <c r="AW4" t="n">
        <v>51293.84000000003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</t>
        </is>
      </c>
      <c r="B6" t="inlineStr">
        <is>
          <t>7682376457</t>
        </is>
      </c>
      <c r="C6" t="inlineStr">
        <is>
          <t>2026-01-12 00:08:40</t>
        </is>
      </c>
      <c r="D6" t="inlineStr">
        <is>
          <t>3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219</v>
      </c>
      <c r="P6" t="n">
        <v>3.5</v>
      </c>
      <c r="Q6" t="n">
        <v>0</v>
      </c>
      <c r="R6" t="n">
        <v>65.7</v>
      </c>
      <c r="S6" t="n">
        <v>0</v>
      </c>
      <c r="T6" t="n">
        <v>0</v>
      </c>
      <c r="U6" t="n">
        <v>0</v>
      </c>
      <c r="V6" t="n">
        <v>7.84</v>
      </c>
      <c r="W6" t="n">
        <v>164.64</v>
      </c>
      <c r="X6" t="n">
        <v>156.8</v>
      </c>
      <c r="Y6" t="n">
        <v>19</v>
      </c>
      <c r="Z6" t="n">
        <v>29.79</v>
      </c>
      <c r="AA6" t="n">
        <v>3.03</v>
      </c>
      <c r="AB6" t="n">
        <v>32.82</v>
      </c>
      <c r="AC6" t="n">
        <v>5.91</v>
      </c>
      <c r="AD6" t="n">
        <v>0</v>
      </c>
      <c r="AE6" t="n">
        <v>156.8</v>
      </c>
      <c r="AF6" t="n">
        <v>0</v>
      </c>
      <c r="AG6" t="n">
        <v>0</v>
      </c>
      <c r="AH6" t="n">
        <v>0.16</v>
      </c>
      <c r="AI6" t="n">
        <v>7.85</v>
      </c>
      <c r="AJ6" t="n">
        <v>-0.01</v>
      </c>
      <c r="AK6" t="n">
        <v>13.92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46.74</v>
      </c>
      <c r="AV6" t="n">
        <v>0</v>
      </c>
      <c r="AW6" t="n">
        <v>117.9</v>
      </c>
      <c r="AX6" t="inlineStr">
        <is>
          <t>settled</t>
        </is>
      </c>
      <c r="AY6" t="inlineStr">
        <is>
          <t>2026-01-21 05:30:00</t>
        </is>
      </c>
      <c r="AZ6" t="inlineStr">
        <is>
          <t>CITIN26608218588</t>
        </is>
      </c>
      <c r="BA6" t="n">
        <v>0</v>
      </c>
      <c r="BB6" t="inlineStr">
        <is>
          <t>f5c9e83f465cca4cb652242402e9c88f2b5e870713999fb09c705218687db987</t>
        </is>
      </c>
    </row>
    <row r="7">
      <c r="A7" t="inlineStr">
        <is>
          <t>2</t>
        </is>
      </c>
      <c r="B7" t="inlineStr">
        <is>
          <t>7679626720</t>
        </is>
      </c>
      <c r="C7" t="inlineStr">
        <is>
          <t>2026-01-12 00:39:47</t>
        </is>
      </c>
      <c r="D7" t="inlineStr">
        <is>
          <t>3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NA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219</v>
      </c>
      <c r="P7" t="n">
        <v>3.5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11.13</v>
      </c>
      <c r="W7" t="n">
        <v>233.63</v>
      </c>
      <c r="X7" t="n">
        <v>222.5</v>
      </c>
      <c r="Y7" t="n">
        <v>19</v>
      </c>
      <c r="Z7" t="n">
        <v>42.28</v>
      </c>
      <c r="AA7" t="n">
        <v>4.3</v>
      </c>
      <c r="AB7" t="n">
        <v>46.58</v>
      </c>
      <c r="AC7" t="n">
        <v>8.380000000000001</v>
      </c>
      <c r="AD7" t="n">
        <v>0</v>
      </c>
      <c r="AE7" t="n">
        <v>222.5</v>
      </c>
      <c r="AF7" t="n">
        <v>0</v>
      </c>
      <c r="AG7" t="n">
        <v>0</v>
      </c>
      <c r="AH7" t="n">
        <v>0.22</v>
      </c>
      <c r="AI7" t="n">
        <v>11.13</v>
      </c>
      <c r="AJ7" t="n">
        <v>0</v>
      </c>
      <c r="AK7" t="n">
        <v>19.73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66.31</v>
      </c>
      <c r="AV7" t="n">
        <v>0</v>
      </c>
      <c r="AW7" t="n">
        <v>167.32</v>
      </c>
      <c r="AX7" t="inlineStr">
        <is>
          <t>settled</t>
        </is>
      </c>
      <c r="AY7" t="inlineStr">
        <is>
          <t>2026-01-21 05:30:00</t>
        </is>
      </c>
      <c r="AZ7" t="inlineStr">
        <is>
          <t>CITIN26608218588</t>
        </is>
      </c>
      <c r="BA7" t="n">
        <v>0</v>
      </c>
      <c r="BB7" t="inlineStr">
        <is>
          <t>03b0f369757d36a84dd6be03dc85ab3d45803f6e2228b7325b95cf4412b13a22</t>
        </is>
      </c>
    </row>
    <row r="8">
      <c r="A8" t="inlineStr">
        <is>
          <t>3</t>
        </is>
      </c>
      <c r="B8" t="inlineStr">
        <is>
          <t>7676201056</t>
        </is>
      </c>
      <c r="C8" t="inlineStr">
        <is>
          <t>2026-01-12 00:41:16</t>
        </is>
      </c>
      <c r="D8" t="inlineStr">
        <is>
          <t>3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NA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219</v>
      </c>
      <c r="P8" t="n">
        <v>3.5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11.13</v>
      </c>
      <c r="W8" t="n">
        <v>233.63</v>
      </c>
      <c r="X8" t="n">
        <v>222.5</v>
      </c>
      <c r="Y8" t="n">
        <v>19</v>
      </c>
      <c r="Z8" t="n">
        <v>42.28</v>
      </c>
      <c r="AA8" t="n">
        <v>4.3</v>
      </c>
      <c r="AB8" t="n">
        <v>46.58</v>
      </c>
      <c r="AC8" t="n">
        <v>8.380000000000001</v>
      </c>
      <c r="AD8" t="n">
        <v>0</v>
      </c>
      <c r="AE8" t="n">
        <v>222.5</v>
      </c>
      <c r="AF8" t="n">
        <v>0</v>
      </c>
      <c r="AG8" t="n">
        <v>0</v>
      </c>
      <c r="AH8" t="n">
        <v>0.22</v>
      </c>
      <c r="AI8" t="n">
        <v>11.13</v>
      </c>
      <c r="AJ8" t="n">
        <v>0</v>
      </c>
      <c r="AK8" t="n">
        <v>19.73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66.31</v>
      </c>
      <c r="AV8" t="n">
        <v>0</v>
      </c>
      <c r="AW8" t="n">
        <v>167.32</v>
      </c>
      <c r="AX8" t="inlineStr">
        <is>
          <t>settled</t>
        </is>
      </c>
      <c r="AY8" t="inlineStr">
        <is>
          <t>2026-01-21 05:30:00</t>
        </is>
      </c>
      <c r="AZ8" t="inlineStr">
        <is>
          <t>CITIN26608218588</t>
        </is>
      </c>
      <c r="BA8" t="n">
        <v>0</v>
      </c>
      <c r="BB8" t="inlineStr">
        <is>
          <t>03b0f369757d36a84dd6be03dc85ab3d45803f6e2228b7325b95cf4412b13a22</t>
        </is>
      </c>
    </row>
    <row r="9">
      <c r="A9" t="inlineStr">
        <is>
          <t>4</t>
        </is>
      </c>
      <c r="B9" t="inlineStr">
        <is>
          <t>7682261671</t>
        </is>
      </c>
      <c r="C9" t="inlineStr">
        <is>
          <t>2026-01-12 01:16:20</t>
        </is>
      </c>
      <c r="D9" t="inlineStr">
        <is>
          <t>3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229</v>
      </c>
      <c r="P9" t="n">
        <v>3.5</v>
      </c>
      <c r="Q9" t="n">
        <v>0</v>
      </c>
      <c r="R9" t="n">
        <v>68.7</v>
      </c>
      <c r="S9" t="n">
        <v>0</v>
      </c>
      <c r="T9" t="n">
        <v>0</v>
      </c>
      <c r="U9" t="n">
        <v>0</v>
      </c>
      <c r="V9" t="n">
        <v>8.19</v>
      </c>
      <c r="W9" t="n">
        <v>171.99</v>
      </c>
      <c r="X9" t="n">
        <v>163.8</v>
      </c>
      <c r="Y9" t="n">
        <v>19</v>
      </c>
      <c r="Z9" t="n">
        <v>31.12</v>
      </c>
      <c r="AA9" t="n">
        <v>3.16</v>
      </c>
      <c r="AB9" t="n">
        <v>34.28</v>
      </c>
      <c r="AC9" t="n">
        <v>6.17</v>
      </c>
      <c r="AD9" t="n">
        <v>0</v>
      </c>
      <c r="AE9" t="n">
        <v>163.8</v>
      </c>
      <c r="AF9" t="n">
        <v>0</v>
      </c>
      <c r="AG9" t="n">
        <v>0</v>
      </c>
      <c r="AH9" t="n">
        <v>0.16</v>
      </c>
      <c r="AI9" t="n">
        <v>8.199999999999999</v>
      </c>
      <c r="AJ9" t="n">
        <v>-0.01</v>
      </c>
      <c r="AK9" t="n">
        <v>14.53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48.81</v>
      </c>
      <c r="AV9" t="n">
        <v>0</v>
      </c>
      <c r="AW9" t="n">
        <v>123.18</v>
      </c>
      <c r="AX9" t="inlineStr">
        <is>
          <t>settled</t>
        </is>
      </c>
      <c r="AY9" t="inlineStr">
        <is>
          <t>2026-01-21 05:30:00</t>
        </is>
      </c>
      <c r="AZ9" t="inlineStr">
        <is>
          <t>CITIN26608218588</t>
        </is>
      </c>
      <c r="BA9" t="n">
        <v>0</v>
      </c>
      <c r="BB9" t="inlineStr">
        <is>
          <t>42ba7bcede19cb228ac1b9b7f3a6410a78610aaae747ae2731c6c66fb6709154</t>
        </is>
      </c>
    </row>
    <row r="10">
      <c r="A10" t="inlineStr">
        <is>
          <t>5</t>
        </is>
      </c>
      <c r="B10" t="inlineStr">
        <is>
          <t>7680525293</t>
        </is>
      </c>
      <c r="C10" t="inlineStr">
        <is>
          <t>2026-01-12 01:34:25</t>
        </is>
      </c>
      <c r="D10" t="inlineStr">
        <is>
          <t>3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229</v>
      </c>
      <c r="P10" t="n">
        <v>3.5</v>
      </c>
      <c r="Q10" t="n">
        <v>0</v>
      </c>
      <c r="R10" t="n">
        <v>68.7</v>
      </c>
      <c r="S10" t="n">
        <v>0</v>
      </c>
      <c r="T10" t="n">
        <v>0</v>
      </c>
      <c r="U10" t="n">
        <v>0</v>
      </c>
      <c r="V10" t="n">
        <v>8.19</v>
      </c>
      <c r="W10" t="n">
        <v>171.99</v>
      </c>
      <c r="X10" t="n">
        <v>163.8</v>
      </c>
      <c r="Y10" t="n">
        <v>19</v>
      </c>
      <c r="Z10" t="n">
        <v>31.12</v>
      </c>
      <c r="AA10" t="n">
        <v>3.16</v>
      </c>
      <c r="AB10" t="n">
        <v>34.28</v>
      </c>
      <c r="AC10" t="n">
        <v>6.17</v>
      </c>
      <c r="AD10" t="n">
        <v>0</v>
      </c>
      <c r="AE10" t="n">
        <v>163.8</v>
      </c>
      <c r="AF10" t="n">
        <v>0</v>
      </c>
      <c r="AG10" t="n">
        <v>0</v>
      </c>
      <c r="AH10" t="n">
        <v>0.16</v>
      </c>
      <c r="AI10" t="n">
        <v>8.199999999999999</v>
      </c>
      <c r="AJ10" t="n">
        <v>-0.01</v>
      </c>
      <c r="AK10" t="n">
        <v>14.53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48.81</v>
      </c>
      <c r="AV10" t="n">
        <v>0</v>
      </c>
      <c r="AW10" t="n">
        <v>123.18</v>
      </c>
      <c r="AX10" t="inlineStr">
        <is>
          <t>settled</t>
        </is>
      </c>
      <c r="AY10" t="inlineStr">
        <is>
          <t>2026-01-21 05:30:00</t>
        </is>
      </c>
      <c r="AZ10" t="inlineStr">
        <is>
          <t>CITIN26608218588</t>
        </is>
      </c>
      <c r="BA10" t="n">
        <v>0</v>
      </c>
      <c r="BB10" t="inlineStr">
        <is>
          <t>85681b30793b69fe38fddafcb9592a5130df6220a573056c642f0af64f18c080</t>
        </is>
      </c>
    </row>
    <row r="11">
      <c r="A11" t="inlineStr">
        <is>
          <t>6</t>
        </is>
      </c>
      <c r="B11" t="inlineStr">
        <is>
          <t>7680748388</t>
        </is>
      </c>
      <c r="C11" t="inlineStr">
        <is>
          <t>2026-01-12 01:34:50</t>
        </is>
      </c>
      <c r="D11" t="inlineStr">
        <is>
          <t>3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NA</t>
        </is>
      </c>
      <c r="H11" t="inlineStr">
        <is>
          <t>ONLINE</t>
        </is>
      </c>
      <c r="I11" t="inlineStr">
        <is>
          <t>CANCELLED</t>
        </is>
      </c>
      <c r="J11" t="inlineStr">
        <is>
          <t>100%</t>
        </is>
      </c>
      <c r="K11" t="inlineStr">
        <is>
          <t>Customer cancellation because they do not require order anymore</t>
        </is>
      </c>
      <c r="L11" t="inlineStr">
        <is>
          <t>Order picked up by rider</t>
        </is>
      </c>
      <c r="M11" t="inlineStr">
        <is>
          <t>O2</t>
        </is>
      </c>
      <c r="N11" t="inlineStr">
        <is>
          <t>NA</t>
        </is>
      </c>
      <c r="O11" t="n">
        <v>219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167.32</v>
      </c>
      <c r="AW11" t="n">
        <v>167.32</v>
      </c>
      <c r="AX11" t="inlineStr">
        <is>
          <t>settled</t>
        </is>
      </c>
      <c r="AY11" t="inlineStr">
        <is>
          <t>2026-01-21 05:30:00</t>
        </is>
      </c>
      <c r="AZ11" t="inlineStr">
        <is>
          <t>CITIN26608218588</t>
        </is>
      </c>
      <c r="BA11" t="n">
        <v>0</v>
      </c>
      <c r="BB11" t="inlineStr">
        <is>
          <t>NA</t>
        </is>
      </c>
    </row>
    <row r="12">
      <c r="A12" t="inlineStr">
        <is>
          <t>7</t>
        </is>
      </c>
      <c r="B12" t="inlineStr">
        <is>
          <t>7676944403</t>
        </is>
      </c>
      <c r="C12" t="inlineStr">
        <is>
          <t>2026-01-12 02:21:25</t>
        </is>
      </c>
      <c r="D12" t="inlineStr">
        <is>
          <t>3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RELISTING</t>
        </is>
      </c>
      <c r="N12" t="inlineStr">
        <is>
          <t>36</t>
        </is>
      </c>
      <c r="O12" t="n">
        <v>219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76.65000000000001</v>
      </c>
      <c r="V12" t="n">
        <v>7.12</v>
      </c>
      <c r="W12" t="n">
        <v>149.47</v>
      </c>
      <c r="X12" t="n">
        <v>142.35</v>
      </c>
      <c r="Y12" t="n">
        <v>74.34</v>
      </c>
      <c r="Z12" t="n">
        <v>105.82</v>
      </c>
      <c r="AA12" t="n">
        <v>2.75</v>
      </c>
      <c r="AB12" t="n">
        <v>108.57</v>
      </c>
      <c r="AC12" t="n">
        <v>19.55</v>
      </c>
      <c r="AD12" t="n">
        <v>0</v>
      </c>
      <c r="AE12" t="n">
        <v>142.35</v>
      </c>
      <c r="AF12" t="n">
        <v>0</v>
      </c>
      <c r="AG12" t="n">
        <v>0</v>
      </c>
      <c r="AH12" t="n">
        <v>0.14</v>
      </c>
      <c r="AI12" t="n">
        <v>7.12</v>
      </c>
      <c r="AJ12" t="n">
        <v>0</v>
      </c>
      <c r="AK12" t="n">
        <v>26.81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135.38</v>
      </c>
      <c r="AV12" t="n">
        <v>0</v>
      </c>
      <c r="AW12" t="n">
        <v>14.09</v>
      </c>
      <c r="AX12" t="inlineStr">
        <is>
          <t>settled</t>
        </is>
      </c>
      <c r="AY12" t="inlineStr">
        <is>
          <t>2026-01-21 05:30:00</t>
        </is>
      </c>
      <c r="AZ12" t="inlineStr">
        <is>
          <t>CITIN26608218588</t>
        </is>
      </c>
      <c r="BA12" t="n">
        <v>0</v>
      </c>
      <c r="BB12" t="inlineStr">
        <is>
          <t>3250297d4d034fec2592f1d04508bbee63452cff5c8486784adc4eadea919bbc</t>
        </is>
      </c>
    </row>
    <row r="13">
      <c r="A13" t="inlineStr">
        <is>
          <t>8</t>
        </is>
      </c>
      <c r="B13" t="inlineStr">
        <is>
          <t>7679370738</t>
        </is>
      </c>
      <c r="C13" t="inlineStr">
        <is>
          <t>2026-01-12 02:35:21</t>
        </is>
      </c>
      <c r="D13" t="inlineStr">
        <is>
          <t>3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229</v>
      </c>
      <c r="P13" t="n">
        <v>3.5</v>
      </c>
      <c r="Q13" t="n">
        <v>0</v>
      </c>
      <c r="R13" t="n">
        <v>68.7</v>
      </c>
      <c r="S13" t="n">
        <v>0</v>
      </c>
      <c r="T13" t="n">
        <v>0</v>
      </c>
      <c r="U13" t="n">
        <v>0</v>
      </c>
      <c r="V13" t="n">
        <v>8.19</v>
      </c>
      <c r="W13" t="n">
        <v>171.99</v>
      </c>
      <c r="X13" t="n">
        <v>163.8</v>
      </c>
      <c r="Y13" t="n">
        <v>19</v>
      </c>
      <c r="Z13" t="n">
        <v>31.12</v>
      </c>
      <c r="AA13" t="n">
        <v>3.16</v>
      </c>
      <c r="AB13" t="n">
        <v>34.28</v>
      </c>
      <c r="AC13" t="n">
        <v>6.17</v>
      </c>
      <c r="AD13" t="n">
        <v>0</v>
      </c>
      <c r="AE13" t="n">
        <v>163.8</v>
      </c>
      <c r="AF13" t="n">
        <v>0</v>
      </c>
      <c r="AG13" t="n">
        <v>0</v>
      </c>
      <c r="AH13" t="n">
        <v>0.16</v>
      </c>
      <c r="AI13" t="n">
        <v>8.199999999999999</v>
      </c>
      <c r="AJ13" t="n">
        <v>-0.01</v>
      </c>
      <c r="AK13" t="n">
        <v>14.53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48.81</v>
      </c>
      <c r="AV13" t="n">
        <v>0</v>
      </c>
      <c r="AW13" t="n">
        <v>123.18</v>
      </c>
      <c r="AX13" t="inlineStr">
        <is>
          <t>settled</t>
        </is>
      </c>
      <c r="AY13" t="inlineStr">
        <is>
          <t>2026-01-21 05:30:00</t>
        </is>
      </c>
      <c r="AZ13" t="inlineStr">
        <is>
          <t>CITIN26608218588</t>
        </is>
      </c>
      <c r="BA13" t="n">
        <v>0</v>
      </c>
      <c r="BB13" t="inlineStr">
        <is>
          <t>c864cabf967482366bc1c469efc09862e44310c384611918b958675dd5273767</t>
        </is>
      </c>
    </row>
    <row r="14">
      <c r="A14" t="inlineStr">
        <is>
          <t>9</t>
        </is>
      </c>
      <c r="B14" t="inlineStr">
        <is>
          <t>7666542671</t>
        </is>
      </c>
      <c r="C14" t="inlineStr">
        <is>
          <t>2026-01-12 02:36:14</t>
        </is>
      </c>
      <c r="D14" t="inlineStr">
        <is>
          <t>3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2026-01-21 05:30:00</t>
        </is>
      </c>
      <c r="AZ14" t="inlineStr">
        <is>
          <t>CITIN26608218588</t>
        </is>
      </c>
      <c r="BA14" t="n">
        <v>0</v>
      </c>
      <c r="BB14" t="inlineStr">
        <is>
          <t>eaade3f7ecf8a9c32b29bb18fe8ae467953b96f88658efaab2284dcbcb05852c</t>
        </is>
      </c>
    </row>
    <row r="15">
      <c r="A15" t="inlineStr">
        <is>
          <t>10</t>
        </is>
      </c>
      <c r="B15" t="inlineStr">
        <is>
          <t>7677344008</t>
        </is>
      </c>
      <c r="C15" t="inlineStr">
        <is>
          <t>2026-01-12 02:49:24</t>
        </is>
      </c>
      <c r="D15" t="inlineStr">
        <is>
          <t>3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NA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646</v>
      </c>
      <c r="P15" t="n">
        <v>3.5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32.48</v>
      </c>
      <c r="W15" t="n">
        <v>681.98</v>
      </c>
      <c r="X15" t="n">
        <v>649.5</v>
      </c>
      <c r="Y15" t="n">
        <v>19</v>
      </c>
      <c r="Z15" t="n">
        <v>123.4</v>
      </c>
      <c r="AA15" t="n">
        <v>12.55</v>
      </c>
      <c r="AB15" t="n">
        <v>135.95</v>
      </c>
      <c r="AC15" t="n">
        <v>24.47</v>
      </c>
      <c r="AD15" t="n">
        <v>0</v>
      </c>
      <c r="AE15" t="n">
        <v>649.5</v>
      </c>
      <c r="AF15" t="n">
        <v>0</v>
      </c>
      <c r="AG15" t="n">
        <v>0</v>
      </c>
      <c r="AH15" t="n">
        <v>0.65</v>
      </c>
      <c r="AI15" t="n">
        <v>32.48</v>
      </c>
      <c r="AJ15" t="n">
        <v>0</v>
      </c>
      <c r="AK15" t="n">
        <v>57.6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193.55</v>
      </c>
      <c r="AV15" t="n">
        <v>0</v>
      </c>
      <c r="AW15" t="n">
        <v>488.43</v>
      </c>
      <c r="AX15" t="inlineStr">
        <is>
          <t>settled</t>
        </is>
      </c>
      <c r="AY15" t="inlineStr">
        <is>
          <t>2026-01-21 05:30:00</t>
        </is>
      </c>
      <c r="AZ15" t="inlineStr">
        <is>
          <t>CITIN26608218588</t>
        </is>
      </c>
      <c r="BA15" t="n">
        <v>0</v>
      </c>
      <c r="BB15" t="inlineStr">
        <is>
          <t>b3e3f74d818264a6ec6fd9b5aa160f98b31571619fafa61d4bd4ce2ae540b117</t>
        </is>
      </c>
    </row>
    <row r="16">
      <c r="A16" t="inlineStr">
        <is>
          <t>11</t>
        </is>
      </c>
      <c r="B16" t="inlineStr">
        <is>
          <t>7681450645</t>
        </is>
      </c>
      <c r="C16" t="inlineStr">
        <is>
          <t>2026-01-12 02:49:55</t>
        </is>
      </c>
      <c r="D16" t="inlineStr">
        <is>
          <t>3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229</v>
      </c>
      <c r="P16" t="n">
        <v>3.5</v>
      </c>
      <c r="Q16" t="n">
        <v>0</v>
      </c>
      <c r="R16" t="n">
        <v>68.7</v>
      </c>
      <c r="S16" t="n">
        <v>0</v>
      </c>
      <c r="T16" t="n">
        <v>0</v>
      </c>
      <c r="U16" t="n">
        <v>0</v>
      </c>
      <c r="V16" t="n">
        <v>8.19</v>
      </c>
      <c r="W16" t="n">
        <v>171.99</v>
      </c>
      <c r="X16" t="n">
        <v>163.8</v>
      </c>
      <c r="Y16" t="n">
        <v>19</v>
      </c>
      <c r="Z16" t="n">
        <v>31.12</v>
      </c>
      <c r="AA16" t="n">
        <v>3.16</v>
      </c>
      <c r="AB16" t="n">
        <v>34.28</v>
      </c>
      <c r="AC16" t="n">
        <v>6.17</v>
      </c>
      <c r="AD16" t="n">
        <v>0</v>
      </c>
      <c r="AE16" t="n">
        <v>163.8</v>
      </c>
      <c r="AF16" t="n">
        <v>0</v>
      </c>
      <c r="AG16" t="n">
        <v>0</v>
      </c>
      <c r="AH16" t="n">
        <v>0.16</v>
      </c>
      <c r="AI16" t="n">
        <v>8.199999999999999</v>
      </c>
      <c r="AJ16" t="n">
        <v>-0.01</v>
      </c>
      <c r="AK16" t="n">
        <v>14.53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48.81</v>
      </c>
      <c r="AV16" t="n">
        <v>0</v>
      </c>
      <c r="AW16" t="n">
        <v>123.18</v>
      </c>
      <c r="AX16" t="inlineStr">
        <is>
          <t>settled</t>
        </is>
      </c>
      <c r="AY16" t="inlineStr">
        <is>
          <t>2026-01-21 05:30:00</t>
        </is>
      </c>
      <c r="AZ16" t="inlineStr">
        <is>
          <t>CITIN26608218588</t>
        </is>
      </c>
      <c r="BA16" t="n">
        <v>0</v>
      </c>
      <c r="BB16" t="inlineStr">
        <is>
          <t>37af6b70cc6f9c29b00dedc51b43bf8b8465538dd81504f11acbe771abff70d5</t>
        </is>
      </c>
    </row>
    <row r="17">
      <c r="A17" t="inlineStr">
        <is>
          <t>12</t>
        </is>
      </c>
      <c r="B17" t="inlineStr">
        <is>
          <t>7674676104</t>
        </is>
      </c>
      <c r="C17" t="inlineStr">
        <is>
          <t>2026-01-12 03:04:23</t>
        </is>
      </c>
      <c r="D17" t="inlineStr">
        <is>
          <t>3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229</v>
      </c>
      <c r="P17" t="n">
        <v>3.5</v>
      </c>
      <c r="Q17" t="n">
        <v>0</v>
      </c>
      <c r="R17" t="n">
        <v>68.7</v>
      </c>
      <c r="S17" t="n">
        <v>0</v>
      </c>
      <c r="T17" t="n">
        <v>0</v>
      </c>
      <c r="U17" t="n">
        <v>0</v>
      </c>
      <c r="V17" t="n">
        <v>8.19</v>
      </c>
      <c r="W17" t="n">
        <v>171.99</v>
      </c>
      <c r="X17" t="n">
        <v>163.8</v>
      </c>
      <c r="Y17" t="n">
        <v>19</v>
      </c>
      <c r="Z17" t="n">
        <v>31.12</v>
      </c>
      <c r="AA17" t="n">
        <v>3.16</v>
      </c>
      <c r="AB17" t="n">
        <v>34.28</v>
      </c>
      <c r="AC17" t="n">
        <v>6.17</v>
      </c>
      <c r="AD17" t="n">
        <v>0</v>
      </c>
      <c r="AE17" t="n">
        <v>163.8</v>
      </c>
      <c r="AF17" t="n">
        <v>0</v>
      </c>
      <c r="AG17" t="n">
        <v>0</v>
      </c>
      <c r="AH17" t="n">
        <v>0.16</v>
      </c>
      <c r="AI17" t="n">
        <v>8.199999999999999</v>
      </c>
      <c r="AJ17" t="n">
        <v>-0.01</v>
      </c>
      <c r="AK17" t="n">
        <v>14.53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48.81</v>
      </c>
      <c r="AV17" t="n">
        <v>0</v>
      </c>
      <c r="AW17" t="n">
        <v>123.18</v>
      </c>
      <c r="AX17" t="inlineStr">
        <is>
          <t>settled</t>
        </is>
      </c>
      <c r="AY17" t="inlineStr">
        <is>
          <t>2026-01-21 05:30:00</t>
        </is>
      </c>
      <c r="AZ17" t="inlineStr">
        <is>
          <t>CITIN26608218588</t>
        </is>
      </c>
      <c r="BA17" t="n">
        <v>0</v>
      </c>
      <c r="BB17" t="inlineStr">
        <is>
          <t>3a724df3cbb191dfcbcbbfe41b1f370246a923a2428cf2acabd7574ed7c9e364</t>
        </is>
      </c>
    </row>
    <row r="18">
      <c r="A18" t="inlineStr">
        <is>
          <t>13</t>
        </is>
      </c>
      <c r="B18" t="inlineStr">
        <is>
          <t>7677885728</t>
        </is>
      </c>
      <c r="C18" t="inlineStr">
        <is>
          <t>2026-01-12 09:04:16</t>
        </is>
      </c>
      <c r="D18" t="inlineStr">
        <is>
          <t>3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229</v>
      </c>
      <c r="P18" t="n">
        <v>3.5</v>
      </c>
      <c r="Q18" t="n">
        <v>0</v>
      </c>
      <c r="R18" t="n">
        <v>68.7</v>
      </c>
      <c r="S18" t="n">
        <v>0</v>
      </c>
      <c r="T18" t="n">
        <v>0</v>
      </c>
      <c r="U18" t="n">
        <v>0</v>
      </c>
      <c r="V18" t="n">
        <v>8.19</v>
      </c>
      <c r="W18" t="n">
        <v>171.99</v>
      </c>
      <c r="X18" t="n">
        <v>163.8</v>
      </c>
      <c r="Y18" t="n">
        <v>19</v>
      </c>
      <c r="Z18" t="n">
        <v>31.12</v>
      </c>
      <c r="AA18" t="n">
        <v>3.16</v>
      </c>
      <c r="AB18" t="n">
        <v>34.28</v>
      </c>
      <c r="AC18" t="n">
        <v>6.17</v>
      </c>
      <c r="AD18" t="n">
        <v>0</v>
      </c>
      <c r="AE18" t="n">
        <v>163.8</v>
      </c>
      <c r="AF18" t="n">
        <v>0</v>
      </c>
      <c r="AG18" t="n">
        <v>0</v>
      </c>
      <c r="AH18" t="n">
        <v>0.16</v>
      </c>
      <c r="AI18" t="n">
        <v>8.199999999999999</v>
      </c>
      <c r="AJ18" t="n">
        <v>-0.01</v>
      </c>
      <c r="AK18" t="n">
        <v>14.53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48.81</v>
      </c>
      <c r="AV18" t="n">
        <v>0</v>
      </c>
      <c r="AW18" t="n">
        <v>123.18</v>
      </c>
      <c r="AX18" t="inlineStr">
        <is>
          <t>settled</t>
        </is>
      </c>
      <c r="AY18" t="inlineStr">
        <is>
          <t>2026-01-21 05:30:00</t>
        </is>
      </c>
      <c r="AZ18" t="inlineStr">
        <is>
          <t>CITIN26608218588</t>
        </is>
      </c>
      <c r="BA18" t="n">
        <v>0</v>
      </c>
      <c r="BB18" t="inlineStr">
        <is>
          <t>0534d65ea785d8c2b22ff44b3bf48a2dceb7de93647cebe3c853ecd08cbf87e4</t>
        </is>
      </c>
    </row>
    <row r="19">
      <c r="A19" t="inlineStr">
        <is>
          <t>14</t>
        </is>
      </c>
      <c r="B19" t="inlineStr">
        <is>
          <t>7678879498</t>
        </is>
      </c>
      <c r="C19" t="inlineStr">
        <is>
          <t>2026-01-12 10:21:51</t>
        </is>
      </c>
      <c r="D19" t="inlineStr">
        <is>
          <t>3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219</v>
      </c>
      <c r="P19" t="n">
        <v>3.5</v>
      </c>
      <c r="Q19" t="n">
        <v>0</v>
      </c>
      <c r="R19" t="n">
        <v>65.7</v>
      </c>
      <c r="S19" t="n">
        <v>0</v>
      </c>
      <c r="T19" t="n">
        <v>0</v>
      </c>
      <c r="U19" t="n">
        <v>0</v>
      </c>
      <c r="V19" t="n">
        <v>7.84</v>
      </c>
      <c r="W19" t="n">
        <v>164.64</v>
      </c>
      <c r="X19" t="n">
        <v>156.8</v>
      </c>
      <c r="Y19" t="n">
        <v>19</v>
      </c>
      <c r="Z19" t="n">
        <v>29.79</v>
      </c>
      <c r="AA19" t="n">
        <v>3.03</v>
      </c>
      <c r="AB19" t="n">
        <v>32.82</v>
      </c>
      <c r="AC19" t="n">
        <v>5.91</v>
      </c>
      <c r="AD19" t="n">
        <v>0</v>
      </c>
      <c r="AE19" t="n">
        <v>156.8</v>
      </c>
      <c r="AF19" t="n">
        <v>0</v>
      </c>
      <c r="AG19" t="n">
        <v>0</v>
      </c>
      <c r="AH19" t="n">
        <v>0.16</v>
      </c>
      <c r="AI19" t="n">
        <v>7.85</v>
      </c>
      <c r="AJ19" t="n">
        <v>-0.01</v>
      </c>
      <c r="AK19" t="n">
        <v>13.92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46.74</v>
      </c>
      <c r="AV19" t="n">
        <v>0</v>
      </c>
      <c r="AW19" t="n">
        <v>117.9</v>
      </c>
      <c r="AX19" t="inlineStr">
        <is>
          <t>settled</t>
        </is>
      </c>
      <c r="AY19" t="inlineStr">
        <is>
          <t>2026-01-21 05:30:00</t>
        </is>
      </c>
      <c r="AZ19" t="inlineStr">
        <is>
          <t>CITIN26608218588</t>
        </is>
      </c>
      <c r="BA19" t="n">
        <v>0</v>
      </c>
      <c r="BB19" t="inlineStr">
        <is>
          <t>a7246e46403dd8839a6788a0fb4e9d6c4894925eb22628f7ff77a394aaa262ee</t>
        </is>
      </c>
    </row>
    <row r="20">
      <c r="A20" t="inlineStr">
        <is>
          <t>15</t>
        </is>
      </c>
      <c r="B20" t="inlineStr">
        <is>
          <t>7674531796</t>
        </is>
      </c>
      <c r="C20" t="inlineStr">
        <is>
          <t>2026-01-12 12:12:52</t>
        </is>
      </c>
      <c r="D20" t="inlineStr">
        <is>
          <t>3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219</v>
      </c>
      <c r="P20" t="n">
        <v>3.5</v>
      </c>
      <c r="Q20" t="n">
        <v>0</v>
      </c>
      <c r="R20" t="n">
        <v>65.7</v>
      </c>
      <c r="S20" t="n">
        <v>0</v>
      </c>
      <c r="T20" t="n">
        <v>0</v>
      </c>
      <c r="U20" t="n">
        <v>0</v>
      </c>
      <c r="V20" t="n">
        <v>7.84</v>
      </c>
      <c r="W20" t="n">
        <v>164.64</v>
      </c>
      <c r="X20" t="n">
        <v>156.8</v>
      </c>
      <c r="Y20" t="n">
        <v>19</v>
      </c>
      <c r="Z20" t="n">
        <v>29.79</v>
      </c>
      <c r="AA20" t="n">
        <v>3.03</v>
      </c>
      <c r="AB20" t="n">
        <v>32.82</v>
      </c>
      <c r="AC20" t="n">
        <v>5.91</v>
      </c>
      <c r="AD20" t="n">
        <v>0</v>
      </c>
      <c r="AE20" t="n">
        <v>156.8</v>
      </c>
      <c r="AF20" t="n">
        <v>0</v>
      </c>
      <c r="AG20" t="n">
        <v>0</v>
      </c>
      <c r="AH20" t="n">
        <v>0.16</v>
      </c>
      <c r="AI20" t="n">
        <v>7.85</v>
      </c>
      <c r="AJ20" t="n">
        <v>-0.01</v>
      </c>
      <c r="AK20" t="n">
        <v>13.92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46.74</v>
      </c>
      <c r="AV20" t="n">
        <v>0</v>
      </c>
      <c r="AW20" t="n">
        <v>117.9</v>
      </c>
      <c r="AX20" t="inlineStr">
        <is>
          <t>settled</t>
        </is>
      </c>
      <c r="AY20" t="inlineStr">
        <is>
          <t>2026-01-21 05:30:00</t>
        </is>
      </c>
      <c r="AZ20" t="inlineStr">
        <is>
          <t>CITIN26608218588</t>
        </is>
      </c>
      <c r="BA20" t="n">
        <v>0</v>
      </c>
      <c r="BB20" t="inlineStr">
        <is>
          <t>0aaa66a78698618b6e27dfb4cb880221b75c17d4a83886449f40e9d2f59129d1</t>
        </is>
      </c>
    </row>
    <row r="21">
      <c r="A21" t="inlineStr">
        <is>
          <t>16</t>
        </is>
      </c>
      <c r="B21" t="inlineStr">
        <is>
          <t>7679576768</t>
        </is>
      </c>
      <c r="C21" t="inlineStr">
        <is>
          <t>2026-01-12 15:17:57</t>
        </is>
      </c>
      <c r="D21" t="inlineStr">
        <is>
          <t>3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30% off upto ₹75 (2025-06-25 - 2031-01-01)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219</v>
      </c>
      <c r="P21" t="n">
        <v>3.5</v>
      </c>
      <c r="Q21" t="n">
        <v>0</v>
      </c>
      <c r="R21" t="n">
        <v>65.7</v>
      </c>
      <c r="S21" t="n">
        <v>0</v>
      </c>
      <c r="T21" t="n">
        <v>0</v>
      </c>
      <c r="U21" t="n">
        <v>0</v>
      </c>
      <c r="V21" t="n">
        <v>7.84</v>
      </c>
      <c r="W21" t="n">
        <v>164.64</v>
      </c>
      <c r="X21" t="n">
        <v>156.8</v>
      </c>
      <c r="Y21" t="n">
        <v>19</v>
      </c>
      <c r="Z21" t="n">
        <v>29.79</v>
      </c>
      <c r="AA21" t="n">
        <v>3.03</v>
      </c>
      <c r="AB21" t="n">
        <v>32.82</v>
      </c>
      <c r="AC21" t="n">
        <v>5.91</v>
      </c>
      <c r="AD21" t="n">
        <v>0</v>
      </c>
      <c r="AE21" t="n">
        <v>156.8</v>
      </c>
      <c r="AF21" t="n">
        <v>0</v>
      </c>
      <c r="AG21" t="n">
        <v>0</v>
      </c>
      <c r="AH21" t="n">
        <v>0.16</v>
      </c>
      <c r="AI21" t="n">
        <v>7.85</v>
      </c>
      <c r="AJ21" t="n">
        <v>-0.01</v>
      </c>
      <c r="AK21" t="n">
        <v>13.92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46.74</v>
      </c>
      <c r="AV21" t="n">
        <v>0</v>
      </c>
      <c r="AW21" t="n">
        <v>117.9</v>
      </c>
      <c r="AX21" t="inlineStr">
        <is>
          <t>settled</t>
        </is>
      </c>
      <c r="AY21" t="inlineStr">
        <is>
          <t>2026-01-21 05:30:00</t>
        </is>
      </c>
      <c r="AZ21" t="inlineStr">
        <is>
          <t>CITIN26608218588</t>
        </is>
      </c>
      <c r="BA21" t="n">
        <v>0</v>
      </c>
      <c r="BB21" t="inlineStr">
        <is>
          <t>ef32deb37603f231670c3ed112b3f23e5bdd860967d57d0b437c37519a00b835</t>
        </is>
      </c>
    </row>
    <row r="22">
      <c r="A22" t="inlineStr">
        <is>
          <t>17</t>
        </is>
      </c>
      <c r="B22" t="inlineStr">
        <is>
          <t>7681384922</t>
        </is>
      </c>
      <c r="C22" t="inlineStr">
        <is>
          <t>2026-01-12 15:25:18</t>
        </is>
      </c>
      <c r="D22" t="inlineStr">
        <is>
          <t>3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229</v>
      </c>
      <c r="P22" t="n">
        <v>3.5</v>
      </c>
      <c r="Q22" t="n">
        <v>0</v>
      </c>
      <c r="R22" t="n">
        <v>68.7</v>
      </c>
      <c r="S22" t="n">
        <v>0</v>
      </c>
      <c r="T22" t="n">
        <v>0</v>
      </c>
      <c r="U22" t="n">
        <v>0</v>
      </c>
      <c r="V22" t="n">
        <v>8.19</v>
      </c>
      <c r="W22" t="n">
        <v>171.99</v>
      </c>
      <c r="X22" t="n">
        <v>163.8</v>
      </c>
      <c r="Y22" t="n">
        <v>19</v>
      </c>
      <c r="Z22" t="n">
        <v>31.12</v>
      </c>
      <c r="AA22" t="n">
        <v>3.16</v>
      </c>
      <c r="AB22" t="n">
        <v>34.28</v>
      </c>
      <c r="AC22" t="n">
        <v>6.17</v>
      </c>
      <c r="AD22" t="n">
        <v>0</v>
      </c>
      <c r="AE22" t="n">
        <v>163.8</v>
      </c>
      <c r="AF22" t="n">
        <v>0</v>
      </c>
      <c r="AG22" t="n">
        <v>0</v>
      </c>
      <c r="AH22" t="n">
        <v>0.16</v>
      </c>
      <c r="AI22" t="n">
        <v>8.199999999999999</v>
      </c>
      <c r="AJ22" t="n">
        <v>-0.01</v>
      </c>
      <c r="AK22" t="n">
        <v>14.53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48.81</v>
      </c>
      <c r="AV22" t="n">
        <v>0</v>
      </c>
      <c r="AW22" t="n">
        <v>123.18</v>
      </c>
      <c r="AX22" t="inlineStr">
        <is>
          <t>settled</t>
        </is>
      </c>
      <c r="AY22" t="inlineStr">
        <is>
          <t>2026-01-21 05:30:00</t>
        </is>
      </c>
      <c r="AZ22" t="inlineStr">
        <is>
          <t>CITIN26608218588</t>
        </is>
      </c>
      <c r="BA22" t="n">
        <v>0</v>
      </c>
      <c r="BB22" t="inlineStr">
        <is>
          <t>4bc59a7b91051bd45715d4c6c383b5635eed7ed966b586e2812e835cb647b359</t>
        </is>
      </c>
    </row>
    <row r="23">
      <c r="A23" t="inlineStr">
        <is>
          <t>18</t>
        </is>
      </c>
      <c r="B23" t="inlineStr">
        <is>
          <t>7683126720</t>
        </is>
      </c>
      <c r="C23" t="inlineStr">
        <is>
          <t>2026-01-12 15:49:16</t>
        </is>
      </c>
      <c r="D23" t="inlineStr">
        <is>
          <t>3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229</v>
      </c>
      <c r="P23" t="n">
        <v>3.5</v>
      </c>
      <c r="Q23" t="n">
        <v>0</v>
      </c>
      <c r="R23" t="n">
        <v>68.7</v>
      </c>
      <c r="S23" t="n">
        <v>0</v>
      </c>
      <c r="T23" t="n">
        <v>0</v>
      </c>
      <c r="U23" t="n">
        <v>0</v>
      </c>
      <c r="V23" t="n">
        <v>8.19</v>
      </c>
      <c r="W23" t="n">
        <v>171.99</v>
      </c>
      <c r="X23" t="n">
        <v>163.8</v>
      </c>
      <c r="Y23" t="n">
        <v>19</v>
      </c>
      <c r="Z23" t="n">
        <v>31.12</v>
      </c>
      <c r="AA23" t="n">
        <v>3.16</v>
      </c>
      <c r="AB23" t="n">
        <v>34.28</v>
      </c>
      <c r="AC23" t="n">
        <v>6.17</v>
      </c>
      <c r="AD23" t="n">
        <v>0</v>
      </c>
      <c r="AE23" t="n">
        <v>163.8</v>
      </c>
      <c r="AF23" t="n">
        <v>0</v>
      </c>
      <c r="AG23" t="n">
        <v>0</v>
      </c>
      <c r="AH23" t="n">
        <v>0.16</v>
      </c>
      <c r="AI23" t="n">
        <v>8.199999999999999</v>
      </c>
      <c r="AJ23" t="n">
        <v>-0.01</v>
      </c>
      <c r="AK23" t="n">
        <v>14.53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48.81</v>
      </c>
      <c r="AV23" t="n">
        <v>0</v>
      </c>
      <c r="AW23" t="n">
        <v>123.18</v>
      </c>
      <c r="AX23" t="inlineStr">
        <is>
          <t>settled</t>
        </is>
      </c>
      <c r="AY23" t="inlineStr">
        <is>
          <t>2026-01-21 05:30:00</t>
        </is>
      </c>
      <c r="AZ23" t="inlineStr">
        <is>
          <t>CITIN26608218588</t>
        </is>
      </c>
      <c r="BA23" t="n">
        <v>0</v>
      </c>
      <c r="BB23" t="inlineStr">
        <is>
          <t>98043bbdcb23b02feeece50a2a9317abc19b904bf3dda94ccf910e5f181ab13c</t>
        </is>
      </c>
    </row>
    <row r="24">
      <c r="A24" t="inlineStr">
        <is>
          <t>19</t>
        </is>
      </c>
      <c r="B24" t="inlineStr">
        <is>
          <t>7653790350</t>
        </is>
      </c>
      <c r="C24" t="inlineStr">
        <is>
          <t>2026-01-12 16:06:29</t>
        </is>
      </c>
      <c r="D24" t="inlineStr">
        <is>
          <t>3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229</v>
      </c>
      <c r="P24" t="n">
        <v>3.5</v>
      </c>
      <c r="Q24" t="n">
        <v>0</v>
      </c>
      <c r="R24" t="n">
        <v>68.7</v>
      </c>
      <c r="S24" t="n">
        <v>0</v>
      </c>
      <c r="T24" t="n">
        <v>0</v>
      </c>
      <c r="U24" t="n">
        <v>0</v>
      </c>
      <c r="V24" t="n">
        <v>8.19</v>
      </c>
      <c r="W24" t="n">
        <v>171.99</v>
      </c>
      <c r="X24" t="n">
        <v>163.8</v>
      </c>
      <c r="Y24" t="n">
        <v>19</v>
      </c>
      <c r="Z24" t="n">
        <v>31.12</v>
      </c>
      <c r="AA24" t="n">
        <v>3.16</v>
      </c>
      <c r="AB24" t="n">
        <v>34.28</v>
      </c>
      <c r="AC24" t="n">
        <v>6.17</v>
      </c>
      <c r="AD24" t="n">
        <v>0</v>
      </c>
      <c r="AE24" t="n">
        <v>163.8</v>
      </c>
      <c r="AF24" t="n">
        <v>0</v>
      </c>
      <c r="AG24" t="n">
        <v>0</v>
      </c>
      <c r="AH24" t="n">
        <v>0.16</v>
      </c>
      <c r="AI24" t="n">
        <v>8.199999999999999</v>
      </c>
      <c r="AJ24" t="n">
        <v>-0.01</v>
      </c>
      <c r="AK24" t="n">
        <v>14.53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48.81</v>
      </c>
      <c r="AV24" t="n">
        <v>0</v>
      </c>
      <c r="AW24" t="n">
        <v>123.18</v>
      </c>
      <c r="AX24" t="inlineStr">
        <is>
          <t>settled</t>
        </is>
      </c>
      <c r="AY24" t="inlineStr">
        <is>
          <t>2026-01-21 05:30:00</t>
        </is>
      </c>
      <c r="AZ24" t="inlineStr">
        <is>
          <t>CITIN26608218588</t>
        </is>
      </c>
      <c r="BA24" t="n">
        <v>0</v>
      </c>
      <c r="BB24" t="inlineStr">
        <is>
          <t>222a2d02a88e825aef80bb19b06e44dceb1ab73c27c0a3d58589746f24b7deb3</t>
        </is>
      </c>
    </row>
    <row r="25">
      <c r="A25" t="inlineStr">
        <is>
          <t>20</t>
        </is>
      </c>
      <c r="B25" t="inlineStr">
        <is>
          <t>7678852733</t>
        </is>
      </c>
      <c r="C25" t="inlineStr">
        <is>
          <t>2026-01-12 16:45:49</t>
        </is>
      </c>
      <c r="D25" t="inlineStr">
        <is>
          <t>3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30% off upto ₹75 (2025-06-25 - 2031-01-01)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219</v>
      </c>
      <c r="P25" t="n">
        <v>3.5</v>
      </c>
      <c r="Q25" t="n">
        <v>0</v>
      </c>
      <c r="R25" t="n">
        <v>65.7</v>
      </c>
      <c r="S25" t="n">
        <v>0</v>
      </c>
      <c r="T25" t="n">
        <v>0</v>
      </c>
      <c r="U25" t="n">
        <v>0</v>
      </c>
      <c r="V25" t="n">
        <v>7.84</v>
      </c>
      <c r="W25" t="n">
        <v>164.64</v>
      </c>
      <c r="X25" t="n">
        <v>156.8</v>
      </c>
      <c r="Y25" t="n">
        <v>19</v>
      </c>
      <c r="Z25" t="n">
        <v>29.79</v>
      </c>
      <c r="AA25" t="n">
        <v>3.03</v>
      </c>
      <c r="AB25" t="n">
        <v>32.82</v>
      </c>
      <c r="AC25" t="n">
        <v>5.91</v>
      </c>
      <c r="AD25" t="n">
        <v>0</v>
      </c>
      <c r="AE25" t="n">
        <v>156.8</v>
      </c>
      <c r="AF25" t="n">
        <v>0</v>
      </c>
      <c r="AG25" t="n">
        <v>0</v>
      </c>
      <c r="AH25" t="n">
        <v>0.16</v>
      </c>
      <c r="AI25" t="n">
        <v>7.85</v>
      </c>
      <c r="AJ25" t="n">
        <v>-0.01</v>
      </c>
      <c r="AK25" t="n">
        <v>13.92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46.74</v>
      </c>
      <c r="AV25" t="n">
        <v>0</v>
      </c>
      <c r="AW25" t="n">
        <v>117.9</v>
      </c>
      <c r="AX25" t="inlineStr">
        <is>
          <t>settled</t>
        </is>
      </c>
      <c r="AY25" t="inlineStr">
        <is>
          <t>2026-01-21 05:30:00</t>
        </is>
      </c>
      <c r="AZ25" t="inlineStr">
        <is>
          <t>CITIN26608218588</t>
        </is>
      </c>
      <c r="BA25" t="n">
        <v>0</v>
      </c>
      <c r="BB25" t="inlineStr">
        <is>
          <t>5cef89cd8427a9c1d59a310fb018f8d004816f36003ded1704ed7fcfda5999eb</t>
        </is>
      </c>
    </row>
    <row r="26">
      <c r="A26" t="inlineStr">
        <is>
          <t>21</t>
        </is>
      </c>
      <c r="B26" t="inlineStr">
        <is>
          <t>7679802153</t>
        </is>
      </c>
      <c r="C26" t="inlineStr">
        <is>
          <t>2026-01-12 17:42:21</t>
        </is>
      </c>
      <c r="D26" t="inlineStr">
        <is>
          <t>3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229</v>
      </c>
      <c r="P26" t="n">
        <v>3.5</v>
      </c>
      <c r="Q26" t="n">
        <v>0</v>
      </c>
      <c r="R26" t="n">
        <v>68.7</v>
      </c>
      <c r="S26" t="n">
        <v>0</v>
      </c>
      <c r="T26" t="n">
        <v>0</v>
      </c>
      <c r="U26" t="n">
        <v>0</v>
      </c>
      <c r="V26" t="n">
        <v>8.19</v>
      </c>
      <c r="W26" t="n">
        <v>171.99</v>
      </c>
      <c r="X26" t="n">
        <v>163.8</v>
      </c>
      <c r="Y26" t="n">
        <v>19</v>
      </c>
      <c r="Z26" t="n">
        <v>31.12</v>
      </c>
      <c r="AA26" t="n">
        <v>3.16</v>
      </c>
      <c r="AB26" t="n">
        <v>34.28</v>
      </c>
      <c r="AC26" t="n">
        <v>6.17</v>
      </c>
      <c r="AD26" t="n">
        <v>0</v>
      </c>
      <c r="AE26" t="n">
        <v>163.8</v>
      </c>
      <c r="AF26" t="n">
        <v>0</v>
      </c>
      <c r="AG26" t="n">
        <v>0</v>
      </c>
      <c r="AH26" t="n">
        <v>0.16</v>
      </c>
      <c r="AI26" t="n">
        <v>8.199999999999999</v>
      </c>
      <c r="AJ26" t="n">
        <v>-0.01</v>
      </c>
      <c r="AK26" t="n">
        <v>14.53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48.81</v>
      </c>
      <c r="AV26" t="n">
        <v>0</v>
      </c>
      <c r="AW26" t="n">
        <v>123.18</v>
      </c>
      <c r="AX26" t="inlineStr">
        <is>
          <t>settled</t>
        </is>
      </c>
      <c r="AY26" t="inlineStr">
        <is>
          <t>2026-01-21 05:30:00</t>
        </is>
      </c>
      <c r="AZ26" t="inlineStr">
        <is>
          <t>CITIN26608218588</t>
        </is>
      </c>
      <c r="BA26" t="n">
        <v>0</v>
      </c>
      <c r="BB26" t="inlineStr">
        <is>
          <t>66f9109d451f65658e47602abb95b90ba77893174f1b3489a1f354247a5965e1</t>
        </is>
      </c>
    </row>
    <row r="27">
      <c r="A27" t="inlineStr">
        <is>
          <t>22</t>
        </is>
      </c>
      <c r="B27" t="inlineStr">
        <is>
          <t>7681171338</t>
        </is>
      </c>
      <c r="C27" t="inlineStr">
        <is>
          <t>2026-01-12 17:59:51</t>
        </is>
      </c>
      <c r="D27" t="inlineStr">
        <is>
          <t>3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NA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229</v>
      </c>
      <c r="P27" t="n">
        <v>3.5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11.63</v>
      </c>
      <c r="W27" t="n">
        <v>244.13</v>
      </c>
      <c r="X27" t="n">
        <v>232.5</v>
      </c>
      <c r="Y27" t="n">
        <v>19</v>
      </c>
      <c r="Z27" t="n">
        <v>44.18</v>
      </c>
      <c r="AA27" t="n">
        <v>4.49</v>
      </c>
      <c r="AB27" t="n">
        <v>48.67</v>
      </c>
      <c r="AC27" t="n">
        <v>8.76</v>
      </c>
      <c r="AD27" t="n">
        <v>0</v>
      </c>
      <c r="AE27" t="n">
        <v>232.5</v>
      </c>
      <c r="AF27" t="n">
        <v>0</v>
      </c>
      <c r="AG27" t="n">
        <v>0</v>
      </c>
      <c r="AH27" t="n">
        <v>0.23</v>
      </c>
      <c r="AI27" t="n">
        <v>11.63</v>
      </c>
      <c r="AJ27" t="n">
        <v>0</v>
      </c>
      <c r="AK27" t="n">
        <v>20.62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69.29000000000001</v>
      </c>
      <c r="AV27" t="n">
        <v>0</v>
      </c>
      <c r="AW27" t="n">
        <v>174.84</v>
      </c>
      <c r="AX27" t="inlineStr">
        <is>
          <t>settled</t>
        </is>
      </c>
      <c r="AY27" t="inlineStr">
        <is>
          <t>2026-01-21 05:30:00</t>
        </is>
      </c>
      <c r="AZ27" t="inlineStr">
        <is>
          <t>CITIN26608218588</t>
        </is>
      </c>
      <c r="BA27" t="n">
        <v>0</v>
      </c>
      <c r="BB27" t="inlineStr">
        <is>
          <t>e77d1c24f3aaf2eb812c22d69f2881080f585136ab3bacbef764a96320cfb4e4</t>
        </is>
      </c>
    </row>
    <row r="28">
      <c r="A28" t="inlineStr">
        <is>
          <t>23</t>
        </is>
      </c>
      <c r="B28" t="inlineStr">
        <is>
          <t>7678546023</t>
        </is>
      </c>
      <c r="C28" t="inlineStr">
        <is>
          <t>2026-01-12 18:16:51</t>
        </is>
      </c>
      <c r="D28" t="inlineStr">
        <is>
          <t>3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30% off upto ₹75 (2025-06-25 - 2031-01-01)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219</v>
      </c>
      <c r="P28" t="n">
        <v>3.5</v>
      </c>
      <c r="Q28" t="n">
        <v>0</v>
      </c>
      <c r="R28" t="n">
        <v>65.7</v>
      </c>
      <c r="S28" t="n">
        <v>0</v>
      </c>
      <c r="T28" t="n">
        <v>0</v>
      </c>
      <c r="U28" t="n">
        <v>0</v>
      </c>
      <c r="V28" t="n">
        <v>7.84</v>
      </c>
      <c r="W28" t="n">
        <v>164.64</v>
      </c>
      <c r="X28" t="n">
        <v>156.8</v>
      </c>
      <c r="Y28" t="n">
        <v>19</v>
      </c>
      <c r="Z28" t="n">
        <v>29.79</v>
      </c>
      <c r="AA28" t="n">
        <v>3.03</v>
      </c>
      <c r="AB28" t="n">
        <v>32.82</v>
      </c>
      <c r="AC28" t="n">
        <v>5.91</v>
      </c>
      <c r="AD28" t="n">
        <v>0</v>
      </c>
      <c r="AE28" t="n">
        <v>156.8</v>
      </c>
      <c r="AF28" t="n">
        <v>0</v>
      </c>
      <c r="AG28" t="n">
        <v>0</v>
      </c>
      <c r="AH28" t="n">
        <v>0.16</v>
      </c>
      <c r="AI28" t="n">
        <v>7.85</v>
      </c>
      <c r="AJ28" t="n">
        <v>-0.01</v>
      </c>
      <c r="AK28" t="n">
        <v>13.92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46.74</v>
      </c>
      <c r="AV28" t="n">
        <v>0</v>
      </c>
      <c r="AW28" t="n">
        <v>117.9</v>
      </c>
      <c r="AX28" t="inlineStr">
        <is>
          <t>settled</t>
        </is>
      </c>
      <c r="AY28" t="inlineStr">
        <is>
          <t>2026-01-21 05:30:00</t>
        </is>
      </c>
      <c r="AZ28" t="inlineStr">
        <is>
          <t>CITIN26608218588</t>
        </is>
      </c>
      <c r="BA28" t="n">
        <v>0</v>
      </c>
      <c r="BB28" t="inlineStr">
        <is>
          <t>7d9620c02149e787fb1dab49f8fd2011f679d7d45b2cac59bfdceed3a5b52ecd</t>
        </is>
      </c>
    </row>
    <row r="29">
      <c r="A29" t="inlineStr">
        <is>
          <t>24</t>
        </is>
      </c>
      <c r="B29" t="inlineStr">
        <is>
          <t>7684179172</t>
        </is>
      </c>
      <c r="C29" t="inlineStr">
        <is>
          <t>2026-01-12 18:47:57</t>
        </is>
      </c>
      <c r="D29" t="inlineStr">
        <is>
          <t>3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219</v>
      </c>
      <c r="P29" t="n">
        <v>3.5</v>
      </c>
      <c r="Q29" t="n">
        <v>0</v>
      </c>
      <c r="R29" t="n">
        <v>65.7</v>
      </c>
      <c r="S29" t="n">
        <v>0</v>
      </c>
      <c r="T29" t="n">
        <v>0</v>
      </c>
      <c r="U29" t="n">
        <v>0</v>
      </c>
      <c r="V29" t="n">
        <v>7.84</v>
      </c>
      <c r="W29" t="n">
        <v>164.64</v>
      </c>
      <c r="X29" t="n">
        <v>156.8</v>
      </c>
      <c r="Y29" t="n">
        <v>19</v>
      </c>
      <c r="Z29" t="n">
        <v>29.79</v>
      </c>
      <c r="AA29" t="n">
        <v>3.03</v>
      </c>
      <c r="AB29" t="n">
        <v>32.82</v>
      </c>
      <c r="AC29" t="n">
        <v>5.91</v>
      </c>
      <c r="AD29" t="n">
        <v>0</v>
      </c>
      <c r="AE29" t="n">
        <v>156.8</v>
      </c>
      <c r="AF29" t="n">
        <v>0</v>
      </c>
      <c r="AG29" t="n">
        <v>0</v>
      </c>
      <c r="AH29" t="n">
        <v>0.16</v>
      </c>
      <c r="AI29" t="n">
        <v>7.85</v>
      </c>
      <c r="AJ29" t="n">
        <v>-0.01</v>
      </c>
      <c r="AK29" t="n">
        <v>13.92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46.74</v>
      </c>
      <c r="AV29" t="n">
        <v>0</v>
      </c>
      <c r="AW29" t="n">
        <v>117.9</v>
      </c>
      <c r="AX29" t="inlineStr">
        <is>
          <t>settled</t>
        </is>
      </c>
      <c r="AY29" t="inlineStr">
        <is>
          <t>2026-01-21 05:30:00</t>
        </is>
      </c>
      <c r="AZ29" t="inlineStr">
        <is>
          <t>CITIN26608218588</t>
        </is>
      </c>
      <c r="BA29" t="n">
        <v>0</v>
      </c>
      <c r="BB29" t="inlineStr">
        <is>
          <t>262b0fb3a59feb25c67a50eb67abe722468e74add882d04af8ab85d7be3761dc</t>
        </is>
      </c>
    </row>
    <row r="30">
      <c r="A30" t="inlineStr">
        <is>
          <t>25</t>
        </is>
      </c>
      <c r="B30" t="inlineStr">
        <is>
          <t>7660662075</t>
        </is>
      </c>
      <c r="C30" t="inlineStr">
        <is>
          <t>2026-01-12 18:54:59</t>
        </is>
      </c>
      <c r="D30" t="inlineStr">
        <is>
          <t>3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816</v>
      </c>
      <c r="P30" t="n">
        <v>3.5</v>
      </c>
      <c r="Q30" t="n">
        <v>0</v>
      </c>
      <c r="R30" t="n">
        <v>75</v>
      </c>
      <c r="S30" t="n">
        <v>0</v>
      </c>
      <c r="T30" t="n">
        <v>0</v>
      </c>
      <c r="U30" t="n">
        <v>0</v>
      </c>
      <c r="V30" t="n">
        <v>37.23</v>
      </c>
      <c r="W30" t="n">
        <v>781.73</v>
      </c>
      <c r="X30" t="n">
        <v>744.5</v>
      </c>
      <c r="Y30" t="n">
        <v>19</v>
      </c>
      <c r="Z30" t="n">
        <v>141.46</v>
      </c>
      <c r="AA30" t="n">
        <v>14.38</v>
      </c>
      <c r="AB30" t="n">
        <v>155.84</v>
      </c>
      <c r="AC30" t="n">
        <v>28.05</v>
      </c>
      <c r="AD30" t="n">
        <v>0</v>
      </c>
      <c r="AE30" t="n">
        <v>744.5</v>
      </c>
      <c r="AF30" t="n">
        <v>0</v>
      </c>
      <c r="AG30" t="n">
        <v>0</v>
      </c>
      <c r="AH30" t="n">
        <v>0.74</v>
      </c>
      <c r="AI30" t="n">
        <v>37.23</v>
      </c>
      <c r="AJ30" t="n">
        <v>0</v>
      </c>
      <c r="AK30" t="n">
        <v>66.02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221.86</v>
      </c>
      <c r="AV30" t="n">
        <v>0</v>
      </c>
      <c r="AW30" t="n">
        <v>559.87</v>
      </c>
      <c r="AX30" t="inlineStr">
        <is>
          <t>settled</t>
        </is>
      </c>
      <c r="AY30" t="inlineStr">
        <is>
          <t>2026-01-21 05:30:00</t>
        </is>
      </c>
      <c r="AZ30" t="inlineStr">
        <is>
          <t>CITIN26608218588</t>
        </is>
      </c>
      <c r="BA30" t="n">
        <v>0</v>
      </c>
      <c r="BB30" t="inlineStr">
        <is>
          <t>fd970acbcada5673e1ede41082d5ed3d8bda4bfefa8ba6bb8fb28024f76eaaa2</t>
        </is>
      </c>
    </row>
    <row r="31">
      <c r="A31" t="inlineStr">
        <is>
          <t>26</t>
        </is>
      </c>
      <c r="B31" t="inlineStr">
        <is>
          <t>7680171722</t>
        </is>
      </c>
      <c r="C31" t="inlineStr">
        <is>
          <t>2026-01-12 20:55:28</t>
        </is>
      </c>
      <c r="D31" t="inlineStr">
        <is>
          <t>3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NA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219</v>
      </c>
      <c r="P31" t="n">
        <v>3.5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11.13</v>
      </c>
      <c r="W31" t="n">
        <v>233.63</v>
      </c>
      <c r="X31" t="n">
        <v>222.5</v>
      </c>
      <c r="Y31" t="n">
        <v>19</v>
      </c>
      <c r="Z31" t="n">
        <v>42.28</v>
      </c>
      <c r="AA31" t="n">
        <v>4.3</v>
      </c>
      <c r="AB31" t="n">
        <v>46.58</v>
      </c>
      <c r="AC31" t="n">
        <v>8.380000000000001</v>
      </c>
      <c r="AD31" t="n">
        <v>0</v>
      </c>
      <c r="AE31" t="n">
        <v>222.5</v>
      </c>
      <c r="AF31" t="n">
        <v>0</v>
      </c>
      <c r="AG31" t="n">
        <v>0</v>
      </c>
      <c r="AH31" t="n">
        <v>0.22</v>
      </c>
      <c r="AI31" t="n">
        <v>11.13</v>
      </c>
      <c r="AJ31" t="n">
        <v>0</v>
      </c>
      <c r="AK31" t="n">
        <v>19.73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66.31</v>
      </c>
      <c r="AV31" t="n">
        <v>0</v>
      </c>
      <c r="AW31" t="n">
        <v>167.32</v>
      </c>
      <c r="AX31" t="inlineStr">
        <is>
          <t>settled</t>
        </is>
      </c>
      <c r="AY31" t="inlineStr">
        <is>
          <t>2026-01-21 05:30:00</t>
        </is>
      </c>
      <c r="AZ31" t="inlineStr">
        <is>
          <t>CITIN26608218588</t>
        </is>
      </c>
      <c r="BA31" t="n">
        <v>0</v>
      </c>
      <c r="BB31" t="inlineStr">
        <is>
          <t>205874c182574832f597f33f62750fb6cff22063caa6715aa9d3e9734bc0e830</t>
        </is>
      </c>
    </row>
    <row r="32">
      <c r="A32" t="inlineStr">
        <is>
          <t>27</t>
        </is>
      </c>
      <c r="B32" t="inlineStr">
        <is>
          <t>7684719926</t>
        </is>
      </c>
      <c r="C32" t="inlineStr">
        <is>
          <t>2026-01-12 21:58:16</t>
        </is>
      </c>
      <c r="D32" t="inlineStr">
        <is>
          <t>3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229</v>
      </c>
      <c r="P32" t="n">
        <v>3.5</v>
      </c>
      <c r="Q32" t="n">
        <v>0</v>
      </c>
      <c r="R32" t="n">
        <v>68.7</v>
      </c>
      <c r="S32" t="n">
        <v>0</v>
      </c>
      <c r="T32" t="n">
        <v>0</v>
      </c>
      <c r="U32" t="n">
        <v>0</v>
      </c>
      <c r="V32" t="n">
        <v>8.19</v>
      </c>
      <c r="W32" t="n">
        <v>171.99</v>
      </c>
      <c r="X32" t="n">
        <v>163.8</v>
      </c>
      <c r="Y32" t="n">
        <v>19</v>
      </c>
      <c r="Z32" t="n">
        <v>31.12</v>
      </c>
      <c r="AA32" t="n">
        <v>3.16</v>
      </c>
      <c r="AB32" t="n">
        <v>34.28</v>
      </c>
      <c r="AC32" t="n">
        <v>6.17</v>
      </c>
      <c r="AD32" t="n">
        <v>0</v>
      </c>
      <c r="AE32" t="n">
        <v>163.8</v>
      </c>
      <c r="AF32" t="n">
        <v>0</v>
      </c>
      <c r="AG32" t="n">
        <v>0</v>
      </c>
      <c r="AH32" t="n">
        <v>0.16</v>
      </c>
      <c r="AI32" t="n">
        <v>8.199999999999999</v>
      </c>
      <c r="AJ32" t="n">
        <v>-0.01</v>
      </c>
      <c r="AK32" t="n">
        <v>14.53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48.81</v>
      </c>
      <c r="AV32" t="n">
        <v>0</v>
      </c>
      <c r="AW32" t="n">
        <v>123.18</v>
      </c>
      <c r="AX32" t="inlineStr">
        <is>
          <t>settled</t>
        </is>
      </c>
      <c r="AY32" t="inlineStr">
        <is>
          <t>2026-01-21 05:30:00</t>
        </is>
      </c>
      <c r="AZ32" t="inlineStr">
        <is>
          <t>CITIN26608218588</t>
        </is>
      </c>
      <c r="BA32" t="n">
        <v>0</v>
      </c>
      <c r="BB32" t="inlineStr">
        <is>
          <t>576158b8d23dd1ee14f0a5ddd31f3f70b080ce28d5a7880af5b2b8d20aba0ca5</t>
        </is>
      </c>
    </row>
    <row r="33">
      <c r="A33" t="inlineStr">
        <is>
          <t>28</t>
        </is>
      </c>
      <c r="B33" t="inlineStr">
        <is>
          <t>7681058217</t>
        </is>
      </c>
      <c r="C33" t="inlineStr">
        <is>
          <t>2026-01-12 22:04:39</t>
        </is>
      </c>
      <c r="D33" t="inlineStr">
        <is>
          <t>3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NA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219</v>
      </c>
      <c r="P33" t="n">
        <v>3.5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11.13</v>
      </c>
      <c r="W33" t="n">
        <v>233.63</v>
      </c>
      <c r="X33" t="n">
        <v>222.5</v>
      </c>
      <c r="Y33" t="n">
        <v>19</v>
      </c>
      <c r="Z33" t="n">
        <v>42.28</v>
      </c>
      <c r="AA33" t="n">
        <v>4.3</v>
      </c>
      <c r="AB33" t="n">
        <v>46.58</v>
      </c>
      <c r="AC33" t="n">
        <v>8.380000000000001</v>
      </c>
      <c r="AD33" t="n">
        <v>0</v>
      </c>
      <c r="AE33" t="n">
        <v>222.5</v>
      </c>
      <c r="AF33" t="n">
        <v>0</v>
      </c>
      <c r="AG33" t="n">
        <v>0</v>
      </c>
      <c r="AH33" t="n">
        <v>0.22</v>
      </c>
      <c r="AI33" t="n">
        <v>11.13</v>
      </c>
      <c r="AJ33" t="n">
        <v>0</v>
      </c>
      <c r="AK33" t="n">
        <v>19.73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66.31</v>
      </c>
      <c r="AV33" t="n">
        <v>0</v>
      </c>
      <c r="AW33" t="n">
        <v>167.32</v>
      </c>
      <c r="AX33" t="inlineStr">
        <is>
          <t>settled</t>
        </is>
      </c>
      <c r="AY33" t="inlineStr">
        <is>
          <t>2026-01-21 05:30:00</t>
        </is>
      </c>
      <c r="AZ33" t="inlineStr">
        <is>
          <t>CITIN26608218588</t>
        </is>
      </c>
      <c r="BA33" t="n">
        <v>0</v>
      </c>
      <c r="BB33" t="inlineStr">
        <is>
          <t>8adaa6fef65f7b0f78be2ffb2f0173762d93faa01651e8fcc74a947aca7e675c</t>
        </is>
      </c>
    </row>
    <row r="34">
      <c r="A34" t="inlineStr">
        <is>
          <t>29</t>
        </is>
      </c>
      <c r="B34" t="inlineStr">
        <is>
          <t>7666982210</t>
        </is>
      </c>
      <c r="C34" t="inlineStr">
        <is>
          <t>2026-01-12 22:12:28</t>
        </is>
      </c>
      <c r="D34" t="inlineStr">
        <is>
          <t>3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229</v>
      </c>
      <c r="P34" t="n">
        <v>3.5</v>
      </c>
      <c r="Q34" t="n">
        <v>0</v>
      </c>
      <c r="R34" t="n">
        <v>68.7</v>
      </c>
      <c r="S34" t="n">
        <v>0</v>
      </c>
      <c r="T34" t="n">
        <v>0</v>
      </c>
      <c r="U34" t="n">
        <v>0</v>
      </c>
      <c r="V34" t="n">
        <v>8.19</v>
      </c>
      <c r="W34" t="n">
        <v>171.99</v>
      </c>
      <c r="X34" t="n">
        <v>163.8</v>
      </c>
      <c r="Y34" t="n">
        <v>19</v>
      </c>
      <c r="Z34" t="n">
        <v>31.12</v>
      </c>
      <c r="AA34" t="n">
        <v>3.16</v>
      </c>
      <c r="AB34" t="n">
        <v>34.28</v>
      </c>
      <c r="AC34" t="n">
        <v>6.17</v>
      </c>
      <c r="AD34" t="n">
        <v>0</v>
      </c>
      <c r="AE34" t="n">
        <v>163.8</v>
      </c>
      <c r="AF34" t="n">
        <v>0</v>
      </c>
      <c r="AG34" t="n">
        <v>0</v>
      </c>
      <c r="AH34" t="n">
        <v>0.16</v>
      </c>
      <c r="AI34" t="n">
        <v>8.199999999999999</v>
      </c>
      <c r="AJ34" t="n">
        <v>-0.01</v>
      </c>
      <c r="AK34" t="n">
        <v>14.53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48.81</v>
      </c>
      <c r="AV34" t="n">
        <v>0</v>
      </c>
      <c r="AW34" t="n">
        <v>123.18</v>
      </c>
      <c r="AX34" t="inlineStr">
        <is>
          <t>settled</t>
        </is>
      </c>
      <c r="AY34" t="inlineStr">
        <is>
          <t>2026-01-21 05:30:00</t>
        </is>
      </c>
      <c r="AZ34" t="inlineStr">
        <is>
          <t>CITIN26608218588</t>
        </is>
      </c>
      <c r="BA34" t="n">
        <v>0</v>
      </c>
      <c r="BB34" t="inlineStr">
        <is>
          <t>5bbf14df8938f95d3b7c17a99beb70d7782f65008db9840edde8a35ba5e8e65f</t>
        </is>
      </c>
    </row>
    <row r="35">
      <c r="A35" t="inlineStr">
        <is>
          <t>30</t>
        </is>
      </c>
      <c r="B35" t="inlineStr">
        <is>
          <t>7683183043</t>
        </is>
      </c>
      <c r="C35" t="inlineStr">
        <is>
          <t>2026-01-12 22:12:37</t>
        </is>
      </c>
      <c r="D35" t="inlineStr">
        <is>
          <t>3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30% off upto ₹75 (2025-06-25 - 2031-01-01)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219</v>
      </c>
      <c r="P35" t="n">
        <v>3.5</v>
      </c>
      <c r="Q35" t="n">
        <v>0</v>
      </c>
      <c r="R35" t="n">
        <v>65.7</v>
      </c>
      <c r="S35" t="n">
        <v>0</v>
      </c>
      <c r="T35" t="n">
        <v>0</v>
      </c>
      <c r="U35" t="n">
        <v>0</v>
      </c>
      <c r="V35" t="n">
        <v>7.84</v>
      </c>
      <c r="W35" t="n">
        <v>164.64</v>
      </c>
      <c r="X35" t="n">
        <v>156.8</v>
      </c>
      <c r="Y35" t="n">
        <v>19</v>
      </c>
      <c r="Z35" t="n">
        <v>29.79</v>
      </c>
      <c r="AA35" t="n">
        <v>3.03</v>
      </c>
      <c r="AB35" t="n">
        <v>32.82</v>
      </c>
      <c r="AC35" t="n">
        <v>5.91</v>
      </c>
      <c r="AD35" t="n">
        <v>0</v>
      </c>
      <c r="AE35" t="n">
        <v>156.8</v>
      </c>
      <c r="AF35" t="n">
        <v>0</v>
      </c>
      <c r="AG35" t="n">
        <v>0</v>
      </c>
      <c r="AH35" t="n">
        <v>0.16</v>
      </c>
      <c r="AI35" t="n">
        <v>7.85</v>
      </c>
      <c r="AJ35" t="n">
        <v>-0.01</v>
      </c>
      <c r="AK35" t="n">
        <v>13.92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46.74</v>
      </c>
      <c r="AV35" t="n">
        <v>0</v>
      </c>
      <c r="AW35" t="n">
        <v>117.9</v>
      </c>
      <c r="AX35" t="inlineStr">
        <is>
          <t>settled</t>
        </is>
      </c>
      <c r="AY35" t="inlineStr">
        <is>
          <t>2026-01-21 05:30:00</t>
        </is>
      </c>
      <c r="AZ35" t="inlineStr">
        <is>
          <t>CITIN26608218588</t>
        </is>
      </c>
      <c r="BA35" t="n">
        <v>0</v>
      </c>
      <c r="BB35" t="inlineStr">
        <is>
          <t>686915f7754a79a8ed24744d5695179f2a8609046c402b4ddbbb3b4c335deacb</t>
        </is>
      </c>
    </row>
    <row r="36">
      <c r="A36" t="inlineStr">
        <is>
          <t>31</t>
        </is>
      </c>
      <c r="B36" t="inlineStr">
        <is>
          <t>7681919229</t>
        </is>
      </c>
      <c r="C36" t="inlineStr">
        <is>
          <t>2026-01-12 22:51:15</t>
        </is>
      </c>
      <c r="D36" t="inlineStr">
        <is>
          <t>3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355</v>
      </c>
      <c r="P36" t="n">
        <v>3.5</v>
      </c>
      <c r="Q36" t="n">
        <v>0</v>
      </c>
      <c r="R36" t="n">
        <v>75</v>
      </c>
      <c r="S36" t="n">
        <v>0</v>
      </c>
      <c r="T36" t="n">
        <v>0</v>
      </c>
      <c r="U36" t="n">
        <v>0</v>
      </c>
      <c r="V36" t="n">
        <v>14.18</v>
      </c>
      <c r="W36" t="n">
        <v>297.68</v>
      </c>
      <c r="X36" t="n">
        <v>283.5</v>
      </c>
      <c r="Y36" t="n">
        <v>19</v>
      </c>
      <c r="Z36" t="n">
        <v>53.86</v>
      </c>
      <c r="AA36" t="n">
        <v>5.48</v>
      </c>
      <c r="AB36" t="n">
        <v>59.34</v>
      </c>
      <c r="AC36" t="n">
        <v>10.68</v>
      </c>
      <c r="AD36" t="n">
        <v>0</v>
      </c>
      <c r="AE36" t="n">
        <v>283.5</v>
      </c>
      <c r="AF36" t="n">
        <v>0</v>
      </c>
      <c r="AG36" t="n">
        <v>0</v>
      </c>
      <c r="AH36" t="n">
        <v>0.28</v>
      </c>
      <c r="AI36" t="n">
        <v>14.18</v>
      </c>
      <c r="AJ36" t="n">
        <v>0</v>
      </c>
      <c r="AK36" t="n">
        <v>25.14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84.48</v>
      </c>
      <c r="AV36" t="n">
        <v>0</v>
      </c>
      <c r="AW36" t="n">
        <v>213.2</v>
      </c>
      <c r="AX36" t="inlineStr">
        <is>
          <t>settled</t>
        </is>
      </c>
      <c r="AY36" t="inlineStr">
        <is>
          <t>2026-01-21 05:30:00</t>
        </is>
      </c>
      <c r="AZ36" t="inlineStr">
        <is>
          <t>CITIN26608218588</t>
        </is>
      </c>
      <c r="BA36" t="n">
        <v>0</v>
      </c>
      <c r="BB36" t="inlineStr">
        <is>
          <t>85d4b2ce72dd9c50a33588dacb13894335d82539b7d1d37a5f9ca366cdb8e455</t>
        </is>
      </c>
    </row>
    <row r="37">
      <c r="A37" t="inlineStr">
        <is>
          <t>32</t>
        </is>
      </c>
      <c r="B37" t="inlineStr">
        <is>
          <t>7681618736</t>
        </is>
      </c>
      <c r="C37" t="inlineStr">
        <is>
          <t>2026-01-12 23:06:55</t>
        </is>
      </c>
      <c r="D37" t="inlineStr">
        <is>
          <t>3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268</v>
      </c>
      <c r="P37" t="n">
        <v>3.5</v>
      </c>
      <c r="Q37" t="n">
        <v>0</v>
      </c>
      <c r="R37" t="n">
        <v>75</v>
      </c>
      <c r="S37" t="n">
        <v>0</v>
      </c>
      <c r="T37" t="n">
        <v>0</v>
      </c>
      <c r="U37" t="n">
        <v>0</v>
      </c>
      <c r="V37" t="n">
        <v>9.83</v>
      </c>
      <c r="W37" t="n">
        <v>206.33</v>
      </c>
      <c r="X37" t="n">
        <v>196.5</v>
      </c>
      <c r="Y37" t="n">
        <v>19</v>
      </c>
      <c r="Z37" t="n">
        <v>37.34</v>
      </c>
      <c r="AA37" t="n">
        <v>3.8</v>
      </c>
      <c r="AB37" t="n">
        <v>41.14</v>
      </c>
      <c r="AC37" t="n">
        <v>7.4</v>
      </c>
      <c r="AD37" t="n">
        <v>0</v>
      </c>
      <c r="AE37" t="n">
        <v>196.5</v>
      </c>
      <c r="AF37" t="n">
        <v>0</v>
      </c>
      <c r="AG37" t="n">
        <v>0</v>
      </c>
      <c r="AH37" t="n">
        <v>0.2</v>
      </c>
      <c r="AI37" t="n">
        <v>9.83</v>
      </c>
      <c r="AJ37" t="n">
        <v>0</v>
      </c>
      <c r="AK37" t="n">
        <v>17.43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58.57</v>
      </c>
      <c r="AV37" t="n">
        <v>0</v>
      </c>
      <c r="AW37" t="n">
        <v>147.76</v>
      </c>
      <c r="AX37" t="inlineStr">
        <is>
          <t>settled</t>
        </is>
      </c>
      <c r="AY37" t="inlineStr">
        <is>
          <t>2026-01-21 05:30:00</t>
        </is>
      </c>
      <c r="AZ37" t="inlineStr">
        <is>
          <t>CITIN26608218588</t>
        </is>
      </c>
      <c r="BA37" t="n">
        <v>0</v>
      </c>
      <c r="BB37" t="inlineStr">
        <is>
          <t>4ac989895093c52879c88ac0cf7559fdd5e9536a97baa11ec33aa3b3c602d7af</t>
        </is>
      </c>
    </row>
    <row r="38">
      <c r="A38" t="inlineStr">
        <is>
          <t>33</t>
        </is>
      </c>
      <c r="B38" t="inlineStr">
        <is>
          <t>7679808436</t>
        </is>
      </c>
      <c r="C38" t="inlineStr">
        <is>
          <t>2026-01-12 23:17:44</t>
        </is>
      </c>
      <c r="D38" t="inlineStr">
        <is>
          <t>3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458</v>
      </c>
      <c r="P38" t="n">
        <v>3.5</v>
      </c>
      <c r="Q38" t="n">
        <v>0</v>
      </c>
      <c r="R38" t="n">
        <v>75</v>
      </c>
      <c r="S38" t="n">
        <v>0</v>
      </c>
      <c r="T38" t="n">
        <v>0</v>
      </c>
      <c r="U38" t="n">
        <v>0</v>
      </c>
      <c r="V38" t="n">
        <v>19.33</v>
      </c>
      <c r="W38" t="n">
        <v>405.83</v>
      </c>
      <c r="X38" t="n">
        <v>386.5</v>
      </c>
      <c r="Y38" t="n">
        <v>19</v>
      </c>
      <c r="Z38" t="n">
        <v>73.44</v>
      </c>
      <c r="AA38" t="n">
        <v>7.47</v>
      </c>
      <c r="AB38" t="n">
        <v>80.91</v>
      </c>
      <c r="AC38" t="n">
        <v>14.56</v>
      </c>
      <c r="AD38" t="n">
        <v>0</v>
      </c>
      <c r="AE38" t="n">
        <v>386.5</v>
      </c>
      <c r="AF38" t="n">
        <v>0</v>
      </c>
      <c r="AG38" t="n">
        <v>0</v>
      </c>
      <c r="AH38" t="n">
        <v>0.39</v>
      </c>
      <c r="AI38" t="n">
        <v>19.33</v>
      </c>
      <c r="AJ38" t="n">
        <v>0</v>
      </c>
      <c r="AK38" t="n">
        <v>34.28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115.19</v>
      </c>
      <c r="AV38" t="n">
        <v>0</v>
      </c>
      <c r="AW38" t="n">
        <v>290.64</v>
      </c>
      <c r="AX38" t="inlineStr">
        <is>
          <t>settled</t>
        </is>
      </c>
      <c r="AY38" t="inlineStr">
        <is>
          <t>2026-01-21 05:30:00</t>
        </is>
      </c>
      <c r="AZ38" t="inlineStr">
        <is>
          <t>CITIN26608218588</t>
        </is>
      </c>
      <c r="BA38" t="n">
        <v>0</v>
      </c>
      <c r="BB38" t="inlineStr">
        <is>
          <t>ba1df6daa056c2e4976a4681021b7f84584d9d7540df01be6527aacdb91e314a</t>
        </is>
      </c>
    </row>
    <row r="39">
      <c r="A39" t="inlineStr">
        <is>
          <t>34</t>
        </is>
      </c>
      <c r="B39" t="inlineStr">
        <is>
          <t>7683335312</t>
        </is>
      </c>
      <c r="C39" t="inlineStr">
        <is>
          <t>2026-01-12 23:45:39</t>
        </is>
      </c>
      <c r="D39" t="inlineStr">
        <is>
          <t>3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settled</t>
        </is>
      </c>
      <c r="AY39" t="inlineStr">
        <is>
          <t>2026-01-21 05:30:00</t>
        </is>
      </c>
      <c r="AZ39" t="inlineStr">
        <is>
          <t>CITIN26608218588</t>
        </is>
      </c>
      <c r="BA39" t="n">
        <v>0</v>
      </c>
      <c r="BB39" t="inlineStr">
        <is>
          <t>ae4ea7d3a40af9abbf2d064b79aca12513bf919e074844ca05debe38fa841775</t>
        </is>
      </c>
    </row>
    <row r="40">
      <c r="A40" t="inlineStr">
        <is>
          <t>35</t>
        </is>
      </c>
      <c r="B40" t="inlineStr">
        <is>
          <t>7685829316</t>
        </is>
      </c>
      <c r="C40" t="inlineStr">
        <is>
          <t>2026-01-12 23:46:46</t>
        </is>
      </c>
      <c r="D40" t="inlineStr">
        <is>
          <t>3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657</v>
      </c>
      <c r="P40" t="n">
        <v>3.5</v>
      </c>
      <c r="Q40" t="n">
        <v>0</v>
      </c>
      <c r="R40" t="n">
        <v>75</v>
      </c>
      <c r="S40" t="n">
        <v>0</v>
      </c>
      <c r="T40" t="n">
        <v>0</v>
      </c>
      <c r="U40" t="n">
        <v>0</v>
      </c>
      <c r="V40" t="n">
        <v>29.28</v>
      </c>
      <c r="W40" t="n">
        <v>614.78</v>
      </c>
      <c r="X40" t="n">
        <v>585.5</v>
      </c>
      <c r="Y40" t="n">
        <v>19</v>
      </c>
      <c r="Z40" t="n">
        <v>111.24</v>
      </c>
      <c r="AA40" t="n">
        <v>11.31</v>
      </c>
      <c r="AB40" t="n">
        <v>122.55</v>
      </c>
      <c r="AC40" t="n">
        <v>22.06</v>
      </c>
      <c r="AD40" t="n">
        <v>0</v>
      </c>
      <c r="AE40" t="n">
        <v>585.5</v>
      </c>
      <c r="AF40" t="n">
        <v>0</v>
      </c>
      <c r="AG40" t="n">
        <v>0</v>
      </c>
      <c r="AH40" t="n">
        <v>0.59</v>
      </c>
      <c r="AI40" t="n">
        <v>29.28</v>
      </c>
      <c r="AJ40" t="n">
        <v>0</v>
      </c>
      <c r="AK40" t="n">
        <v>51.93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174.48</v>
      </c>
      <c r="AV40" t="n">
        <v>0</v>
      </c>
      <c r="AW40" t="n">
        <v>440.3</v>
      </c>
      <c r="AX40" t="inlineStr">
        <is>
          <t>settled</t>
        </is>
      </c>
      <c r="AY40" t="inlineStr">
        <is>
          <t>2026-01-21 05:30:00</t>
        </is>
      </c>
      <c r="AZ40" t="inlineStr">
        <is>
          <t>CITIN26608218588</t>
        </is>
      </c>
      <c r="BA40" t="n">
        <v>0</v>
      </c>
      <c r="BB40" t="inlineStr">
        <is>
          <t>9cc8c3849367e702cf4638bf1d53679194b77d77d0d43312fdf070959c037270</t>
        </is>
      </c>
    </row>
    <row r="41">
      <c r="A41" t="inlineStr">
        <is>
          <t>36</t>
        </is>
      </c>
      <c r="B41" t="inlineStr">
        <is>
          <t>7673284469</t>
        </is>
      </c>
      <c r="C41" t="inlineStr">
        <is>
          <t>2026-01-13 00:07:07</t>
        </is>
      </c>
      <c r="D41" t="inlineStr">
        <is>
          <t>3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229</v>
      </c>
      <c r="P41" t="n">
        <v>3.5</v>
      </c>
      <c r="Q41" t="n">
        <v>0</v>
      </c>
      <c r="R41" t="n">
        <v>68.7</v>
      </c>
      <c r="S41" t="n">
        <v>0</v>
      </c>
      <c r="T41" t="n">
        <v>0</v>
      </c>
      <c r="U41" t="n">
        <v>0</v>
      </c>
      <c r="V41" t="n">
        <v>8.19</v>
      </c>
      <c r="W41" t="n">
        <v>171.99</v>
      </c>
      <c r="X41" t="n">
        <v>163.8</v>
      </c>
      <c r="Y41" t="n">
        <v>19</v>
      </c>
      <c r="Z41" t="n">
        <v>31.12</v>
      </c>
      <c r="AA41" t="n">
        <v>3.16</v>
      </c>
      <c r="AB41" t="n">
        <v>34.28</v>
      </c>
      <c r="AC41" t="n">
        <v>6.17</v>
      </c>
      <c r="AD41" t="n">
        <v>0</v>
      </c>
      <c r="AE41" t="n">
        <v>163.8</v>
      </c>
      <c r="AF41" t="n">
        <v>0</v>
      </c>
      <c r="AG41" t="n">
        <v>0</v>
      </c>
      <c r="AH41" t="n">
        <v>0.16</v>
      </c>
      <c r="AI41" t="n">
        <v>8.199999999999999</v>
      </c>
      <c r="AJ41" t="n">
        <v>-0.01</v>
      </c>
      <c r="AK41" t="n">
        <v>14.53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48.81</v>
      </c>
      <c r="AV41" t="n">
        <v>0</v>
      </c>
      <c r="AW41" t="n">
        <v>123.18</v>
      </c>
      <c r="AX41" t="inlineStr">
        <is>
          <t>settled</t>
        </is>
      </c>
      <c r="AY41" t="inlineStr">
        <is>
          <t>2026-01-21 05:30:00</t>
        </is>
      </c>
      <c r="AZ41" t="inlineStr">
        <is>
          <t>CITIN26608218588</t>
        </is>
      </c>
      <c r="BA41" t="n">
        <v>0</v>
      </c>
      <c r="BB41" t="inlineStr">
        <is>
          <t>6dadade85c2de517a4b3707abc6fd5706166387054e3d097774c09b3fb5e2884</t>
        </is>
      </c>
    </row>
    <row r="42">
      <c r="A42" t="inlineStr">
        <is>
          <t>37</t>
        </is>
      </c>
      <c r="B42" t="inlineStr">
        <is>
          <t>7675392523</t>
        </is>
      </c>
      <c r="C42" t="inlineStr">
        <is>
          <t>2026-01-13 00:33:42</t>
        </is>
      </c>
      <c r="D42" t="inlineStr">
        <is>
          <t>3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468</v>
      </c>
      <c r="P42" t="n">
        <v>3.5</v>
      </c>
      <c r="Q42" t="n">
        <v>0</v>
      </c>
      <c r="R42" t="n">
        <v>75</v>
      </c>
      <c r="S42" t="n">
        <v>0</v>
      </c>
      <c r="T42" t="n">
        <v>0</v>
      </c>
      <c r="U42" t="n">
        <v>0</v>
      </c>
      <c r="V42" t="n">
        <v>19.83</v>
      </c>
      <c r="W42" t="n">
        <v>416.33</v>
      </c>
      <c r="X42" t="n">
        <v>396.5</v>
      </c>
      <c r="Y42" t="n">
        <v>19</v>
      </c>
      <c r="Z42" t="n">
        <v>75.34</v>
      </c>
      <c r="AA42" t="n">
        <v>7.66</v>
      </c>
      <c r="AB42" t="n">
        <v>83</v>
      </c>
      <c r="AC42" t="n">
        <v>14.94</v>
      </c>
      <c r="AD42" t="n">
        <v>0</v>
      </c>
      <c r="AE42" t="n">
        <v>396.5</v>
      </c>
      <c r="AF42" t="n">
        <v>0</v>
      </c>
      <c r="AG42" t="n">
        <v>0</v>
      </c>
      <c r="AH42" t="n">
        <v>0.4</v>
      </c>
      <c r="AI42" t="n">
        <v>19.83</v>
      </c>
      <c r="AJ42" t="n">
        <v>0</v>
      </c>
      <c r="AK42" t="n">
        <v>35.17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118.17</v>
      </c>
      <c r="AV42" t="n">
        <v>0</v>
      </c>
      <c r="AW42" t="n">
        <v>298.16</v>
      </c>
      <c r="AX42" t="inlineStr">
        <is>
          <t>settled</t>
        </is>
      </c>
      <c r="AY42" t="inlineStr">
        <is>
          <t>2026-01-21 05:30:00</t>
        </is>
      </c>
      <c r="AZ42" t="inlineStr">
        <is>
          <t>CITIN26608218588</t>
        </is>
      </c>
      <c r="BA42" t="n">
        <v>0</v>
      </c>
      <c r="BB42" t="inlineStr">
        <is>
          <t>22fd49b69bfbde2da0b563b4eddf3f7b5320794ca6fc13cf6d290686bcb4ced9</t>
        </is>
      </c>
    </row>
    <row r="43">
      <c r="A43" t="inlineStr">
        <is>
          <t>38</t>
        </is>
      </c>
      <c r="B43" t="inlineStr">
        <is>
          <t>7680315076</t>
        </is>
      </c>
      <c r="C43" t="inlineStr">
        <is>
          <t>2026-01-13 00:38:34</t>
        </is>
      </c>
      <c r="D43" t="inlineStr">
        <is>
          <t>3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438</v>
      </c>
      <c r="P43" t="n">
        <v>3.5</v>
      </c>
      <c r="Q43" t="n">
        <v>0</v>
      </c>
      <c r="R43" t="n">
        <v>75</v>
      </c>
      <c r="S43" t="n">
        <v>0</v>
      </c>
      <c r="T43" t="n">
        <v>0</v>
      </c>
      <c r="U43" t="n">
        <v>0</v>
      </c>
      <c r="V43" t="n">
        <v>18.33</v>
      </c>
      <c r="W43" t="n">
        <v>384.83</v>
      </c>
      <c r="X43" t="n">
        <v>366.5</v>
      </c>
      <c r="Y43" t="n">
        <v>19</v>
      </c>
      <c r="Z43" t="n">
        <v>69.64</v>
      </c>
      <c r="AA43" t="n">
        <v>7.08</v>
      </c>
      <c r="AB43" t="n">
        <v>76.72</v>
      </c>
      <c r="AC43" t="n">
        <v>13.81</v>
      </c>
      <c r="AD43" t="n">
        <v>0</v>
      </c>
      <c r="AE43" t="n">
        <v>366.5</v>
      </c>
      <c r="AF43" t="n">
        <v>0</v>
      </c>
      <c r="AG43" t="n">
        <v>0</v>
      </c>
      <c r="AH43" t="n">
        <v>0.37</v>
      </c>
      <c r="AI43" t="n">
        <v>18.33</v>
      </c>
      <c r="AJ43" t="n">
        <v>0</v>
      </c>
      <c r="AK43" t="n">
        <v>32.51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109.23</v>
      </c>
      <c r="AV43" t="n">
        <v>0</v>
      </c>
      <c r="AW43" t="n">
        <v>275.6</v>
      </c>
      <c r="AX43" t="inlineStr">
        <is>
          <t>settled</t>
        </is>
      </c>
      <c r="AY43" t="inlineStr">
        <is>
          <t>2026-01-21 05:30:00</t>
        </is>
      </c>
      <c r="AZ43" t="inlineStr">
        <is>
          <t>CITIN26608218588</t>
        </is>
      </c>
      <c r="BA43" t="n">
        <v>0</v>
      </c>
      <c r="BB43" t="inlineStr">
        <is>
          <t>c7241f6af7bd606ba9c9d7267ebb33e5e2d52940cbba83627603e0bbc83ba96b</t>
        </is>
      </c>
    </row>
    <row r="44">
      <c r="A44" t="inlineStr">
        <is>
          <t>39</t>
        </is>
      </c>
      <c r="B44" t="inlineStr">
        <is>
          <t>7683748632</t>
        </is>
      </c>
      <c r="C44" t="inlineStr">
        <is>
          <t>2026-01-13 00:39:02</t>
        </is>
      </c>
      <c r="D44" t="inlineStr">
        <is>
          <t>3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219</v>
      </c>
      <c r="P44" t="n">
        <v>3.5</v>
      </c>
      <c r="Q44" t="n">
        <v>0</v>
      </c>
      <c r="R44" t="n">
        <v>65.7</v>
      </c>
      <c r="S44" t="n">
        <v>0</v>
      </c>
      <c r="T44" t="n">
        <v>0</v>
      </c>
      <c r="U44" t="n">
        <v>0</v>
      </c>
      <c r="V44" t="n">
        <v>7.84</v>
      </c>
      <c r="W44" t="n">
        <v>164.64</v>
      </c>
      <c r="X44" t="n">
        <v>156.8</v>
      </c>
      <c r="Y44" t="n">
        <v>19</v>
      </c>
      <c r="Z44" t="n">
        <v>29.79</v>
      </c>
      <c r="AA44" t="n">
        <v>3.03</v>
      </c>
      <c r="AB44" t="n">
        <v>32.82</v>
      </c>
      <c r="AC44" t="n">
        <v>5.91</v>
      </c>
      <c r="AD44" t="n">
        <v>0</v>
      </c>
      <c r="AE44" t="n">
        <v>156.8</v>
      </c>
      <c r="AF44" t="n">
        <v>0</v>
      </c>
      <c r="AG44" t="n">
        <v>0</v>
      </c>
      <c r="AH44" t="n">
        <v>0.16</v>
      </c>
      <c r="AI44" t="n">
        <v>7.85</v>
      </c>
      <c r="AJ44" t="n">
        <v>-0.01</v>
      </c>
      <c r="AK44" t="n">
        <v>13.92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46.74</v>
      </c>
      <c r="AV44" t="n">
        <v>0</v>
      </c>
      <c r="AW44" t="n">
        <v>117.9</v>
      </c>
      <c r="AX44" t="inlineStr">
        <is>
          <t>settled</t>
        </is>
      </c>
      <c r="AY44" t="inlineStr">
        <is>
          <t>2026-01-21 05:30:00</t>
        </is>
      </c>
      <c r="AZ44" t="inlineStr">
        <is>
          <t>CITIN26608218588</t>
        </is>
      </c>
      <c r="BA44" t="n">
        <v>0</v>
      </c>
      <c r="BB44" t="inlineStr">
        <is>
          <t>2a4618bb87a8a0aaf1f94ac1dafd3035e773f5a8c1a01d1e803215924a1abcd2</t>
        </is>
      </c>
    </row>
    <row r="45">
      <c r="A45" t="inlineStr">
        <is>
          <t>40</t>
        </is>
      </c>
      <c r="B45" t="inlineStr">
        <is>
          <t>7685620738</t>
        </is>
      </c>
      <c r="C45" t="inlineStr">
        <is>
          <t>2026-01-13 00:51:11</t>
        </is>
      </c>
      <c r="D45" t="inlineStr">
        <is>
          <t>3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289</v>
      </c>
      <c r="P45" t="n">
        <v>3.5</v>
      </c>
      <c r="Q45" t="n">
        <v>0</v>
      </c>
      <c r="R45" t="n">
        <v>75</v>
      </c>
      <c r="S45" t="n">
        <v>0</v>
      </c>
      <c r="T45" t="n">
        <v>0</v>
      </c>
      <c r="U45" t="n">
        <v>0</v>
      </c>
      <c r="V45" t="n">
        <v>10.88</v>
      </c>
      <c r="W45" t="n">
        <v>228.38</v>
      </c>
      <c r="X45" t="n">
        <v>217.5</v>
      </c>
      <c r="Y45" t="n">
        <v>19</v>
      </c>
      <c r="Z45" t="n">
        <v>41.32</v>
      </c>
      <c r="AA45" t="n">
        <v>4.2</v>
      </c>
      <c r="AB45" t="n">
        <v>45.52</v>
      </c>
      <c r="AC45" t="n">
        <v>8.199999999999999</v>
      </c>
      <c r="AD45" t="n">
        <v>0</v>
      </c>
      <c r="AE45" t="n">
        <v>217.5</v>
      </c>
      <c r="AF45" t="n">
        <v>0</v>
      </c>
      <c r="AG45" t="n">
        <v>0</v>
      </c>
      <c r="AH45" t="n">
        <v>0.22</v>
      </c>
      <c r="AI45" t="n">
        <v>10.88</v>
      </c>
      <c r="AJ45" t="n">
        <v>0</v>
      </c>
      <c r="AK45" t="n">
        <v>19.3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64.81999999999999</v>
      </c>
      <c r="AV45" t="n">
        <v>0</v>
      </c>
      <c r="AW45" t="n">
        <v>163.56</v>
      </c>
      <c r="AX45" t="inlineStr">
        <is>
          <t>settled</t>
        </is>
      </c>
      <c r="AY45" t="inlineStr">
        <is>
          <t>2026-01-21 05:30:00</t>
        </is>
      </c>
      <c r="AZ45" t="inlineStr">
        <is>
          <t>CITIN26608218588</t>
        </is>
      </c>
      <c r="BA45" t="n">
        <v>0</v>
      </c>
      <c r="BB45" t="inlineStr">
        <is>
          <t>adf85a569cf1ec06d52a64a4f5ecaec4b111aa1e2c2b4ea7db03efb43b1f61c0</t>
        </is>
      </c>
    </row>
    <row r="46">
      <c r="A46" t="inlineStr">
        <is>
          <t>41</t>
        </is>
      </c>
      <c r="B46" t="inlineStr">
        <is>
          <t>7685775303</t>
        </is>
      </c>
      <c r="C46" t="inlineStr">
        <is>
          <t>2026-01-13 00:52:45</t>
        </is>
      </c>
      <c r="D46" t="inlineStr">
        <is>
          <t>3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268</v>
      </c>
      <c r="P46" t="n">
        <v>3.5</v>
      </c>
      <c r="Q46" t="n">
        <v>0</v>
      </c>
      <c r="R46" t="n">
        <v>75</v>
      </c>
      <c r="S46" t="n">
        <v>0</v>
      </c>
      <c r="T46" t="n">
        <v>0</v>
      </c>
      <c r="U46" t="n">
        <v>0</v>
      </c>
      <c r="V46" t="n">
        <v>9.83</v>
      </c>
      <c r="W46" t="n">
        <v>206.33</v>
      </c>
      <c r="X46" t="n">
        <v>196.5</v>
      </c>
      <c r="Y46" t="n">
        <v>19</v>
      </c>
      <c r="Z46" t="n">
        <v>37.34</v>
      </c>
      <c r="AA46" t="n">
        <v>3.8</v>
      </c>
      <c r="AB46" t="n">
        <v>41.14</v>
      </c>
      <c r="AC46" t="n">
        <v>7.4</v>
      </c>
      <c r="AD46" t="n">
        <v>0</v>
      </c>
      <c r="AE46" t="n">
        <v>196.5</v>
      </c>
      <c r="AF46" t="n">
        <v>0</v>
      </c>
      <c r="AG46" t="n">
        <v>0</v>
      </c>
      <c r="AH46" t="n">
        <v>0.2</v>
      </c>
      <c r="AI46" t="n">
        <v>9.83</v>
      </c>
      <c r="AJ46" t="n">
        <v>0</v>
      </c>
      <c r="AK46" t="n">
        <v>17.43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58.57</v>
      </c>
      <c r="AV46" t="n">
        <v>0</v>
      </c>
      <c r="AW46" t="n">
        <v>147.76</v>
      </c>
      <c r="AX46" t="inlineStr">
        <is>
          <t>settled</t>
        </is>
      </c>
      <c r="AY46" t="inlineStr">
        <is>
          <t>2026-01-21 05:30:00</t>
        </is>
      </c>
      <c r="AZ46" t="inlineStr">
        <is>
          <t>CITIN26608218588</t>
        </is>
      </c>
      <c r="BA46" t="n">
        <v>0</v>
      </c>
      <c r="BB46" t="inlineStr">
        <is>
          <t>4a1d5024d282624e640b07607d8857713b02aefcdcff373c62960fb72b6e13d5</t>
        </is>
      </c>
    </row>
    <row r="47">
      <c r="A47" t="inlineStr">
        <is>
          <t>42</t>
        </is>
      </c>
      <c r="B47" t="inlineStr">
        <is>
          <t>7685821097</t>
        </is>
      </c>
      <c r="C47" t="inlineStr">
        <is>
          <t>2026-01-13 01:11:35</t>
        </is>
      </c>
      <c r="D47" t="inlineStr">
        <is>
          <t>3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229</v>
      </c>
      <c r="P47" t="n">
        <v>3.5</v>
      </c>
      <c r="Q47" t="n">
        <v>0</v>
      </c>
      <c r="R47" t="n">
        <v>68.7</v>
      </c>
      <c r="S47" t="n">
        <v>0</v>
      </c>
      <c r="T47" t="n">
        <v>0</v>
      </c>
      <c r="U47" t="n">
        <v>0</v>
      </c>
      <c r="V47" t="n">
        <v>8.19</v>
      </c>
      <c r="W47" t="n">
        <v>171.99</v>
      </c>
      <c r="X47" t="n">
        <v>163.8</v>
      </c>
      <c r="Y47" t="n">
        <v>19</v>
      </c>
      <c r="Z47" t="n">
        <v>31.12</v>
      </c>
      <c r="AA47" t="n">
        <v>3.16</v>
      </c>
      <c r="AB47" t="n">
        <v>34.28</v>
      </c>
      <c r="AC47" t="n">
        <v>6.17</v>
      </c>
      <c r="AD47" t="n">
        <v>0</v>
      </c>
      <c r="AE47" t="n">
        <v>163.8</v>
      </c>
      <c r="AF47" t="n">
        <v>0</v>
      </c>
      <c r="AG47" t="n">
        <v>0</v>
      </c>
      <c r="AH47" t="n">
        <v>0.16</v>
      </c>
      <c r="AI47" t="n">
        <v>8.199999999999999</v>
      </c>
      <c r="AJ47" t="n">
        <v>-0.01</v>
      </c>
      <c r="AK47" t="n">
        <v>14.53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48.81</v>
      </c>
      <c r="AV47" t="n">
        <v>0</v>
      </c>
      <c r="AW47" t="n">
        <v>123.18</v>
      </c>
      <c r="AX47" t="inlineStr">
        <is>
          <t>settled</t>
        </is>
      </c>
      <c r="AY47" t="inlineStr">
        <is>
          <t>2026-01-21 05:30:00</t>
        </is>
      </c>
      <c r="AZ47" t="inlineStr">
        <is>
          <t>CITIN26608218588</t>
        </is>
      </c>
      <c r="BA47" t="n">
        <v>0</v>
      </c>
      <c r="BB47" t="inlineStr">
        <is>
          <t>2fc292719bbd969de9e81aeae78e285a96f75d3e6094778cea6063026c3d4452</t>
        </is>
      </c>
    </row>
    <row r="48">
      <c r="A48" t="inlineStr">
        <is>
          <t>43</t>
        </is>
      </c>
      <c r="B48" t="inlineStr">
        <is>
          <t>7682893957</t>
        </is>
      </c>
      <c r="C48" t="inlineStr">
        <is>
          <t>2026-01-13 01:14:50</t>
        </is>
      </c>
      <c r="D48" t="inlineStr">
        <is>
          <t>3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30% off upto ₹75 (2025-06-25 - 2031-01-01)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458</v>
      </c>
      <c r="P48" t="n">
        <v>3.5</v>
      </c>
      <c r="Q48" t="n">
        <v>0</v>
      </c>
      <c r="R48" t="n">
        <v>75</v>
      </c>
      <c r="S48" t="n">
        <v>0</v>
      </c>
      <c r="T48" t="n">
        <v>0</v>
      </c>
      <c r="U48" t="n">
        <v>0</v>
      </c>
      <c r="V48" t="n">
        <v>19.33</v>
      </c>
      <c r="W48" t="n">
        <v>405.83</v>
      </c>
      <c r="X48" t="n">
        <v>386.5</v>
      </c>
      <c r="Y48" t="n">
        <v>19</v>
      </c>
      <c r="Z48" t="n">
        <v>73.44</v>
      </c>
      <c r="AA48" t="n">
        <v>7.47</v>
      </c>
      <c r="AB48" t="n">
        <v>80.91</v>
      </c>
      <c r="AC48" t="n">
        <v>14.56</v>
      </c>
      <c r="AD48" t="n">
        <v>0</v>
      </c>
      <c r="AE48" t="n">
        <v>386.5</v>
      </c>
      <c r="AF48" t="n">
        <v>0</v>
      </c>
      <c r="AG48" t="n">
        <v>0</v>
      </c>
      <c r="AH48" t="n">
        <v>0.39</v>
      </c>
      <c r="AI48" t="n">
        <v>19.33</v>
      </c>
      <c r="AJ48" t="n">
        <v>0</v>
      </c>
      <c r="AK48" t="n">
        <v>34.28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115.19</v>
      </c>
      <c r="AV48" t="n">
        <v>0</v>
      </c>
      <c r="AW48" t="n">
        <v>290.64</v>
      </c>
      <c r="AX48" t="inlineStr">
        <is>
          <t>settled</t>
        </is>
      </c>
      <c r="AY48" t="inlineStr">
        <is>
          <t>2026-01-21 05:30:00</t>
        </is>
      </c>
      <c r="AZ48" t="inlineStr">
        <is>
          <t>CITIN26608218588</t>
        </is>
      </c>
      <c r="BA48" t="n">
        <v>0</v>
      </c>
      <c r="BB48" t="inlineStr">
        <is>
          <t>ee068bbf40c7e737d7806cb3d216d654a948346aa224fc3e3efa5affd808f0c8</t>
        </is>
      </c>
    </row>
    <row r="49">
      <c r="A49" t="inlineStr">
        <is>
          <t>44</t>
        </is>
      </c>
      <c r="B49" t="inlineStr">
        <is>
          <t>7678622084</t>
        </is>
      </c>
      <c r="C49" t="inlineStr">
        <is>
          <t>2026-01-13 01:18:03</t>
        </is>
      </c>
      <c r="D49" t="inlineStr">
        <is>
          <t>3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229</v>
      </c>
      <c r="P49" t="n">
        <v>3.5</v>
      </c>
      <c r="Q49" t="n">
        <v>0</v>
      </c>
      <c r="R49" t="n">
        <v>68.7</v>
      </c>
      <c r="S49" t="n">
        <v>0</v>
      </c>
      <c r="T49" t="n">
        <v>0</v>
      </c>
      <c r="U49" t="n">
        <v>0</v>
      </c>
      <c r="V49" t="n">
        <v>8.19</v>
      </c>
      <c r="W49" t="n">
        <v>171.99</v>
      </c>
      <c r="X49" t="n">
        <v>163.8</v>
      </c>
      <c r="Y49" t="n">
        <v>19</v>
      </c>
      <c r="Z49" t="n">
        <v>31.12</v>
      </c>
      <c r="AA49" t="n">
        <v>3.16</v>
      </c>
      <c r="AB49" t="n">
        <v>34.28</v>
      </c>
      <c r="AC49" t="n">
        <v>6.17</v>
      </c>
      <c r="AD49" t="n">
        <v>0</v>
      </c>
      <c r="AE49" t="n">
        <v>163.8</v>
      </c>
      <c r="AF49" t="n">
        <v>0</v>
      </c>
      <c r="AG49" t="n">
        <v>0</v>
      </c>
      <c r="AH49" t="n">
        <v>0.16</v>
      </c>
      <c r="AI49" t="n">
        <v>8.199999999999999</v>
      </c>
      <c r="AJ49" t="n">
        <v>-0.01</v>
      </c>
      <c r="AK49" t="n">
        <v>14.53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48.81</v>
      </c>
      <c r="AV49" t="n">
        <v>0</v>
      </c>
      <c r="AW49" t="n">
        <v>123.18</v>
      </c>
      <c r="AX49" t="inlineStr">
        <is>
          <t>settled</t>
        </is>
      </c>
      <c r="AY49" t="inlineStr">
        <is>
          <t>2026-01-21 05:30:00</t>
        </is>
      </c>
      <c r="AZ49" t="inlineStr">
        <is>
          <t>CITIN26608218588</t>
        </is>
      </c>
      <c r="BA49" t="n">
        <v>0</v>
      </c>
      <c r="BB49" t="inlineStr">
        <is>
          <t>04d983a491674e76635a1731bf0d6aadca8d15fb66371c5e3de22e495aa71e65</t>
        </is>
      </c>
    </row>
    <row r="50">
      <c r="A50" t="inlineStr">
        <is>
          <t>45</t>
        </is>
      </c>
      <c r="B50" t="inlineStr">
        <is>
          <t>7685928899</t>
        </is>
      </c>
      <c r="C50" t="inlineStr">
        <is>
          <t>2026-01-13 01:39:32</t>
        </is>
      </c>
      <c r="D50" t="inlineStr">
        <is>
          <t>3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30% off upto ₹75 (2025-06-25 - 2031-01-01)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229</v>
      </c>
      <c r="P50" t="n">
        <v>3.5</v>
      </c>
      <c r="Q50" t="n">
        <v>0</v>
      </c>
      <c r="R50" t="n">
        <v>68.7</v>
      </c>
      <c r="S50" t="n">
        <v>0</v>
      </c>
      <c r="T50" t="n">
        <v>0</v>
      </c>
      <c r="U50" t="n">
        <v>0</v>
      </c>
      <c r="V50" t="n">
        <v>8.19</v>
      </c>
      <c r="W50" t="n">
        <v>171.99</v>
      </c>
      <c r="X50" t="n">
        <v>163.8</v>
      </c>
      <c r="Y50" t="n">
        <v>19</v>
      </c>
      <c r="Z50" t="n">
        <v>31.12</v>
      </c>
      <c r="AA50" t="n">
        <v>3.16</v>
      </c>
      <c r="AB50" t="n">
        <v>34.28</v>
      </c>
      <c r="AC50" t="n">
        <v>6.17</v>
      </c>
      <c r="AD50" t="n">
        <v>0</v>
      </c>
      <c r="AE50" t="n">
        <v>163.8</v>
      </c>
      <c r="AF50" t="n">
        <v>0</v>
      </c>
      <c r="AG50" t="n">
        <v>0</v>
      </c>
      <c r="AH50" t="n">
        <v>0.16</v>
      </c>
      <c r="AI50" t="n">
        <v>8.199999999999999</v>
      </c>
      <c r="AJ50" t="n">
        <v>-0.01</v>
      </c>
      <c r="AK50" t="n">
        <v>14.53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48.81</v>
      </c>
      <c r="AV50" t="n">
        <v>0</v>
      </c>
      <c r="AW50" t="n">
        <v>123.18</v>
      </c>
      <c r="AX50" t="inlineStr">
        <is>
          <t>settled</t>
        </is>
      </c>
      <c r="AY50" t="inlineStr">
        <is>
          <t>2026-01-21 05:30:00</t>
        </is>
      </c>
      <c r="AZ50" t="inlineStr">
        <is>
          <t>CITIN26608218588</t>
        </is>
      </c>
      <c r="BA50" t="n">
        <v>0</v>
      </c>
      <c r="BB50" t="inlineStr">
        <is>
          <t>b9ee25802214d569fbd935b8d9131bbe9cbab242b2ee2996c65f516222a5359a</t>
        </is>
      </c>
    </row>
    <row r="51">
      <c r="A51" t="inlineStr">
        <is>
          <t>46</t>
        </is>
      </c>
      <c r="B51" t="inlineStr">
        <is>
          <t>7682014415</t>
        </is>
      </c>
      <c r="C51" t="inlineStr">
        <is>
          <t>2026-01-13 01:43:37</t>
        </is>
      </c>
      <c r="D51" t="inlineStr">
        <is>
          <t>3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229</v>
      </c>
      <c r="P51" t="n">
        <v>3.5</v>
      </c>
      <c r="Q51" t="n">
        <v>0</v>
      </c>
      <c r="R51" t="n">
        <v>68.7</v>
      </c>
      <c r="S51" t="n">
        <v>0</v>
      </c>
      <c r="T51" t="n">
        <v>0</v>
      </c>
      <c r="U51" t="n">
        <v>0</v>
      </c>
      <c r="V51" t="n">
        <v>8.19</v>
      </c>
      <c r="W51" t="n">
        <v>171.99</v>
      </c>
      <c r="X51" t="n">
        <v>163.8</v>
      </c>
      <c r="Y51" t="n">
        <v>19</v>
      </c>
      <c r="Z51" t="n">
        <v>31.12</v>
      </c>
      <c r="AA51" t="n">
        <v>3.16</v>
      </c>
      <c r="AB51" t="n">
        <v>34.28</v>
      </c>
      <c r="AC51" t="n">
        <v>6.17</v>
      </c>
      <c r="AD51" t="n">
        <v>0</v>
      </c>
      <c r="AE51" t="n">
        <v>163.8</v>
      </c>
      <c r="AF51" t="n">
        <v>0</v>
      </c>
      <c r="AG51" t="n">
        <v>0</v>
      </c>
      <c r="AH51" t="n">
        <v>0.16</v>
      </c>
      <c r="AI51" t="n">
        <v>8.199999999999999</v>
      </c>
      <c r="AJ51" t="n">
        <v>-0.01</v>
      </c>
      <c r="AK51" t="n">
        <v>14.53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48.81</v>
      </c>
      <c r="AV51" t="n">
        <v>0</v>
      </c>
      <c r="AW51" t="n">
        <v>123.18</v>
      </c>
      <c r="AX51" t="inlineStr">
        <is>
          <t>settled</t>
        </is>
      </c>
      <c r="AY51" t="inlineStr">
        <is>
          <t>2026-01-21 05:30:00</t>
        </is>
      </c>
      <c r="AZ51" t="inlineStr">
        <is>
          <t>CITIN26608218588</t>
        </is>
      </c>
      <c r="BA51" t="n">
        <v>0</v>
      </c>
      <c r="BB51" t="inlineStr">
        <is>
          <t>832d52948e496f9a3dc1bda2367c45a1f66ea8b65168c589f9b6308b942b206d</t>
        </is>
      </c>
    </row>
    <row r="52">
      <c r="A52" t="inlineStr">
        <is>
          <t>47</t>
        </is>
      </c>
      <c r="B52" t="inlineStr">
        <is>
          <t>7682744226</t>
        </is>
      </c>
      <c r="C52" t="inlineStr">
        <is>
          <t>2026-01-13 02:10:29</t>
        </is>
      </c>
      <c r="D52" t="inlineStr">
        <is>
          <t>3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219</v>
      </c>
      <c r="P52" t="n">
        <v>3.5</v>
      </c>
      <c r="Q52" t="n">
        <v>0</v>
      </c>
      <c r="R52" t="n">
        <v>65.7</v>
      </c>
      <c r="S52" t="n">
        <v>0</v>
      </c>
      <c r="T52" t="n">
        <v>0</v>
      </c>
      <c r="U52" t="n">
        <v>0</v>
      </c>
      <c r="V52" t="n">
        <v>7.84</v>
      </c>
      <c r="W52" t="n">
        <v>164.64</v>
      </c>
      <c r="X52" t="n">
        <v>156.8</v>
      </c>
      <c r="Y52" t="n">
        <v>19</v>
      </c>
      <c r="Z52" t="n">
        <v>29.79</v>
      </c>
      <c r="AA52" t="n">
        <v>3.03</v>
      </c>
      <c r="AB52" t="n">
        <v>32.82</v>
      </c>
      <c r="AC52" t="n">
        <v>5.91</v>
      </c>
      <c r="AD52" t="n">
        <v>0</v>
      </c>
      <c r="AE52" t="n">
        <v>156.8</v>
      </c>
      <c r="AF52" t="n">
        <v>0</v>
      </c>
      <c r="AG52" t="n">
        <v>0</v>
      </c>
      <c r="AH52" t="n">
        <v>0.16</v>
      </c>
      <c r="AI52" t="n">
        <v>7.85</v>
      </c>
      <c r="AJ52" t="n">
        <v>-0.01</v>
      </c>
      <c r="AK52" t="n">
        <v>13.92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46.74</v>
      </c>
      <c r="AV52" t="n">
        <v>0</v>
      </c>
      <c r="AW52" t="n">
        <v>117.9</v>
      </c>
      <c r="AX52" t="inlineStr">
        <is>
          <t>settled</t>
        </is>
      </c>
      <c r="AY52" t="inlineStr">
        <is>
          <t>2026-01-21 05:30:00</t>
        </is>
      </c>
      <c r="AZ52" t="inlineStr">
        <is>
          <t>CITIN26608218588</t>
        </is>
      </c>
      <c r="BA52" t="n">
        <v>0</v>
      </c>
      <c r="BB52" t="inlineStr">
        <is>
          <t>8659d0d7388ab8f83ed49ba1d6245af5eb8fea649f5ab07128247120e823513d</t>
        </is>
      </c>
    </row>
    <row r="53">
      <c r="A53" t="inlineStr">
        <is>
          <t>48</t>
        </is>
      </c>
      <c r="B53" t="inlineStr">
        <is>
          <t>7685871801</t>
        </is>
      </c>
      <c r="C53" t="inlineStr">
        <is>
          <t>2026-01-13 02:22:02</t>
        </is>
      </c>
      <c r="D53" t="inlineStr">
        <is>
          <t>3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448</v>
      </c>
      <c r="P53" t="n">
        <v>3.5</v>
      </c>
      <c r="Q53" t="n">
        <v>0</v>
      </c>
      <c r="R53" t="n">
        <v>75</v>
      </c>
      <c r="S53" t="n">
        <v>0</v>
      </c>
      <c r="T53" t="n">
        <v>0</v>
      </c>
      <c r="U53" t="n">
        <v>0</v>
      </c>
      <c r="V53" t="n">
        <v>18.83</v>
      </c>
      <c r="W53" t="n">
        <v>395.33</v>
      </c>
      <c r="X53" t="n">
        <v>376.5</v>
      </c>
      <c r="Y53" t="n">
        <v>19</v>
      </c>
      <c r="Z53" t="n">
        <v>71.54000000000001</v>
      </c>
      <c r="AA53" t="n">
        <v>7.27</v>
      </c>
      <c r="AB53" t="n">
        <v>78.81</v>
      </c>
      <c r="AC53" t="n">
        <v>14.19</v>
      </c>
      <c r="AD53" t="n">
        <v>0</v>
      </c>
      <c r="AE53" t="n">
        <v>376.5</v>
      </c>
      <c r="AF53" t="n">
        <v>0</v>
      </c>
      <c r="AG53" t="n">
        <v>0</v>
      </c>
      <c r="AH53" t="n">
        <v>0.38</v>
      </c>
      <c r="AI53" t="n">
        <v>18.83</v>
      </c>
      <c r="AJ53" t="n">
        <v>0</v>
      </c>
      <c r="AK53" t="n">
        <v>33.4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112.21</v>
      </c>
      <c r="AV53" t="n">
        <v>0</v>
      </c>
      <c r="AW53" t="n">
        <v>283.12</v>
      </c>
      <c r="AX53" t="inlineStr">
        <is>
          <t>settled</t>
        </is>
      </c>
      <c r="AY53" t="inlineStr">
        <is>
          <t>2026-01-21 05:30:00</t>
        </is>
      </c>
      <c r="AZ53" t="inlineStr">
        <is>
          <t>CITIN26608218588</t>
        </is>
      </c>
      <c r="BA53" t="n">
        <v>0</v>
      </c>
      <c r="BB53" t="inlineStr">
        <is>
          <t>1ce9be8c134377677d1ddc88f2c6d58b9832cf764675466aa96bf6b0e24642bc</t>
        </is>
      </c>
    </row>
    <row r="54">
      <c r="A54" t="inlineStr">
        <is>
          <t>49</t>
        </is>
      </c>
      <c r="B54" t="inlineStr">
        <is>
          <t>7685113719</t>
        </is>
      </c>
      <c r="C54" t="inlineStr">
        <is>
          <t>2026-01-13 02:50:48</t>
        </is>
      </c>
      <c r="D54" t="inlineStr">
        <is>
          <t>3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229</v>
      </c>
      <c r="P54" t="n">
        <v>3.5</v>
      </c>
      <c r="Q54" t="n">
        <v>0</v>
      </c>
      <c r="R54" t="n">
        <v>68.7</v>
      </c>
      <c r="S54" t="n">
        <v>0</v>
      </c>
      <c r="T54" t="n">
        <v>0</v>
      </c>
      <c r="U54" t="n">
        <v>0</v>
      </c>
      <c r="V54" t="n">
        <v>8.19</v>
      </c>
      <c r="W54" t="n">
        <v>171.99</v>
      </c>
      <c r="X54" t="n">
        <v>163.8</v>
      </c>
      <c r="Y54" t="n">
        <v>19</v>
      </c>
      <c r="Z54" t="n">
        <v>31.12</v>
      </c>
      <c r="AA54" t="n">
        <v>3.16</v>
      </c>
      <c r="AB54" t="n">
        <v>34.28</v>
      </c>
      <c r="AC54" t="n">
        <v>6.17</v>
      </c>
      <c r="AD54" t="n">
        <v>0</v>
      </c>
      <c r="AE54" t="n">
        <v>163.8</v>
      </c>
      <c r="AF54" t="n">
        <v>0</v>
      </c>
      <c r="AG54" t="n">
        <v>0</v>
      </c>
      <c r="AH54" t="n">
        <v>0.16</v>
      </c>
      <c r="AI54" t="n">
        <v>8.199999999999999</v>
      </c>
      <c r="AJ54" t="n">
        <v>-0.01</v>
      </c>
      <c r="AK54" t="n">
        <v>14.53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48.81</v>
      </c>
      <c r="AV54" t="n">
        <v>0</v>
      </c>
      <c r="AW54" t="n">
        <v>123.18</v>
      </c>
      <c r="AX54" t="inlineStr">
        <is>
          <t>settled</t>
        </is>
      </c>
      <c r="AY54" t="inlineStr">
        <is>
          <t>2026-01-21 05:30:00</t>
        </is>
      </c>
      <c r="AZ54" t="inlineStr">
        <is>
          <t>CITIN26608218588</t>
        </is>
      </c>
      <c r="BA54" t="n">
        <v>0</v>
      </c>
      <c r="BB54" t="inlineStr">
        <is>
          <t>0afd49d289ae26c655396f7d107ef99b65e2d16a9d1e69ee30b63fb515919b6b</t>
        </is>
      </c>
    </row>
    <row r="55">
      <c r="A55" t="inlineStr">
        <is>
          <t>50</t>
        </is>
      </c>
      <c r="B55" t="inlineStr">
        <is>
          <t>7680766356</t>
        </is>
      </c>
      <c r="C55" t="inlineStr">
        <is>
          <t>2026-01-13 02:52:13</t>
        </is>
      </c>
      <c r="D55" t="inlineStr">
        <is>
          <t>3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448</v>
      </c>
      <c r="P55" t="n">
        <v>3.5</v>
      </c>
      <c r="Q55" t="n">
        <v>0</v>
      </c>
      <c r="R55" t="n">
        <v>75</v>
      </c>
      <c r="S55" t="n">
        <v>0</v>
      </c>
      <c r="T55" t="n">
        <v>0</v>
      </c>
      <c r="U55" t="n">
        <v>0</v>
      </c>
      <c r="V55" t="n">
        <v>18.83</v>
      </c>
      <c r="W55" t="n">
        <v>395.33</v>
      </c>
      <c r="X55" t="n">
        <v>376.5</v>
      </c>
      <c r="Y55" t="n">
        <v>19</v>
      </c>
      <c r="Z55" t="n">
        <v>71.54000000000001</v>
      </c>
      <c r="AA55" t="n">
        <v>7.27</v>
      </c>
      <c r="AB55" t="n">
        <v>78.81</v>
      </c>
      <c r="AC55" t="n">
        <v>14.19</v>
      </c>
      <c r="AD55" t="n">
        <v>0</v>
      </c>
      <c r="AE55" t="n">
        <v>376.5</v>
      </c>
      <c r="AF55" t="n">
        <v>0</v>
      </c>
      <c r="AG55" t="n">
        <v>0</v>
      </c>
      <c r="AH55" t="n">
        <v>0.38</v>
      </c>
      <c r="AI55" t="n">
        <v>18.83</v>
      </c>
      <c r="AJ55" t="n">
        <v>0</v>
      </c>
      <c r="AK55" t="n">
        <v>33.4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112.21</v>
      </c>
      <c r="AV55" t="n">
        <v>0</v>
      </c>
      <c r="AW55" t="n">
        <v>283.12</v>
      </c>
      <c r="AX55" t="inlineStr">
        <is>
          <t>settled</t>
        </is>
      </c>
      <c r="AY55" t="inlineStr">
        <is>
          <t>2026-01-21 05:30:00</t>
        </is>
      </c>
      <c r="AZ55" t="inlineStr">
        <is>
          <t>CITIN26608218588</t>
        </is>
      </c>
      <c r="BA55" t="n">
        <v>0</v>
      </c>
      <c r="BB55" t="inlineStr">
        <is>
          <t>c8b293b635a5e4421bcd7f4000e0866140107e651cfb12f948b5dc4c846c9f2f</t>
        </is>
      </c>
    </row>
    <row r="56">
      <c r="A56" t="inlineStr">
        <is>
          <t>51</t>
        </is>
      </c>
      <c r="B56" t="inlineStr">
        <is>
          <t>7686028541</t>
        </is>
      </c>
      <c r="C56" t="inlineStr">
        <is>
          <t>2026-01-13 03:22:57</t>
        </is>
      </c>
      <c r="D56" t="inlineStr">
        <is>
          <t>3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229</v>
      </c>
      <c r="P56" t="n">
        <v>3.5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11.63</v>
      </c>
      <c r="W56" t="n">
        <v>244.13</v>
      </c>
      <c r="X56" t="n">
        <v>232.5</v>
      </c>
      <c r="Y56" t="n">
        <v>19</v>
      </c>
      <c r="Z56" t="n">
        <v>44.18</v>
      </c>
      <c r="AA56" t="n">
        <v>4.49</v>
      </c>
      <c r="AB56" t="n">
        <v>48.67</v>
      </c>
      <c r="AC56" t="n">
        <v>8.76</v>
      </c>
      <c r="AD56" t="n">
        <v>0</v>
      </c>
      <c r="AE56" t="n">
        <v>232.5</v>
      </c>
      <c r="AF56" t="n">
        <v>0</v>
      </c>
      <c r="AG56" t="n">
        <v>0</v>
      </c>
      <c r="AH56" t="n">
        <v>0.23</v>
      </c>
      <c r="AI56" t="n">
        <v>11.63</v>
      </c>
      <c r="AJ56" t="n">
        <v>0</v>
      </c>
      <c r="AK56" t="n">
        <v>20.62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69.29000000000001</v>
      </c>
      <c r="AV56" t="n">
        <v>0</v>
      </c>
      <c r="AW56" t="n">
        <v>174.84</v>
      </c>
      <c r="AX56" t="inlineStr">
        <is>
          <t>settled</t>
        </is>
      </c>
      <c r="AY56" t="inlineStr">
        <is>
          <t>2026-01-21 05:30:00</t>
        </is>
      </c>
      <c r="AZ56" t="inlineStr">
        <is>
          <t>CITIN26608218588</t>
        </is>
      </c>
      <c r="BA56" t="n">
        <v>0</v>
      </c>
      <c r="BB56" t="inlineStr">
        <is>
          <t>f7434655018eb575696b339236bedfc1de328e7b0bd5ff2d15cf9404ed6bf060</t>
        </is>
      </c>
    </row>
    <row r="57">
      <c r="A57" t="inlineStr">
        <is>
          <t>52</t>
        </is>
      </c>
      <c r="B57" t="inlineStr">
        <is>
          <t>7685856291</t>
        </is>
      </c>
      <c r="C57" t="inlineStr">
        <is>
          <t>2026-01-13 04:09:20</t>
        </is>
      </c>
      <c r="D57" t="inlineStr">
        <is>
          <t>3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settled</t>
        </is>
      </c>
      <c r="AY57" t="inlineStr">
        <is>
          <t>2026-01-21 05:30:00</t>
        </is>
      </c>
      <c r="AZ57" t="inlineStr">
        <is>
          <t>CITIN26608218588</t>
        </is>
      </c>
      <c r="BA57" t="n">
        <v>0</v>
      </c>
      <c r="BB57" t="inlineStr">
        <is>
          <t>aa69c9f78a5f8faa741d7cb5bcf79848c268c5f5da587f27d47e0861b88485d5</t>
        </is>
      </c>
    </row>
    <row r="58">
      <c r="A58" t="inlineStr">
        <is>
          <t>53</t>
        </is>
      </c>
      <c r="B58" t="inlineStr">
        <is>
          <t>7678306114</t>
        </is>
      </c>
      <c r="C58" t="inlineStr">
        <is>
          <t>2026-01-13 04:43:06</t>
        </is>
      </c>
      <c r="D58" t="inlineStr">
        <is>
          <t>3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2026-01-21 05:30:00</t>
        </is>
      </c>
      <c r="AZ58" t="inlineStr">
        <is>
          <t>CITIN26608218588</t>
        </is>
      </c>
      <c r="BA58" t="n">
        <v>0</v>
      </c>
      <c r="BB58" t="inlineStr">
        <is>
          <t>7e20eb553e5ac4d40bbea25ff1a6381ba7b31a717e246df3e9ba04c7d5d85695</t>
        </is>
      </c>
    </row>
    <row r="59">
      <c r="A59" t="inlineStr">
        <is>
          <t>54</t>
        </is>
      </c>
      <c r="B59" t="inlineStr">
        <is>
          <t>7684285234</t>
        </is>
      </c>
      <c r="C59" t="inlineStr">
        <is>
          <t>2026-01-13 05:00:21</t>
        </is>
      </c>
      <c r="D59" t="inlineStr">
        <is>
          <t>3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30% off upto ₹75 (2025-06-25 - 2031-01-01)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394</v>
      </c>
      <c r="P59" t="n">
        <v>3.5</v>
      </c>
      <c r="Q59" t="n">
        <v>0</v>
      </c>
      <c r="R59" t="n">
        <v>75</v>
      </c>
      <c r="S59" t="n">
        <v>0</v>
      </c>
      <c r="T59" t="n">
        <v>0</v>
      </c>
      <c r="U59" t="n">
        <v>0</v>
      </c>
      <c r="V59" t="n">
        <v>16.13</v>
      </c>
      <c r="W59" t="n">
        <v>338.63</v>
      </c>
      <c r="X59" t="n">
        <v>322.5</v>
      </c>
      <c r="Y59" t="n">
        <v>19</v>
      </c>
      <c r="Z59" t="n">
        <v>61.28</v>
      </c>
      <c r="AA59" t="n">
        <v>6.23</v>
      </c>
      <c r="AB59" t="n">
        <v>67.51000000000001</v>
      </c>
      <c r="AC59" t="n">
        <v>12.15</v>
      </c>
      <c r="AD59" t="n">
        <v>0</v>
      </c>
      <c r="AE59" t="n">
        <v>322.5</v>
      </c>
      <c r="AF59" t="n">
        <v>0</v>
      </c>
      <c r="AG59" t="n">
        <v>0</v>
      </c>
      <c r="AH59" t="n">
        <v>0.32</v>
      </c>
      <c r="AI59" t="n">
        <v>16.13</v>
      </c>
      <c r="AJ59" t="n">
        <v>0</v>
      </c>
      <c r="AK59" t="n">
        <v>28.6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96.11</v>
      </c>
      <c r="AV59" t="n">
        <v>0</v>
      </c>
      <c r="AW59" t="n">
        <v>242.52</v>
      </c>
      <c r="AX59" t="inlineStr">
        <is>
          <t>settled</t>
        </is>
      </c>
      <c r="AY59" t="inlineStr">
        <is>
          <t>2026-01-21 05:30:00</t>
        </is>
      </c>
      <c r="AZ59" t="inlineStr">
        <is>
          <t>CITIN26608218588</t>
        </is>
      </c>
      <c r="BA59" t="n">
        <v>0</v>
      </c>
      <c r="BB59" t="inlineStr">
        <is>
          <t>3a2337ca18f9884dfb983b727b0aa5be56131546dc3c88ff540c745d8891cb88</t>
        </is>
      </c>
    </row>
    <row r="60">
      <c r="A60" t="inlineStr">
        <is>
          <t>55</t>
        </is>
      </c>
      <c r="B60" t="inlineStr">
        <is>
          <t>7681418901</t>
        </is>
      </c>
      <c r="C60" t="inlineStr">
        <is>
          <t>2026-01-13 10:39:47</t>
        </is>
      </c>
      <c r="D60" t="inlineStr">
        <is>
          <t>3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448</v>
      </c>
      <c r="P60" t="n">
        <v>3.5</v>
      </c>
      <c r="Q60" t="n">
        <v>0</v>
      </c>
      <c r="R60" t="n">
        <v>75</v>
      </c>
      <c r="S60" t="n">
        <v>0</v>
      </c>
      <c r="T60" t="n">
        <v>0</v>
      </c>
      <c r="U60" t="n">
        <v>0</v>
      </c>
      <c r="V60" t="n">
        <v>18.83</v>
      </c>
      <c r="W60" t="n">
        <v>395.33</v>
      </c>
      <c r="X60" t="n">
        <v>376.5</v>
      </c>
      <c r="Y60" t="n">
        <v>19</v>
      </c>
      <c r="Z60" t="n">
        <v>71.54000000000001</v>
      </c>
      <c r="AA60" t="n">
        <v>7.27</v>
      </c>
      <c r="AB60" t="n">
        <v>78.81</v>
      </c>
      <c r="AC60" t="n">
        <v>14.19</v>
      </c>
      <c r="AD60" t="n">
        <v>0</v>
      </c>
      <c r="AE60" t="n">
        <v>376.5</v>
      </c>
      <c r="AF60" t="n">
        <v>0</v>
      </c>
      <c r="AG60" t="n">
        <v>0</v>
      </c>
      <c r="AH60" t="n">
        <v>0.38</v>
      </c>
      <c r="AI60" t="n">
        <v>18.83</v>
      </c>
      <c r="AJ60" t="n">
        <v>0</v>
      </c>
      <c r="AK60" t="n">
        <v>33.4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112.21</v>
      </c>
      <c r="AV60" t="n">
        <v>0</v>
      </c>
      <c r="AW60" t="n">
        <v>283.12</v>
      </c>
      <c r="AX60" t="inlineStr">
        <is>
          <t>settled</t>
        </is>
      </c>
      <c r="AY60" t="inlineStr">
        <is>
          <t>2026-01-21 05:30:00</t>
        </is>
      </c>
      <c r="AZ60" t="inlineStr">
        <is>
          <t>CITIN26608218588</t>
        </is>
      </c>
      <c r="BA60" t="n">
        <v>0</v>
      </c>
      <c r="BB60" t="inlineStr">
        <is>
          <t>1e9f0ff5f0fba58260a309947abe104a7aa8e5c612cf7050bf1d1d27386948a7</t>
        </is>
      </c>
    </row>
    <row r="61">
      <c r="A61" t="inlineStr">
        <is>
          <t>56</t>
        </is>
      </c>
      <c r="B61" t="inlineStr">
        <is>
          <t>7673447762</t>
        </is>
      </c>
      <c r="C61" t="inlineStr">
        <is>
          <t>2026-01-13 12:29:36</t>
        </is>
      </c>
      <c r="D61" t="inlineStr">
        <is>
          <t>3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30% off upto ₹75 (2025-06-25 - 2031-01-01)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68.7</v>
      </c>
      <c r="S61" t="n">
        <v>0</v>
      </c>
      <c r="T61" t="n">
        <v>0</v>
      </c>
      <c r="U61" t="n">
        <v>0</v>
      </c>
      <c r="V61" t="n">
        <v>8.19</v>
      </c>
      <c r="W61" t="n">
        <v>171.99</v>
      </c>
      <c r="X61" t="n">
        <v>163.8</v>
      </c>
      <c r="Y61" t="n">
        <v>19</v>
      </c>
      <c r="Z61" t="n">
        <v>31.12</v>
      </c>
      <c r="AA61" t="n">
        <v>3.16</v>
      </c>
      <c r="AB61" t="n">
        <v>34.28</v>
      </c>
      <c r="AC61" t="n">
        <v>6.17</v>
      </c>
      <c r="AD61" t="n">
        <v>0</v>
      </c>
      <c r="AE61" t="n">
        <v>163.8</v>
      </c>
      <c r="AF61" t="n">
        <v>0</v>
      </c>
      <c r="AG61" t="n">
        <v>0</v>
      </c>
      <c r="AH61" t="n">
        <v>0.16</v>
      </c>
      <c r="AI61" t="n">
        <v>8.199999999999999</v>
      </c>
      <c r="AJ61" t="n">
        <v>-0.01</v>
      </c>
      <c r="AK61" t="n">
        <v>14.53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48.81</v>
      </c>
      <c r="AV61" t="n">
        <v>0</v>
      </c>
      <c r="AW61" t="n">
        <v>123.18</v>
      </c>
      <c r="AX61" t="inlineStr">
        <is>
          <t>settled</t>
        </is>
      </c>
      <c r="AY61" t="inlineStr">
        <is>
          <t>2026-01-21 05:30:00</t>
        </is>
      </c>
      <c r="AZ61" t="inlineStr">
        <is>
          <t>CITIN26608218588</t>
        </is>
      </c>
      <c r="BA61" t="n">
        <v>0</v>
      </c>
      <c r="BB61" t="inlineStr">
        <is>
          <t>64c9168664b49b3b32044fe500249f4755abc357839cec5411a53255660dc09e</t>
        </is>
      </c>
    </row>
    <row r="62">
      <c r="A62" t="inlineStr">
        <is>
          <t>57</t>
        </is>
      </c>
      <c r="B62" t="inlineStr">
        <is>
          <t>7679326032</t>
        </is>
      </c>
      <c r="C62" t="inlineStr">
        <is>
          <t>2026-01-13 13:10:24</t>
        </is>
      </c>
      <c r="D62" t="inlineStr">
        <is>
          <t>3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30% off upto ₹75 (2025-06-25 - 2031-01-01)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219</v>
      </c>
      <c r="P62" t="n">
        <v>3.5</v>
      </c>
      <c r="Q62" t="n">
        <v>0</v>
      </c>
      <c r="R62" t="n">
        <v>65.7</v>
      </c>
      <c r="S62" t="n">
        <v>0</v>
      </c>
      <c r="T62" t="n">
        <v>0</v>
      </c>
      <c r="U62" t="n">
        <v>0</v>
      </c>
      <c r="V62" t="n">
        <v>7.84</v>
      </c>
      <c r="W62" t="n">
        <v>164.64</v>
      </c>
      <c r="X62" t="n">
        <v>156.8</v>
      </c>
      <c r="Y62" t="n">
        <v>19</v>
      </c>
      <c r="Z62" t="n">
        <v>29.79</v>
      </c>
      <c r="AA62" t="n">
        <v>3.03</v>
      </c>
      <c r="AB62" t="n">
        <v>32.82</v>
      </c>
      <c r="AC62" t="n">
        <v>5.91</v>
      </c>
      <c r="AD62" t="n">
        <v>0</v>
      </c>
      <c r="AE62" t="n">
        <v>156.8</v>
      </c>
      <c r="AF62" t="n">
        <v>0</v>
      </c>
      <c r="AG62" t="n">
        <v>0</v>
      </c>
      <c r="AH62" t="n">
        <v>0.16</v>
      </c>
      <c r="AI62" t="n">
        <v>7.85</v>
      </c>
      <c r="AJ62" t="n">
        <v>-0.01</v>
      </c>
      <c r="AK62" t="n">
        <v>13.92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46.74</v>
      </c>
      <c r="AV62" t="n">
        <v>0</v>
      </c>
      <c r="AW62" t="n">
        <v>117.9</v>
      </c>
      <c r="AX62" t="inlineStr">
        <is>
          <t>settled</t>
        </is>
      </c>
      <c r="AY62" t="inlineStr">
        <is>
          <t>2026-01-21 05:30:00</t>
        </is>
      </c>
      <c r="AZ62" t="inlineStr">
        <is>
          <t>CITIN26608218588</t>
        </is>
      </c>
      <c r="BA62" t="n">
        <v>0</v>
      </c>
      <c r="BB62" t="inlineStr">
        <is>
          <t>0aaa66a78698618b6e27dfb4cb880221b75c17d4a83886449f40e9d2f59129d1</t>
        </is>
      </c>
    </row>
    <row r="63">
      <c r="A63" t="inlineStr">
        <is>
          <t>58</t>
        </is>
      </c>
      <c r="B63" t="inlineStr">
        <is>
          <t>7686347847</t>
        </is>
      </c>
      <c r="C63" t="inlineStr">
        <is>
          <t>2026-01-13 14:46:56</t>
        </is>
      </c>
      <c r="D63" t="inlineStr">
        <is>
          <t>3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settled</t>
        </is>
      </c>
      <c r="AY63" t="inlineStr">
        <is>
          <t>2026-01-21 05:30:00</t>
        </is>
      </c>
      <c r="AZ63" t="inlineStr">
        <is>
          <t>CITIN26608218588</t>
        </is>
      </c>
      <c r="BA63" t="n">
        <v>0</v>
      </c>
      <c r="BB63" t="inlineStr">
        <is>
          <t>d887a88ea0a0186543527cf78731e3fda1df61d2abb7c2194f2c4915fc54b93c</t>
        </is>
      </c>
    </row>
    <row r="64">
      <c r="A64" t="inlineStr">
        <is>
          <t>59</t>
        </is>
      </c>
      <c r="B64" t="inlineStr">
        <is>
          <t>7686061920</t>
        </is>
      </c>
      <c r="C64" t="inlineStr">
        <is>
          <t>2026-01-13 15:37:09</t>
        </is>
      </c>
      <c r="D64" t="inlineStr">
        <is>
          <t>3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384</v>
      </c>
      <c r="P64" t="n">
        <v>3.5</v>
      </c>
      <c r="Q64" t="n">
        <v>0</v>
      </c>
      <c r="R64" t="n">
        <v>75</v>
      </c>
      <c r="S64" t="n">
        <v>0</v>
      </c>
      <c r="T64" t="n">
        <v>0</v>
      </c>
      <c r="U64" t="n">
        <v>0</v>
      </c>
      <c r="V64" t="n">
        <v>15.63</v>
      </c>
      <c r="W64" t="n">
        <v>328.13</v>
      </c>
      <c r="X64" t="n">
        <v>312.5</v>
      </c>
      <c r="Y64" t="n">
        <v>19</v>
      </c>
      <c r="Z64" t="n">
        <v>59.38</v>
      </c>
      <c r="AA64" t="n">
        <v>6.04</v>
      </c>
      <c r="AB64" t="n">
        <v>65.42</v>
      </c>
      <c r="AC64" t="n">
        <v>11.78</v>
      </c>
      <c r="AD64" t="n">
        <v>0</v>
      </c>
      <c r="AE64" t="n">
        <v>312.5</v>
      </c>
      <c r="AF64" t="n">
        <v>0</v>
      </c>
      <c r="AG64" t="n">
        <v>0</v>
      </c>
      <c r="AH64" t="n">
        <v>0.31</v>
      </c>
      <c r="AI64" t="n">
        <v>15.63</v>
      </c>
      <c r="AJ64" t="n">
        <v>0</v>
      </c>
      <c r="AK64" t="n">
        <v>27.72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93.14</v>
      </c>
      <c r="AV64" t="n">
        <v>0</v>
      </c>
      <c r="AW64" t="n">
        <v>234.99</v>
      </c>
      <c r="AX64" t="inlineStr">
        <is>
          <t>settled</t>
        </is>
      </c>
      <c r="AY64" t="inlineStr">
        <is>
          <t>2026-01-21 05:30:00</t>
        </is>
      </c>
      <c r="AZ64" t="inlineStr">
        <is>
          <t>CITIN26608218588</t>
        </is>
      </c>
      <c r="BA64" t="n">
        <v>0</v>
      </c>
      <c r="BB64" t="inlineStr">
        <is>
          <t>02848fb3ab312cad61e2e3e06db63954da05d2efbe2a992194d3f504554a5a10</t>
        </is>
      </c>
    </row>
    <row r="65">
      <c r="A65" t="inlineStr">
        <is>
          <t>60</t>
        </is>
      </c>
      <c r="B65" t="inlineStr">
        <is>
          <t>7685870860</t>
        </is>
      </c>
      <c r="C65" t="inlineStr">
        <is>
          <t>2026-01-13 16:33:08</t>
        </is>
      </c>
      <c r="D65" t="inlineStr">
        <is>
          <t>3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268</v>
      </c>
      <c r="P65" t="n">
        <v>3.5</v>
      </c>
      <c r="Q65" t="n">
        <v>0</v>
      </c>
      <c r="R65" t="n">
        <v>75</v>
      </c>
      <c r="S65" t="n">
        <v>0</v>
      </c>
      <c r="T65" t="n">
        <v>0</v>
      </c>
      <c r="U65" t="n">
        <v>0</v>
      </c>
      <c r="V65" t="n">
        <v>9.83</v>
      </c>
      <c r="W65" t="n">
        <v>206.33</v>
      </c>
      <c r="X65" t="n">
        <v>196.5</v>
      </c>
      <c r="Y65" t="n">
        <v>19</v>
      </c>
      <c r="Z65" t="n">
        <v>37.34</v>
      </c>
      <c r="AA65" t="n">
        <v>3.8</v>
      </c>
      <c r="AB65" t="n">
        <v>41.14</v>
      </c>
      <c r="AC65" t="n">
        <v>7.4</v>
      </c>
      <c r="AD65" t="n">
        <v>0</v>
      </c>
      <c r="AE65" t="n">
        <v>196.5</v>
      </c>
      <c r="AF65" t="n">
        <v>0</v>
      </c>
      <c r="AG65" t="n">
        <v>0</v>
      </c>
      <c r="AH65" t="n">
        <v>0.2</v>
      </c>
      <c r="AI65" t="n">
        <v>9.83</v>
      </c>
      <c r="AJ65" t="n">
        <v>0</v>
      </c>
      <c r="AK65" t="n">
        <v>17.43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58.57</v>
      </c>
      <c r="AV65" t="n">
        <v>0</v>
      </c>
      <c r="AW65" t="n">
        <v>147.76</v>
      </c>
      <c r="AX65" t="inlineStr">
        <is>
          <t>settled</t>
        </is>
      </c>
      <c r="AY65" t="inlineStr">
        <is>
          <t>2026-01-21 05:30:00</t>
        </is>
      </c>
      <c r="AZ65" t="inlineStr">
        <is>
          <t>CITIN26608218588</t>
        </is>
      </c>
      <c r="BA65" t="n">
        <v>0</v>
      </c>
      <c r="BB65" t="inlineStr">
        <is>
          <t>911de08225c84d5ef5c96d63fdf01a71d69fe964f6fb1a538e2d99c13cb6439c</t>
        </is>
      </c>
    </row>
    <row r="66">
      <c r="A66" t="inlineStr">
        <is>
          <t>61</t>
        </is>
      </c>
      <c r="B66" t="inlineStr">
        <is>
          <t>7683305797</t>
        </is>
      </c>
      <c r="C66" t="inlineStr">
        <is>
          <t>2026-01-13 16:37:45</t>
        </is>
      </c>
      <c r="D66" t="inlineStr">
        <is>
          <t>3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229</v>
      </c>
      <c r="P66" t="n">
        <v>3.5</v>
      </c>
      <c r="Q66" t="n">
        <v>0</v>
      </c>
      <c r="R66" t="n">
        <v>68.7</v>
      </c>
      <c r="S66" t="n">
        <v>0</v>
      </c>
      <c r="T66" t="n">
        <v>0</v>
      </c>
      <c r="U66" t="n">
        <v>0</v>
      </c>
      <c r="V66" t="n">
        <v>8.19</v>
      </c>
      <c r="W66" t="n">
        <v>171.99</v>
      </c>
      <c r="X66" t="n">
        <v>163.8</v>
      </c>
      <c r="Y66" t="n">
        <v>19</v>
      </c>
      <c r="Z66" t="n">
        <v>31.12</v>
      </c>
      <c r="AA66" t="n">
        <v>3.16</v>
      </c>
      <c r="AB66" t="n">
        <v>34.28</v>
      </c>
      <c r="AC66" t="n">
        <v>6.17</v>
      </c>
      <c r="AD66" t="n">
        <v>0</v>
      </c>
      <c r="AE66" t="n">
        <v>163.8</v>
      </c>
      <c r="AF66" t="n">
        <v>0</v>
      </c>
      <c r="AG66" t="n">
        <v>0</v>
      </c>
      <c r="AH66" t="n">
        <v>0.16</v>
      </c>
      <c r="AI66" t="n">
        <v>8.199999999999999</v>
      </c>
      <c r="AJ66" t="n">
        <v>-0.01</v>
      </c>
      <c r="AK66" t="n">
        <v>14.53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48.81</v>
      </c>
      <c r="AV66" t="n">
        <v>0</v>
      </c>
      <c r="AW66" t="n">
        <v>123.18</v>
      </c>
      <c r="AX66" t="inlineStr">
        <is>
          <t>settled</t>
        </is>
      </c>
      <c r="AY66" t="inlineStr">
        <is>
          <t>2026-01-21 05:30:00</t>
        </is>
      </c>
      <c r="AZ66" t="inlineStr">
        <is>
          <t>CITIN26608218588</t>
        </is>
      </c>
      <c r="BA66" t="n">
        <v>0</v>
      </c>
      <c r="BB66" t="inlineStr">
        <is>
          <t>39ff6fef371283560f1ce7e6dd5f9d87b24902c13f2c5db060796159707ffeca</t>
        </is>
      </c>
    </row>
    <row r="67">
      <c r="A67" t="inlineStr">
        <is>
          <t>62</t>
        </is>
      </c>
      <c r="B67" t="inlineStr">
        <is>
          <t>7683562429</t>
        </is>
      </c>
      <c r="C67" t="inlineStr">
        <is>
          <t>2026-01-13 16:53:25</t>
        </is>
      </c>
      <c r="D67" t="inlineStr">
        <is>
          <t>3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229</v>
      </c>
      <c r="P67" t="n">
        <v>3.5</v>
      </c>
      <c r="Q67" t="n">
        <v>0</v>
      </c>
      <c r="R67" t="n">
        <v>68.7</v>
      </c>
      <c r="S67" t="n">
        <v>0</v>
      </c>
      <c r="T67" t="n">
        <v>0</v>
      </c>
      <c r="U67" t="n">
        <v>0</v>
      </c>
      <c r="V67" t="n">
        <v>8.19</v>
      </c>
      <c r="W67" t="n">
        <v>171.99</v>
      </c>
      <c r="X67" t="n">
        <v>163.8</v>
      </c>
      <c r="Y67" t="n">
        <v>19</v>
      </c>
      <c r="Z67" t="n">
        <v>31.12</v>
      </c>
      <c r="AA67" t="n">
        <v>3.16</v>
      </c>
      <c r="AB67" t="n">
        <v>34.28</v>
      </c>
      <c r="AC67" t="n">
        <v>6.17</v>
      </c>
      <c r="AD67" t="n">
        <v>0</v>
      </c>
      <c r="AE67" t="n">
        <v>163.8</v>
      </c>
      <c r="AF67" t="n">
        <v>0</v>
      </c>
      <c r="AG67" t="n">
        <v>0</v>
      </c>
      <c r="AH67" t="n">
        <v>0.16</v>
      </c>
      <c r="AI67" t="n">
        <v>8.199999999999999</v>
      </c>
      <c r="AJ67" t="n">
        <v>-0.01</v>
      </c>
      <c r="AK67" t="n">
        <v>14.53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48.81</v>
      </c>
      <c r="AV67" t="n">
        <v>0</v>
      </c>
      <c r="AW67" t="n">
        <v>123.18</v>
      </c>
      <c r="AX67" t="inlineStr">
        <is>
          <t>settled</t>
        </is>
      </c>
      <c r="AY67" t="inlineStr">
        <is>
          <t>2026-01-21 05:30:00</t>
        </is>
      </c>
      <c r="AZ67" t="inlineStr">
        <is>
          <t>CITIN26608218588</t>
        </is>
      </c>
      <c r="BA67" t="n">
        <v>0</v>
      </c>
      <c r="BB67" t="inlineStr">
        <is>
          <t>d7e6028b7bde2bd7fc9181adfae19e614e88f5e2e8fed118d91273187665aa9b</t>
        </is>
      </c>
    </row>
    <row r="68">
      <c r="A68" t="inlineStr">
        <is>
          <t>63</t>
        </is>
      </c>
      <c r="B68" t="inlineStr">
        <is>
          <t>7687425007</t>
        </is>
      </c>
      <c r="C68" t="inlineStr">
        <is>
          <t>2026-01-13 19:08:36</t>
        </is>
      </c>
      <c r="D68" t="inlineStr">
        <is>
          <t>3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219</v>
      </c>
      <c r="P68" t="n">
        <v>3.5</v>
      </c>
      <c r="Q68" t="n">
        <v>0</v>
      </c>
      <c r="R68" t="n">
        <v>65.7</v>
      </c>
      <c r="S68" t="n">
        <v>0</v>
      </c>
      <c r="T68" t="n">
        <v>0</v>
      </c>
      <c r="U68" t="n">
        <v>0</v>
      </c>
      <c r="V68" t="n">
        <v>7.84</v>
      </c>
      <c r="W68" t="n">
        <v>164.64</v>
      </c>
      <c r="X68" t="n">
        <v>156.8</v>
      </c>
      <c r="Y68" t="n">
        <v>19</v>
      </c>
      <c r="Z68" t="n">
        <v>29.79</v>
      </c>
      <c r="AA68" t="n">
        <v>3.03</v>
      </c>
      <c r="AB68" t="n">
        <v>32.82</v>
      </c>
      <c r="AC68" t="n">
        <v>5.91</v>
      </c>
      <c r="AD68" t="n">
        <v>0</v>
      </c>
      <c r="AE68" t="n">
        <v>156.8</v>
      </c>
      <c r="AF68" t="n">
        <v>0</v>
      </c>
      <c r="AG68" t="n">
        <v>0</v>
      </c>
      <c r="AH68" t="n">
        <v>0.16</v>
      </c>
      <c r="AI68" t="n">
        <v>7.85</v>
      </c>
      <c r="AJ68" t="n">
        <v>-0.01</v>
      </c>
      <c r="AK68" t="n">
        <v>13.92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46.74</v>
      </c>
      <c r="AV68" t="n">
        <v>0</v>
      </c>
      <c r="AW68" t="n">
        <v>117.9</v>
      </c>
      <c r="AX68" t="inlineStr">
        <is>
          <t>settled</t>
        </is>
      </c>
      <c r="AY68" t="inlineStr">
        <is>
          <t>2026-01-21 05:30:00</t>
        </is>
      </c>
      <c r="AZ68" t="inlineStr">
        <is>
          <t>CITIN26608218588</t>
        </is>
      </c>
      <c r="BA68" t="n">
        <v>0</v>
      </c>
      <c r="BB68" t="inlineStr">
        <is>
          <t>15f6381c1ff7b47ed4ae3af59f086e8f489d894ebfccc4070fea107c5f7c2f47</t>
        </is>
      </c>
    </row>
    <row r="69">
      <c r="A69" t="inlineStr">
        <is>
          <t>64</t>
        </is>
      </c>
      <c r="B69" t="inlineStr">
        <is>
          <t>7687670384</t>
        </is>
      </c>
      <c r="C69" t="inlineStr">
        <is>
          <t>2026-01-13 19:23:48</t>
        </is>
      </c>
      <c r="D69" t="inlineStr">
        <is>
          <t>3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NA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229</v>
      </c>
      <c r="P69" t="n">
        <v>3.5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11.63</v>
      </c>
      <c r="W69" t="n">
        <v>244.13</v>
      </c>
      <c r="X69" t="n">
        <v>232.5</v>
      </c>
      <c r="Y69" t="n">
        <v>19</v>
      </c>
      <c r="Z69" t="n">
        <v>44.18</v>
      </c>
      <c r="AA69" t="n">
        <v>4.49</v>
      </c>
      <c r="AB69" t="n">
        <v>48.67</v>
      </c>
      <c r="AC69" t="n">
        <v>8.76</v>
      </c>
      <c r="AD69" t="n">
        <v>0</v>
      </c>
      <c r="AE69" t="n">
        <v>232.5</v>
      </c>
      <c r="AF69" t="n">
        <v>0</v>
      </c>
      <c r="AG69" t="n">
        <v>0</v>
      </c>
      <c r="AH69" t="n">
        <v>0.23</v>
      </c>
      <c r="AI69" t="n">
        <v>11.63</v>
      </c>
      <c r="AJ69" t="n">
        <v>0</v>
      </c>
      <c r="AK69" t="n">
        <v>20.62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69.29000000000001</v>
      </c>
      <c r="AV69" t="n">
        <v>0</v>
      </c>
      <c r="AW69" t="n">
        <v>174.84</v>
      </c>
      <c r="AX69" t="inlineStr">
        <is>
          <t>settled</t>
        </is>
      </c>
      <c r="AY69" t="inlineStr">
        <is>
          <t>2026-01-21 05:30:00</t>
        </is>
      </c>
      <c r="AZ69" t="inlineStr">
        <is>
          <t>CITIN26608218588</t>
        </is>
      </c>
      <c r="BA69" t="n">
        <v>0</v>
      </c>
      <c r="BB69" t="inlineStr">
        <is>
          <t>ce2d41687607a2ec3bab8aa1cb468b18459bcca52107405badd4000976254b09</t>
        </is>
      </c>
    </row>
    <row r="70">
      <c r="A70" t="inlineStr">
        <is>
          <t>65</t>
        </is>
      </c>
      <c r="B70" t="inlineStr">
        <is>
          <t>7680563150</t>
        </is>
      </c>
      <c r="C70" t="inlineStr">
        <is>
          <t>2026-01-13 19:34:34</t>
        </is>
      </c>
      <c r="D70" t="inlineStr">
        <is>
          <t>3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229</v>
      </c>
      <c r="P70" t="n">
        <v>3.5</v>
      </c>
      <c r="Q70" t="n">
        <v>0</v>
      </c>
      <c r="R70" t="n">
        <v>68.7</v>
      </c>
      <c r="S70" t="n">
        <v>0</v>
      </c>
      <c r="T70" t="n">
        <v>0</v>
      </c>
      <c r="U70" t="n">
        <v>0</v>
      </c>
      <c r="V70" t="n">
        <v>8.19</v>
      </c>
      <c r="W70" t="n">
        <v>171.99</v>
      </c>
      <c r="X70" t="n">
        <v>163.8</v>
      </c>
      <c r="Y70" t="n">
        <v>19</v>
      </c>
      <c r="Z70" t="n">
        <v>31.12</v>
      </c>
      <c r="AA70" t="n">
        <v>3.16</v>
      </c>
      <c r="AB70" t="n">
        <v>34.28</v>
      </c>
      <c r="AC70" t="n">
        <v>6.17</v>
      </c>
      <c r="AD70" t="n">
        <v>0</v>
      </c>
      <c r="AE70" t="n">
        <v>163.8</v>
      </c>
      <c r="AF70" t="n">
        <v>0</v>
      </c>
      <c r="AG70" t="n">
        <v>0</v>
      </c>
      <c r="AH70" t="n">
        <v>0.16</v>
      </c>
      <c r="AI70" t="n">
        <v>8.199999999999999</v>
      </c>
      <c r="AJ70" t="n">
        <v>-0.01</v>
      </c>
      <c r="AK70" t="n">
        <v>14.53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48.81</v>
      </c>
      <c r="AV70" t="n">
        <v>0</v>
      </c>
      <c r="AW70" t="n">
        <v>123.18</v>
      </c>
      <c r="AX70" t="inlineStr">
        <is>
          <t>settled</t>
        </is>
      </c>
      <c r="AY70" t="inlineStr">
        <is>
          <t>2026-01-21 05:30:00</t>
        </is>
      </c>
      <c r="AZ70" t="inlineStr">
        <is>
          <t>CITIN26608218588</t>
        </is>
      </c>
      <c r="BA70" t="n">
        <v>0</v>
      </c>
      <c r="BB70" t="inlineStr">
        <is>
          <t>efccb7bc89086e69e2c20be96a97880f0735faca015cb939780537e6ef8e159f</t>
        </is>
      </c>
    </row>
    <row r="71">
      <c r="A71" t="inlineStr">
        <is>
          <t>66</t>
        </is>
      </c>
      <c r="B71" t="inlineStr">
        <is>
          <t>7687223147</t>
        </is>
      </c>
      <c r="C71" t="inlineStr">
        <is>
          <t>2026-01-13 19:47:33</t>
        </is>
      </c>
      <c r="D71" t="inlineStr">
        <is>
          <t>3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NA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229</v>
      </c>
      <c r="P71" t="n">
        <v>3.5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11.63</v>
      </c>
      <c r="W71" t="n">
        <v>244.13</v>
      </c>
      <c r="X71" t="n">
        <v>232.5</v>
      </c>
      <c r="Y71" t="n">
        <v>19</v>
      </c>
      <c r="Z71" t="n">
        <v>44.18</v>
      </c>
      <c r="AA71" t="n">
        <v>4.49</v>
      </c>
      <c r="AB71" t="n">
        <v>48.67</v>
      </c>
      <c r="AC71" t="n">
        <v>8.76</v>
      </c>
      <c r="AD71" t="n">
        <v>0</v>
      </c>
      <c r="AE71" t="n">
        <v>232.5</v>
      </c>
      <c r="AF71" t="n">
        <v>0</v>
      </c>
      <c r="AG71" t="n">
        <v>0</v>
      </c>
      <c r="AH71" t="n">
        <v>0.23</v>
      </c>
      <c r="AI71" t="n">
        <v>11.63</v>
      </c>
      <c r="AJ71" t="n">
        <v>0</v>
      </c>
      <c r="AK71" t="n">
        <v>20.62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69.29000000000001</v>
      </c>
      <c r="AV71" t="n">
        <v>0</v>
      </c>
      <c r="AW71" t="n">
        <v>174.84</v>
      </c>
      <c r="AX71" t="inlineStr">
        <is>
          <t>settled</t>
        </is>
      </c>
      <c r="AY71" t="inlineStr">
        <is>
          <t>2026-01-21 05:30:00</t>
        </is>
      </c>
      <c r="AZ71" t="inlineStr">
        <is>
          <t>CITIN26608218588</t>
        </is>
      </c>
      <c r="BA71" t="n">
        <v>0</v>
      </c>
      <c r="BB71" t="inlineStr">
        <is>
          <t>5ea82a7c4f3d50672e3017de259d0ff894ec2428d6bb5fca2ee7e04c25db9ebf</t>
        </is>
      </c>
    </row>
    <row r="72">
      <c r="A72" t="inlineStr">
        <is>
          <t>67</t>
        </is>
      </c>
      <c r="B72" t="inlineStr">
        <is>
          <t>7687487332</t>
        </is>
      </c>
      <c r="C72" t="inlineStr">
        <is>
          <t>2026-01-13 19:57:09</t>
        </is>
      </c>
      <c r="D72" t="inlineStr">
        <is>
          <t>3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NA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447</v>
      </c>
      <c r="P72" t="n">
        <v>3.5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22.53</v>
      </c>
      <c r="W72" t="n">
        <v>473.03</v>
      </c>
      <c r="X72" t="n">
        <v>450.5</v>
      </c>
      <c r="Y72" t="n">
        <v>19</v>
      </c>
      <c r="Z72" t="n">
        <v>85.59999999999999</v>
      </c>
      <c r="AA72" t="n">
        <v>8.699999999999999</v>
      </c>
      <c r="AB72" t="n">
        <v>94.3</v>
      </c>
      <c r="AC72" t="n">
        <v>16.98</v>
      </c>
      <c r="AD72" t="n">
        <v>0</v>
      </c>
      <c r="AE72" t="n">
        <v>450.5</v>
      </c>
      <c r="AF72" t="n">
        <v>0</v>
      </c>
      <c r="AG72" t="n">
        <v>0</v>
      </c>
      <c r="AH72" t="n">
        <v>0.45</v>
      </c>
      <c r="AI72" t="n">
        <v>22.53</v>
      </c>
      <c r="AJ72" t="n">
        <v>0</v>
      </c>
      <c r="AK72" t="n">
        <v>39.96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134.26</v>
      </c>
      <c r="AV72" t="n">
        <v>0</v>
      </c>
      <c r="AW72" t="n">
        <v>338.77</v>
      </c>
      <c r="AX72" t="inlineStr">
        <is>
          <t>settled</t>
        </is>
      </c>
      <c r="AY72" t="inlineStr">
        <is>
          <t>2026-01-21 05:30:00</t>
        </is>
      </c>
      <c r="AZ72" t="inlineStr">
        <is>
          <t>CITIN26608218588</t>
        </is>
      </c>
      <c r="BA72" t="n">
        <v>0</v>
      </c>
      <c r="BB72" t="inlineStr">
        <is>
          <t>57277e43a02d4d75da67b7b1cfef0b85e790633a9e81980ccb99b510f561326b</t>
        </is>
      </c>
    </row>
    <row r="73">
      <c r="A73" t="inlineStr">
        <is>
          <t>68</t>
        </is>
      </c>
      <c r="B73" t="inlineStr">
        <is>
          <t>7680325590</t>
        </is>
      </c>
      <c r="C73" t="inlineStr">
        <is>
          <t>2026-01-13 20:09:01</t>
        </is>
      </c>
      <c r="D73" t="inlineStr">
        <is>
          <t>3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219</v>
      </c>
      <c r="P73" t="n">
        <v>3.5</v>
      </c>
      <c r="Q73" t="n">
        <v>0</v>
      </c>
      <c r="R73" t="n">
        <v>65.7</v>
      </c>
      <c r="S73" t="n">
        <v>0</v>
      </c>
      <c r="T73" t="n">
        <v>0</v>
      </c>
      <c r="U73" t="n">
        <v>0</v>
      </c>
      <c r="V73" t="n">
        <v>7.84</v>
      </c>
      <c r="W73" t="n">
        <v>164.64</v>
      </c>
      <c r="X73" t="n">
        <v>156.8</v>
      </c>
      <c r="Y73" t="n">
        <v>19</v>
      </c>
      <c r="Z73" t="n">
        <v>29.79</v>
      </c>
      <c r="AA73" t="n">
        <v>3.03</v>
      </c>
      <c r="AB73" t="n">
        <v>32.82</v>
      </c>
      <c r="AC73" t="n">
        <v>5.91</v>
      </c>
      <c r="AD73" t="n">
        <v>0</v>
      </c>
      <c r="AE73" t="n">
        <v>156.8</v>
      </c>
      <c r="AF73" t="n">
        <v>0</v>
      </c>
      <c r="AG73" t="n">
        <v>0</v>
      </c>
      <c r="AH73" t="n">
        <v>0.16</v>
      </c>
      <c r="AI73" t="n">
        <v>7.85</v>
      </c>
      <c r="AJ73" t="n">
        <v>-0.01</v>
      </c>
      <c r="AK73" t="n">
        <v>13.92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46.74</v>
      </c>
      <c r="AV73" t="n">
        <v>0</v>
      </c>
      <c r="AW73" t="n">
        <v>117.9</v>
      </c>
      <c r="AX73" t="inlineStr">
        <is>
          <t>settled</t>
        </is>
      </c>
      <c r="AY73" t="inlineStr">
        <is>
          <t>2026-01-21 05:30:00</t>
        </is>
      </c>
      <c r="AZ73" t="inlineStr">
        <is>
          <t>CITIN26608218588</t>
        </is>
      </c>
      <c r="BA73" t="n">
        <v>0</v>
      </c>
      <c r="BB73" t="inlineStr">
        <is>
          <t>3b7d4ba33cb1826f775859ad774319941695a7fe685f7ca2b83c93982f2440c5</t>
        </is>
      </c>
    </row>
    <row r="74">
      <c r="A74" t="inlineStr">
        <is>
          <t>69</t>
        </is>
      </c>
      <c r="B74" t="inlineStr">
        <is>
          <t>7679619543</t>
        </is>
      </c>
      <c r="C74" t="inlineStr">
        <is>
          <t>2026-01-13 20:21:21</t>
        </is>
      </c>
      <c r="D74" t="inlineStr">
        <is>
          <t>3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667</v>
      </c>
      <c r="P74" t="n">
        <v>3.5</v>
      </c>
      <c r="Q74" t="n">
        <v>0</v>
      </c>
      <c r="R74" t="n">
        <v>75</v>
      </c>
      <c r="S74" t="n">
        <v>0</v>
      </c>
      <c r="T74" t="n">
        <v>0</v>
      </c>
      <c r="U74" t="n">
        <v>0</v>
      </c>
      <c r="V74" t="n">
        <v>29.78</v>
      </c>
      <c r="W74" t="n">
        <v>625.28</v>
      </c>
      <c r="X74" t="n">
        <v>595.5</v>
      </c>
      <c r="Y74" t="n">
        <v>19</v>
      </c>
      <c r="Z74" t="n">
        <v>113.14</v>
      </c>
      <c r="AA74" t="n">
        <v>11.51</v>
      </c>
      <c r="AB74" t="n">
        <v>124.65</v>
      </c>
      <c r="AC74" t="n">
        <v>22.44</v>
      </c>
      <c r="AD74" t="n">
        <v>0</v>
      </c>
      <c r="AE74" t="n">
        <v>595.5</v>
      </c>
      <c r="AF74" t="n">
        <v>0</v>
      </c>
      <c r="AG74" t="n">
        <v>0</v>
      </c>
      <c r="AH74" t="n">
        <v>0.6</v>
      </c>
      <c r="AI74" t="n">
        <v>29.78</v>
      </c>
      <c r="AJ74" t="n">
        <v>0</v>
      </c>
      <c r="AK74" t="n">
        <v>52.82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177.47</v>
      </c>
      <c r="AV74" t="n">
        <v>0</v>
      </c>
      <c r="AW74" t="n">
        <v>447.81</v>
      </c>
      <c r="AX74" t="inlineStr">
        <is>
          <t>settled</t>
        </is>
      </c>
      <c r="AY74" t="inlineStr">
        <is>
          <t>2026-01-21 05:30:00</t>
        </is>
      </c>
      <c r="AZ74" t="inlineStr">
        <is>
          <t>CITIN26608218588</t>
        </is>
      </c>
      <c r="BA74" t="n">
        <v>0</v>
      </c>
      <c r="BB74" t="inlineStr">
        <is>
          <t>39896295474399a1d84d1bb94e6d60bcbe896b569ad51c2a917ce08ed1b8ffd1</t>
        </is>
      </c>
    </row>
    <row r="75">
      <c r="A75" t="inlineStr">
        <is>
          <t>70</t>
        </is>
      </c>
      <c r="B75" t="inlineStr">
        <is>
          <t>7687284080</t>
        </is>
      </c>
      <c r="C75" t="inlineStr">
        <is>
          <t>2026-01-13 20:29:26</t>
        </is>
      </c>
      <c r="D75" t="inlineStr">
        <is>
          <t>3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NA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229</v>
      </c>
      <c r="P75" t="n">
        <v>3.5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11.63</v>
      </c>
      <c r="W75" t="n">
        <v>244.13</v>
      </c>
      <c r="X75" t="n">
        <v>232.5</v>
      </c>
      <c r="Y75" t="n">
        <v>19</v>
      </c>
      <c r="Z75" t="n">
        <v>44.18</v>
      </c>
      <c r="AA75" t="n">
        <v>4.49</v>
      </c>
      <c r="AB75" t="n">
        <v>48.67</v>
      </c>
      <c r="AC75" t="n">
        <v>8.76</v>
      </c>
      <c r="AD75" t="n">
        <v>0</v>
      </c>
      <c r="AE75" t="n">
        <v>232.5</v>
      </c>
      <c r="AF75" t="n">
        <v>0</v>
      </c>
      <c r="AG75" t="n">
        <v>0</v>
      </c>
      <c r="AH75" t="n">
        <v>0.23</v>
      </c>
      <c r="AI75" t="n">
        <v>11.63</v>
      </c>
      <c r="AJ75" t="n">
        <v>0</v>
      </c>
      <c r="AK75" t="n">
        <v>20.62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69.29000000000001</v>
      </c>
      <c r="AV75" t="n">
        <v>0</v>
      </c>
      <c r="AW75" t="n">
        <v>174.84</v>
      </c>
      <c r="AX75" t="inlineStr">
        <is>
          <t>settled</t>
        </is>
      </c>
      <c r="AY75" t="inlineStr">
        <is>
          <t>2026-01-21 05:30:00</t>
        </is>
      </c>
      <c r="AZ75" t="inlineStr">
        <is>
          <t>CITIN26608218588</t>
        </is>
      </c>
      <c r="BA75" t="n">
        <v>0</v>
      </c>
      <c r="BB75" t="inlineStr">
        <is>
          <t>55874c6e9c6f38f932f944c4f6afef121d41a00d5a445a991122b5dbdabf35b4</t>
        </is>
      </c>
    </row>
    <row r="76">
      <c r="A76" t="inlineStr">
        <is>
          <t>71</t>
        </is>
      </c>
      <c r="B76" t="inlineStr">
        <is>
          <t>7682091859</t>
        </is>
      </c>
      <c r="C76" t="inlineStr">
        <is>
          <t>2026-01-13 20:33:01</t>
        </is>
      </c>
      <c r="D76" t="inlineStr">
        <is>
          <t>3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229</v>
      </c>
      <c r="P76" t="n">
        <v>3.5</v>
      </c>
      <c r="Q76" t="n">
        <v>0</v>
      </c>
      <c r="R76" t="n">
        <v>68.7</v>
      </c>
      <c r="S76" t="n">
        <v>0</v>
      </c>
      <c r="T76" t="n">
        <v>0</v>
      </c>
      <c r="U76" t="n">
        <v>0</v>
      </c>
      <c r="V76" t="n">
        <v>8.19</v>
      </c>
      <c r="W76" t="n">
        <v>171.99</v>
      </c>
      <c r="X76" t="n">
        <v>163.8</v>
      </c>
      <c r="Y76" t="n">
        <v>19</v>
      </c>
      <c r="Z76" t="n">
        <v>31.12</v>
      </c>
      <c r="AA76" t="n">
        <v>3.16</v>
      </c>
      <c r="AB76" t="n">
        <v>34.28</v>
      </c>
      <c r="AC76" t="n">
        <v>6.17</v>
      </c>
      <c r="AD76" t="n">
        <v>0</v>
      </c>
      <c r="AE76" t="n">
        <v>163.8</v>
      </c>
      <c r="AF76" t="n">
        <v>0</v>
      </c>
      <c r="AG76" t="n">
        <v>0</v>
      </c>
      <c r="AH76" t="n">
        <v>0.16</v>
      </c>
      <c r="AI76" t="n">
        <v>8.199999999999999</v>
      </c>
      <c r="AJ76" t="n">
        <v>-0.01</v>
      </c>
      <c r="AK76" t="n">
        <v>14.53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48.81</v>
      </c>
      <c r="AV76" t="n">
        <v>0</v>
      </c>
      <c r="AW76" t="n">
        <v>123.18</v>
      </c>
      <c r="AX76" t="inlineStr">
        <is>
          <t>settled</t>
        </is>
      </c>
      <c r="AY76" t="inlineStr">
        <is>
          <t>2026-01-21 05:30:00</t>
        </is>
      </c>
      <c r="AZ76" t="inlineStr">
        <is>
          <t>CITIN26608218588</t>
        </is>
      </c>
      <c r="BA76" t="n">
        <v>0</v>
      </c>
      <c r="BB76" t="inlineStr">
        <is>
          <t>64d9ebc27e08d60bd9a04b1dcfb287f9ab2341a62ca519f55a351266606f9505</t>
        </is>
      </c>
    </row>
    <row r="77">
      <c r="A77" t="inlineStr">
        <is>
          <t>72</t>
        </is>
      </c>
      <c r="B77" t="inlineStr">
        <is>
          <t>7685502496</t>
        </is>
      </c>
      <c r="C77" t="inlineStr">
        <is>
          <t>2026-01-13 20:47:45</t>
        </is>
      </c>
      <c r="D77" t="inlineStr">
        <is>
          <t>3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30% off upto ₹75 (2025-06-25 - 2031-01-01)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345</v>
      </c>
      <c r="P77" t="n">
        <v>3.5</v>
      </c>
      <c r="Q77" t="n">
        <v>0</v>
      </c>
      <c r="R77" t="n">
        <v>75</v>
      </c>
      <c r="S77" t="n">
        <v>0</v>
      </c>
      <c r="T77" t="n">
        <v>0</v>
      </c>
      <c r="U77" t="n">
        <v>0</v>
      </c>
      <c r="V77" t="n">
        <v>13.68</v>
      </c>
      <c r="W77" t="n">
        <v>287.18</v>
      </c>
      <c r="X77" t="n">
        <v>273.5</v>
      </c>
      <c r="Y77" t="n">
        <v>19</v>
      </c>
      <c r="Z77" t="n">
        <v>51.96</v>
      </c>
      <c r="AA77" t="n">
        <v>5.28</v>
      </c>
      <c r="AB77" t="n">
        <v>57.24</v>
      </c>
      <c r="AC77" t="n">
        <v>10.3</v>
      </c>
      <c r="AD77" t="n">
        <v>0</v>
      </c>
      <c r="AE77" t="n">
        <v>273.5</v>
      </c>
      <c r="AF77" t="n">
        <v>0</v>
      </c>
      <c r="AG77" t="n">
        <v>0</v>
      </c>
      <c r="AH77" t="n">
        <v>0.27</v>
      </c>
      <c r="AI77" t="n">
        <v>13.68</v>
      </c>
      <c r="AJ77" t="n">
        <v>0</v>
      </c>
      <c r="AK77" t="n">
        <v>24.25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81.48999999999999</v>
      </c>
      <c r="AV77" t="n">
        <v>0</v>
      </c>
      <c r="AW77" t="n">
        <v>205.69</v>
      </c>
      <c r="AX77" t="inlineStr">
        <is>
          <t>settled</t>
        </is>
      </c>
      <c r="AY77" t="inlineStr">
        <is>
          <t>2026-01-21 05:30:00</t>
        </is>
      </c>
      <c r="AZ77" t="inlineStr">
        <is>
          <t>CITIN26608218588</t>
        </is>
      </c>
      <c r="BA77" t="n">
        <v>0</v>
      </c>
      <c r="BB77" t="inlineStr">
        <is>
          <t>97b4133bde4eb0767e9ce68171387ff49f31d258169b1f78ae8f5981ef069b25</t>
        </is>
      </c>
    </row>
    <row r="78">
      <c r="A78" t="inlineStr">
        <is>
          <t>73</t>
        </is>
      </c>
      <c r="B78" t="inlineStr">
        <is>
          <t>7685313393</t>
        </is>
      </c>
      <c r="C78" t="inlineStr">
        <is>
          <t>2026-01-13 20:50:08</t>
        </is>
      </c>
      <c r="D78" t="inlineStr">
        <is>
          <t>3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30% off upto ₹75 (2025-06-25 - 2031-01-01)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487</v>
      </c>
      <c r="P78" t="n">
        <v>3.5</v>
      </c>
      <c r="Q78" t="n">
        <v>0</v>
      </c>
      <c r="R78" t="n">
        <v>75</v>
      </c>
      <c r="S78" t="n">
        <v>0</v>
      </c>
      <c r="T78" t="n">
        <v>0</v>
      </c>
      <c r="U78" t="n">
        <v>0</v>
      </c>
      <c r="V78" t="n">
        <v>20.78</v>
      </c>
      <c r="W78" t="n">
        <v>436.28</v>
      </c>
      <c r="X78" t="n">
        <v>415.5</v>
      </c>
      <c r="Y78" t="n">
        <v>19</v>
      </c>
      <c r="Z78" t="n">
        <v>78.94</v>
      </c>
      <c r="AA78" t="n">
        <v>8.029999999999999</v>
      </c>
      <c r="AB78" t="n">
        <v>86.97</v>
      </c>
      <c r="AC78" t="n">
        <v>15.66</v>
      </c>
      <c r="AD78" t="n">
        <v>0</v>
      </c>
      <c r="AE78" t="n">
        <v>415.5</v>
      </c>
      <c r="AF78" t="n">
        <v>0</v>
      </c>
      <c r="AG78" t="n">
        <v>0</v>
      </c>
      <c r="AH78" t="n">
        <v>0.42</v>
      </c>
      <c r="AI78" t="n">
        <v>20.78</v>
      </c>
      <c r="AJ78" t="n">
        <v>0</v>
      </c>
      <c r="AK78" t="n">
        <v>36.86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123.83</v>
      </c>
      <c r="AV78" t="n">
        <v>0</v>
      </c>
      <c r="AW78" t="n">
        <v>312.45</v>
      </c>
      <c r="AX78" t="inlineStr">
        <is>
          <t>settled</t>
        </is>
      </c>
      <c r="AY78" t="inlineStr">
        <is>
          <t>2026-01-21 05:30:00</t>
        </is>
      </c>
      <c r="AZ78" t="inlineStr">
        <is>
          <t>CITIN26608218588</t>
        </is>
      </c>
      <c r="BA78" t="n">
        <v>0</v>
      </c>
      <c r="BB78" t="inlineStr">
        <is>
          <t>cc3a05a55538905a4c226b7e0899501cde14df187f2fe694c31cabb0f4be5a04</t>
        </is>
      </c>
    </row>
    <row r="79">
      <c r="A79" t="inlineStr">
        <is>
          <t>74</t>
        </is>
      </c>
      <c r="B79" t="inlineStr">
        <is>
          <t>7686334048</t>
        </is>
      </c>
      <c r="C79" t="inlineStr">
        <is>
          <t>2026-01-13 21:15:05</t>
        </is>
      </c>
      <c r="D79" t="inlineStr">
        <is>
          <t>3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438</v>
      </c>
      <c r="P79" t="n">
        <v>3.5</v>
      </c>
      <c r="Q79" t="n">
        <v>0</v>
      </c>
      <c r="R79" t="n">
        <v>75</v>
      </c>
      <c r="S79" t="n">
        <v>0</v>
      </c>
      <c r="T79" t="n">
        <v>0</v>
      </c>
      <c r="U79" t="n">
        <v>0</v>
      </c>
      <c r="V79" t="n">
        <v>18.33</v>
      </c>
      <c r="W79" t="n">
        <v>384.83</v>
      </c>
      <c r="X79" t="n">
        <v>366.5</v>
      </c>
      <c r="Y79" t="n">
        <v>19</v>
      </c>
      <c r="Z79" t="n">
        <v>69.64</v>
      </c>
      <c r="AA79" t="n">
        <v>7.08</v>
      </c>
      <c r="AB79" t="n">
        <v>76.72</v>
      </c>
      <c r="AC79" t="n">
        <v>13.81</v>
      </c>
      <c r="AD79" t="n">
        <v>0</v>
      </c>
      <c r="AE79" t="n">
        <v>366.5</v>
      </c>
      <c r="AF79" t="n">
        <v>0</v>
      </c>
      <c r="AG79" t="n">
        <v>0</v>
      </c>
      <c r="AH79" t="n">
        <v>0.37</v>
      </c>
      <c r="AI79" t="n">
        <v>18.33</v>
      </c>
      <c r="AJ79" t="n">
        <v>0</v>
      </c>
      <c r="AK79" t="n">
        <v>32.51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109.23</v>
      </c>
      <c r="AV79" t="n">
        <v>0</v>
      </c>
      <c r="AW79" t="n">
        <v>275.6</v>
      </c>
      <c r="AX79" t="inlineStr">
        <is>
          <t>settled</t>
        </is>
      </c>
      <c r="AY79" t="inlineStr">
        <is>
          <t>2026-01-21 05:30:00</t>
        </is>
      </c>
      <c r="AZ79" t="inlineStr">
        <is>
          <t>CITIN26608218588</t>
        </is>
      </c>
      <c r="BA79" t="n">
        <v>0</v>
      </c>
      <c r="BB79" t="inlineStr">
        <is>
          <t>adbf048b14525f6f682b809458e60ec37344febeb2dfe02f24d3f7fe50a4e3fc</t>
        </is>
      </c>
    </row>
    <row r="80">
      <c r="A80" t="inlineStr">
        <is>
          <t>75</t>
        </is>
      </c>
      <c r="B80" t="inlineStr">
        <is>
          <t>7675578371</t>
        </is>
      </c>
      <c r="C80" t="inlineStr">
        <is>
          <t>2026-01-13 21:56:12</t>
        </is>
      </c>
      <c r="D80" t="inlineStr">
        <is>
          <t>3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448</v>
      </c>
      <c r="P80" t="n">
        <v>3.5</v>
      </c>
      <c r="Q80" t="n">
        <v>0</v>
      </c>
      <c r="R80" t="n">
        <v>75</v>
      </c>
      <c r="S80" t="n">
        <v>0</v>
      </c>
      <c r="T80" t="n">
        <v>0</v>
      </c>
      <c r="U80" t="n">
        <v>0</v>
      </c>
      <c r="V80" t="n">
        <v>18.83</v>
      </c>
      <c r="W80" t="n">
        <v>395.33</v>
      </c>
      <c r="X80" t="n">
        <v>376.5</v>
      </c>
      <c r="Y80" t="n">
        <v>19</v>
      </c>
      <c r="Z80" t="n">
        <v>71.54000000000001</v>
      </c>
      <c r="AA80" t="n">
        <v>7.27</v>
      </c>
      <c r="AB80" t="n">
        <v>78.81</v>
      </c>
      <c r="AC80" t="n">
        <v>14.19</v>
      </c>
      <c r="AD80" t="n">
        <v>0</v>
      </c>
      <c r="AE80" t="n">
        <v>376.5</v>
      </c>
      <c r="AF80" t="n">
        <v>0</v>
      </c>
      <c r="AG80" t="n">
        <v>0</v>
      </c>
      <c r="AH80" t="n">
        <v>0.38</v>
      </c>
      <c r="AI80" t="n">
        <v>18.83</v>
      </c>
      <c r="AJ80" t="n">
        <v>0</v>
      </c>
      <c r="AK80" t="n">
        <v>33.4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112.21</v>
      </c>
      <c r="AV80" t="n">
        <v>0</v>
      </c>
      <c r="AW80" t="n">
        <v>283.12</v>
      </c>
      <c r="AX80" t="inlineStr">
        <is>
          <t>settled</t>
        </is>
      </c>
      <c r="AY80" t="inlineStr">
        <is>
          <t>2026-01-21 05:30:00</t>
        </is>
      </c>
      <c r="AZ80" t="inlineStr">
        <is>
          <t>CITIN26608218588</t>
        </is>
      </c>
      <c r="BA80" t="n">
        <v>0</v>
      </c>
      <c r="BB80" t="inlineStr">
        <is>
          <t>9659a9f7ddc062a6bb10f34fb7b30995615e501772d09685d88d6a539b4a6f23</t>
        </is>
      </c>
    </row>
    <row r="81">
      <c r="A81" t="inlineStr">
        <is>
          <t>76</t>
        </is>
      </c>
      <c r="B81" t="inlineStr">
        <is>
          <t>7687097980</t>
        </is>
      </c>
      <c r="C81" t="inlineStr">
        <is>
          <t>2026-01-13 22:07:28</t>
        </is>
      </c>
      <c r="D81" t="inlineStr">
        <is>
          <t>3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30% off upto ₹75 (2025-06-25 - 2031-01-01)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219</v>
      </c>
      <c r="P81" t="n">
        <v>3.5</v>
      </c>
      <c r="Q81" t="n">
        <v>0</v>
      </c>
      <c r="R81" t="n">
        <v>65.7</v>
      </c>
      <c r="S81" t="n">
        <v>0</v>
      </c>
      <c r="T81" t="n">
        <v>0</v>
      </c>
      <c r="U81" t="n">
        <v>0</v>
      </c>
      <c r="V81" t="n">
        <v>7.84</v>
      </c>
      <c r="W81" t="n">
        <v>164.64</v>
      </c>
      <c r="X81" t="n">
        <v>156.8</v>
      </c>
      <c r="Y81" t="n">
        <v>19</v>
      </c>
      <c r="Z81" t="n">
        <v>29.79</v>
      </c>
      <c r="AA81" t="n">
        <v>3.03</v>
      </c>
      <c r="AB81" t="n">
        <v>32.82</v>
      </c>
      <c r="AC81" t="n">
        <v>5.91</v>
      </c>
      <c r="AD81" t="n">
        <v>0</v>
      </c>
      <c r="AE81" t="n">
        <v>156.8</v>
      </c>
      <c r="AF81" t="n">
        <v>0</v>
      </c>
      <c r="AG81" t="n">
        <v>0</v>
      </c>
      <c r="AH81" t="n">
        <v>0.16</v>
      </c>
      <c r="AI81" t="n">
        <v>7.85</v>
      </c>
      <c r="AJ81" t="n">
        <v>-0.01</v>
      </c>
      <c r="AK81" t="n">
        <v>13.92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46.74</v>
      </c>
      <c r="AV81" t="n">
        <v>0</v>
      </c>
      <c r="AW81" t="n">
        <v>117.9</v>
      </c>
      <c r="AX81" t="inlineStr">
        <is>
          <t>settled</t>
        </is>
      </c>
      <c r="AY81" t="inlineStr">
        <is>
          <t>2026-01-21 05:30:00</t>
        </is>
      </c>
      <c r="AZ81" t="inlineStr">
        <is>
          <t>CITIN26608218588</t>
        </is>
      </c>
      <c r="BA81" t="n">
        <v>0</v>
      </c>
      <c r="BB81" t="inlineStr">
        <is>
          <t>e0b5e0d0a239c96ab26de223cc45591f0f1a432e21244fc947a143beef13b367</t>
        </is>
      </c>
    </row>
    <row r="82">
      <c r="A82" t="inlineStr">
        <is>
          <t>77</t>
        </is>
      </c>
      <c r="B82" t="inlineStr">
        <is>
          <t>7678703937</t>
        </is>
      </c>
      <c r="C82" t="inlineStr">
        <is>
          <t>2026-01-13 22:46:09</t>
        </is>
      </c>
      <c r="D82" t="inlineStr">
        <is>
          <t>3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NA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219</v>
      </c>
      <c r="P82" t="n">
        <v>3.5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11.13</v>
      </c>
      <c r="W82" t="n">
        <v>233.63</v>
      </c>
      <c r="X82" t="n">
        <v>222.5</v>
      </c>
      <c r="Y82" t="n">
        <v>19</v>
      </c>
      <c r="Z82" t="n">
        <v>42.28</v>
      </c>
      <c r="AA82" t="n">
        <v>4.3</v>
      </c>
      <c r="AB82" t="n">
        <v>46.58</v>
      </c>
      <c r="AC82" t="n">
        <v>8.380000000000001</v>
      </c>
      <c r="AD82" t="n">
        <v>0</v>
      </c>
      <c r="AE82" t="n">
        <v>222.5</v>
      </c>
      <c r="AF82" t="n">
        <v>0</v>
      </c>
      <c r="AG82" t="n">
        <v>0</v>
      </c>
      <c r="AH82" t="n">
        <v>0.22</v>
      </c>
      <c r="AI82" t="n">
        <v>11.13</v>
      </c>
      <c r="AJ82" t="n">
        <v>0</v>
      </c>
      <c r="AK82" t="n">
        <v>19.73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66.31</v>
      </c>
      <c r="AV82" t="n">
        <v>0</v>
      </c>
      <c r="AW82" t="n">
        <v>167.32</v>
      </c>
      <c r="AX82" t="inlineStr">
        <is>
          <t>settled</t>
        </is>
      </c>
      <c r="AY82" t="inlineStr">
        <is>
          <t>2026-01-21 05:30:00</t>
        </is>
      </c>
      <c r="AZ82" t="inlineStr">
        <is>
          <t>CITIN26608218588</t>
        </is>
      </c>
      <c r="BA82" t="n">
        <v>0</v>
      </c>
      <c r="BB82" t="inlineStr">
        <is>
          <t>a0eba5002ac8562f25ee853d640598e086366a0cee35aec35ce228f006b65851</t>
        </is>
      </c>
    </row>
    <row r="83">
      <c r="A83" t="inlineStr">
        <is>
          <t>78</t>
        </is>
      </c>
      <c r="B83" t="inlineStr">
        <is>
          <t>7688898105</t>
        </is>
      </c>
      <c r="C83" t="inlineStr">
        <is>
          <t>2026-01-13 22:49:05</t>
        </is>
      </c>
      <c r="D83" t="inlineStr">
        <is>
          <t>3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1388</v>
      </c>
      <c r="P83" t="n">
        <v>3.5</v>
      </c>
      <c r="Q83" t="n">
        <v>0</v>
      </c>
      <c r="R83" t="n">
        <v>75</v>
      </c>
      <c r="S83" t="n">
        <v>0</v>
      </c>
      <c r="T83" t="n">
        <v>0</v>
      </c>
      <c r="U83" t="n">
        <v>0</v>
      </c>
      <c r="V83" t="n">
        <v>65.83</v>
      </c>
      <c r="W83" t="n">
        <v>1382.33</v>
      </c>
      <c r="X83" t="n">
        <v>1316.5</v>
      </c>
      <c r="Y83" t="n">
        <v>19</v>
      </c>
      <c r="Z83" t="n">
        <v>250.14</v>
      </c>
      <c r="AA83" t="n">
        <v>25.43</v>
      </c>
      <c r="AB83" t="n">
        <v>275.57</v>
      </c>
      <c r="AC83" t="n">
        <v>49.61</v>
      </c>
      <c r="AD83" t="n">
        <v>0</v>
      </c>
      <c r="AE83" t="n">
        <v>1316.5</v>
      </c>
      <c r="AF83" t="n">
        <v>0</v>
      </c>
      <c r="AG83" t="n">
        <v>0</v>
      </c>
      <c r="AH83" t="n">
        <v>1.32</v>
      </c>
      <c r="AI83" t="n">
        <v>65.83</v>
      </c>
      <c r="AJ83" t="n">
        <v>0</v>
      </c>
      <c r="AK83" t="n">
        <v>116.76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392.33</v>
      </c>
      <c r="AV83" t="n">
        <v>0</v>
      </c>
      <c r="AW83" t="n">
        <v>990</v>
      </c>
      <c r="AX83" t="inlineStr">
        <is>
          <t>settled</t>
        </is>
      </c>
      <c r="AY83" t="inlineStr">
        <is>
          <t>2026-01-21 05:30:00</t>
        </is>
      </c>
      <c r="AZ83" t="inlineStr">
        <is>
          <t>CITIN26608218588</t>
        </is>
      </c>
      <c r="BA83" t="n">
        <v>0</v>
      </c>
      <c r="BB83" t="inlineStr">
        <is>
          <t>fe4913e34c8eff3b3a7e2aed9b00e2d1129ed32658ade026c390db8e60b0bef8</t>
        </is>
      </c>
    </row>
    <row r="84">
      <c r="A84" t="inlineStr">
        <is>
          <t>79</t>
        </is>
      </c>
      <c r="B84" t="inlineStr">
        <is>
          <t>7688213110</t>
        </is>
      </c>
      <c r="C84" t="inlineStr">
        <is>
          <t>2026-01-13 23:29:26</t>
        </is>
      </c>
      <c r="D84" t="inlineStr">
        <is>
          <t>3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NA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11.63</v>
      </c>
      <c r="W84" t="n">
        <v>244.13</v>
      </c>
      <c r="X84" t="n">
        <v>232.5</v>
      </c>
      <c r="Y84" t="n">
        <v>19</v>
      </c>
      <c r="Z84" t="n">
        <v>44.18</v>
      </c>
      <c r="AA84" t="n">
        <v>4.49</v>
      </c>
      <c r="AB84" t="n">
        <v>48.67</v>
      </c>
      <c r="AC84" t="n">
        <v>8.76</v>
      </c>
      <c r="AD84" t="n">
        <v>0</v>
      </c>
      <c r="AE84" t="n">
        <v>232.5</v>
      </c>
      <c r="AF84" t="n">
        <v>0</v>
      </c>
      <c r="AG84" t="n">
        <v>0</v>
      </c>
      <c r="AH84" t="n">
        <v>0.23</v>
      </c>
      <c r="AI84" t="n">
        <v>11.63</v>
      </c>
      <c r="AJ84" t="n">
        <v>0</v>
      </c>
      <c r="AK84" t="n">
        <v>20.62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69.29000000000001</v>
      </c>
      <c r="AV84" t="n">
        <v>0</v>
      </c>
      <c r="AW84" t="n">
        <v>174.84</v>
      </c>
      <c r="AX84" t="inlineStr">
        <is>
          <t>settled</t>
        </is>
      </c>
      <c r="AY84" t="inlineStr">
        <is>
          <t>2026-01-21 05:30:00</t>
        </is>
      </c>
      <c r="AZ84" t="inlineStr">
        <is>
          <t>CITIN26608218588</t>
        </is>
      </c>
      <c r="BA84" t="n">
        <v>0</v>
      </c>
      <c r="BB84" t="inlineStr">
        <is>
          <t>019510b195e5619c98690c0fba51eb86eb62737b2dd98ae26275f8cf2db7f669</t>
        </is>
      </c>
    </row>
    <row r="85">
      <c r="A85" t="inlineStr">
        <is>
          <t>80</t>
        </is>
      </c>
      <c r="B85" t="inlineStr">
        <is>
          <t>7679224940</t>
        </is>
      </c>
      <c r="C85" t="inlineStr">
        <is>
          <t>2026-01-13 23:50:13</t>
        </is>
      </c>
      <c r="D85" t="inlineStr">
        <is>
          <t>3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NA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458</v>
      </c>
      <c r="P85" t="n">
        <v>3.5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23.08</v>
      </c>
      <c r="W85" t="n">
        <v>484.58</v>
      </c>
      <c r="X85" t="n">
        <v>461.5</v>
      </c>
      <c r="Y85" t="n">
        <v>19</v>
      </c>
      <c r="Z85" t="n">
        <v>87.68000000000001</v>
      </c>
      <c r="AA85" t="n">
        <v>8.92</v>
      </c>
      <c r="AB85" t="n">
        <v>96.59999999999999</v>
      </c>
      <c r="AC85" t="n">
        <v>17.39</v>
      </c>
      <c r="AD85" t="n">
        <v>0</v>
      </c>
      <c r="AE85" t="n">
        <v>461.5</v>
      </c>
      <c r="AF85" t="n">
        <v>0</v>
      </c>
      <c r="AG85" t="n">
        <v>0</v>
      </c>
      <c r="AH85" t="n">
        <v>0.46</v>
      </c>
      <c r="AI85" t="n">
        <v>23.08</v>
      </c>
      <c r="AJ85" t="n">
        <v>0</v>
      </c>
      <c r="AK85" t="n">
        <v>40.93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137.53</v>
      </c>
      <c r="AV85" t="n">
        <v>0</v>
      </c>
      <c r="AW85" t="n">
        <v>347.05</v>
      </c>
      <c r="AX85" t="inlineStr">
        <is>
          <t>settled</t>
        </is>
      </c>
      <c r="AY85" t="inlineStr">
        <is>
          <t>2026-01-21 05:30:00</t>
        </is>
      </c>
      <c r="AZ85" t="inlineStr">
        <is>
          <t>CITIN26608218588</t>
        </is>
      </c>
      <c r="BA85" t="n">
        <v>0</v>
      </c>
      <c r="BB85" t="inlineStr">
        <is>
          <t>ac959b86336b04b06bbbb58e74886ff52a964329cfc7eafa2e6b99e2490579d1</t>
        </is>
      </c>
    </row>
    <row r="86">
      <c r="A86" t="inlineStr">
        <is>
          <t>81</t>
        </is>
      </c>
      <c r="B86" t="inlineStr">
        <is>
          <t>7686620481</t>
        </is>
      </c>
      <c r="C86" t="inlineStr">
        <is>
          <t>2026-01-14 00:19:19</t>
        </is>
      </c>
      <c r="D86" t="inlineStr">
        <is>
          <t>3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229</v>
      </c>
      <c r="P86" t="n">
        <v>3.5</v>
      </c>
      <c r="Q86" t="n">
        <v>0</v>
      </c>
      <c r="R86" t="n">
        <v>68.7</v>
      </c>
      <c r="S86" t="n">
        <v>0</v>
      </c>
      <c r="T86" t="n">
        <v>0</v>
      </c>
      <c r="U86" t="n">
        <v>0</v>
      </c>
      <c r="V86" t="n">
        <v>8.19</v>
      </c>
      <c r="W86" t="n">
        <v>171.99</v>
      </c>
      <c r="X86" t="n">
        <v>163.8</v>
      </c>
      <c r="Y86" t="n">
        <v>19</v>
      </c>
      <c r="Z86" t="n">
        <v>31.12</v>
      </c>
      <c r="AA86" t="n">
        <v>3.16</v>
      </c>
      <c r="AB86" t="n">
        <v>34.28</v>
      </c>
      <c r="AC86" t="n">
        <v>6.17</v>
      </c>
      <c r="AD86" t="n">
        <v>0</v>
      </c>
      <c r="AE86" t="n">
        <v>163.8</v>
      </c>
      <c r="AF86" t="n">
        <v>0</v>
      </c>
      <c r="AG86" t="n">
        <v>0</v>
      </c>
      <c r="AH86" t="n">
        <v>0.16</v>
      </c>
      <c r="AI86" t="n">
        <v>8.199999999999999</v>
      </c>
      <c r="AJ86" t="n">
        <v>-0.01</v>
      </c>
      <c r="AK86" t="n">
        <v>14.53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48.81</v>
      </c>
      <c r="AV86" t="n">
        <v>0</v>
      </c>
      <c r="AW86" t="n">
        <v>123.18</v>
      </c>
      <c r="AX86" t="inlineStr">
        <is>
          <t>settled</t>
        </is>
      </c>
      <c r="AY86" t="inlineStr">
        <is>
          <t>2026-01-21 05:30:00</t>
        </is>
      </c>
      <c r="AZ86" t="inlineStr">
        <is>
          <t>CITIN26608218588</t>
        </is>
      </c>
      <c r="BA86" t="n">
        <v>0</v>
      </c>
      <c r="BB86" t="inlineStr">
        <is>
          <t>0f1826b6d3cb4885c573bde9e0528ffcd0dade25c163021204ea56cc6c0cc44a</t>
        </is>
      </c>
    </row>
    <row r="87">
      <c r="A87" t="inlineStr">
        <is>
          <t>82</t>
        </is>
      </c>
      <c r="B87" t="inlineStr">
        <is>
          <t>7673885159</t>
        </is>
      </c>
      <c r="C87" t="inlineStr">
        <is>
          <t>2026-01-14 00:37:52</t>
        </is>
      </c>
      <c r="D87" t="inlineStr">
        <is>
          <t>3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30% off upto ₹75 (2025-06-25 - 2031-01-01)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229</v>
      </c>
      <c r="P87" t="n">
        <v>3.5</v>
      </c>
      <c r="Q87" t="n">
        <v>0</v>
      </c>
      <c r="R87" t="n">
        <v>68.7</v>
      </c>
      <c r="S87" t="n">
        <v>0</v>
      </c>
      <c r="T87" t="n">
        <v>0</v>
      </c>
      <c r="U87" t="n">
        <v>0</v>
      </c>
      <c r="V87" t="n">
        <v>8.19</v>
      </c>
      <c r="W87" t="n">
        <v>171.99</v>
      </c>
      <c r="X87" t="n">
        <v>163.8</v>
      </c>
      <c r="Y87" t="n">
        <v>19</v>
      </c>
      <c r="Z87" t="n">
        <v>31.12</v>
      </c>
      <c r="AA87" t="n">
        <v>3.16</v>
      </c>
      <c r="AB87" t="n">
        <v>34.28</v>
      </c>
      <c r="AC87" t="n">
        <v>6.17</v>
      </c>
      <c r="AD87" t="n">
        <v>0</v>
      </c>
      <c r="AE87" t="n">
        <v>163.8</v>
      </c>
      <c r="AF87" t="n">
        <v>0</v>
      </c>
      <c r="AG87" t="n">
        <v>0</v>
      </c>
      <c r="AH87" t="n">
        <v>0.16</v>
      </c>
      <c r="AI87" t="n">
        <v>8.199999999999999</v>
      </c>
      <c r="AJ87" t="n">
        <v>-0.01</v>
      </c>
      <c r="AK87" t="n">
        <v>14.53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48.81</v>
      </c>
      <c r="AV87" t="n">
        <v>0</v>
      </c>
      <c r="AW87" t="n">
        <v>123.18</v>
      </c>
      <c r="AX87" t="inlineStr">
        <is>
          <t>settled</t>
        </is>
      </c>
      <c r="AY87" t="inlineStr">
        <is>
          <t>2026-01-21 05:30:00</t>
        </is>
      </c>
      <c r="AZ87" t="inlineStr">
        <is>
          <t>CITIN26608218588</t>
        </is>
      </c>
      <c r="BA87" t="n">
        <v>0</v>
      </c>
      <c r="BB87" t="inlineStr">
        <is>
          <t>03ea9b4838d10fa1f3e3d7e131bf29a1ee586339664320c66754f96adebbeb33</t>
        </is>
      </c>
    </row>
    <row r="88">
      <c r="A88" t="inlineStr">
        <is>
          <t>83</t>
        </is>
      </c>
      <c r="B88" t="inlineStr">
        <is>
          <t>7688522233</t>
        </is>
      </c>
      <c r="C88" t="inlineStr">
        <is>
          <t>2026-01-14 00:42:00</t>
        </is>
      </c>
      <c r="D88" t="inlineStr">
        <is>
          <t>3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219</v>
      </c>
      <c r="P88" t="n">
        <v>3.5</v>
      </c>
      <c r="Q88" t="n">
        <v>0</v>
      </c>
      <c r="R88" t="n">
        <v>65.7</v>
      </c>
      <c r="S88" t="n">
        <v>0</v>
      </c>
      <c r="T88" t="n">
        <v>0</v>
      </c>
      <c r="U88" t="n">
        <v>0</v>
      </c>
      <c r="V88" t="n">
        <v>7.84</v>
      </c>
      <c r="W88" t="n">
        <v>164.64</v>
      </c>
      <c r="X88" t="n">
        <v>156.8</v>
      </c>
      <c r="Y88" t="n">
        <v>19</v>
      </c>
      <c r="Z88" t="n">
        <v>29.79</v>
      </c>
      <c r="AA88" t="n">
        <v>3.03</v>
      </c>
      <c r="AB88" t="n">
        <v>32.82</v>
      </c>
      <c r="AC88" t="n">
        <v>5.91</v>
      </c>
      <c r="AD88" t="n">
        <v>0</v>
      </c>
      <c r="AE88" t="n">
        <v>156.8</v>
      </c>
      <c r="AF88" t="n">
        <v>0</v>
      </c>
      <c r="AG88" t="n">
        <v>0</v>
      </c>
      <c r="AH88" t="n">
        <v>0.16</v>
      </c>
      <c r="AI88" t="n">
        <v>7.85</v>
      </c>
      <c r="AJ88" t="n">
        <v>-0.01</v>
      </c>
      <c r="AK88" t="n">
        <v>13.92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46.74</v>
      </c>
      <c r="AV88" t="n">
        <v>0</v>
      </c>
      <c r="AW88" t="n">
        <v>117.9</v>
      </c>
      <c r="AX88" t="inlineStr">
        <is>
          <t>settled</t>
        </is>
      </c>
      <c r="AY88" t="inlineStr">
        <is>
          <t>2026-01-21 05:30:00</t>
        </is>
      </c>
      <c r="AZ88" t="inlineStr">
        <is>
          <t>CITIN26608218588</t>
        </is>
      </c>
      <c r="BA88" t="n">
        <v>0</v>
      </c>
      <c r="BB88" t="inlineStr">
        <is>
          <t>bb113667b054b07d5c52a76d68866f7f4ed2d7aa4049e2cd7d9e06edaf0fb332</t>
        </is>
      </c>
    </row>
    <row r="89">
      <c r="A89" t="inlineStr">
        <is>
          <t>84</t>
        </is>
      </c>
      <c r="B89" t="inlineStr">
        <is>
          <t>7687826453</t>
        </is>
      </c>
      <c r="C89" t="inlineStr">
        <is>
          <t>2026-01-14 00:43:54</t>
        </is>
      </c>
      <c r="D89" t="inlineStr">
        <is>
          <t>3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229</v>
      </c>
      <c r="P89" t="n">
        <v>3.5</v>
      </c>
      <c r="Q89" t="n">
        <v>0</v>
      </c>
      <c r="R89" t="n">
        <v>68.7</v>
      </c>
      <c r="S89" t="n">
        <v>0</v>
      </c>
      <c r="T89" t="n">
        <v>0</v>
      </c>
      <c r="U89" t="n">
        <v>0</v>
      </c>
      <c r="V89" t="n">
        <v>8.19</v>
      </c>
      <c r="W89" t="n">
        <v>171.99</v>
      </c>
      <c r="X89" t="n">
        <v>163.8</v>
      </c>
      <c r="Y89" t="n">
        <v>19</v>
      </c>
      <c r="Z89" t="n">
        <v>31.12</v>
      </c>
      <c r="AA89" t="n">
        <v>3.16</v>
      </c>
      <c r="AB89" t="n">
        <v>34.28</v>
      </c>
      <c r="AC89" t="n">
        <v>6.17</v>
      </c>
      <c r="AD89" t="n">
        <v>0</v>
      </c>
      <c r="AE89" t="n">
        <v>163.8</v>
      </c>
      <c r="AF89" t="n">
        <v>0</v>
      </c>
      <c r="AG89" t="n">
        <v>0</v>
      </c>
      <c r="AH89" t="n">
        <v>0.16</v>
      </c>
      <c r="AI89" t="n">
        <v>8.199999999999999</v>
      </c>
      <c r="AJ89" t="n">
        <v>-0.01</v>
      </c>
      <c r="AK89" t="n">
        <v>14.53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48.81</v>
      </c>
      <c r="AV89" t="n">
        <v>0</v>
      </c>
      <c r="AW89" t="n">
        <v>123.18</v>
      </c>
      <c r="AX89" t="inlineStr">
        <is>
          <t>settled</t>
        </is>
      </c>
      <c r="AY89" t="inlineStr">
        <is>
          <t>2026-01-21 05:30:00</t>
        </is>
      </c>
      <c r="AZ89" t="inlineStr">
        <is>
          <t>CITIN26608218588</t>
        </is>
      </c>
      <c r="BA89" t="n">
        <v>0</v>
      </c>
      <c r="BB89" t="inlineStr">
        <is>
          <t>915e2fed51fe5a8a4935c6d3b40dda32912e71d25bc7f4d1b54638fdca39c69c</t>
        </is>
      </c>
    </row>
    <row r="90">
      <c r="A90" t="inlineStr">
        <is>
          <t>85</t>
        </is>
      </c>
      <c r="B90" t="inlineStr">
        <is>
          <t>7674892930</t>
        </is>
      </c>
      <c r="C90" t="inlineStr">
        <is>
          <t>2026-01-14 00:44:59</t>
        </is>
      </c>
      <c r="D90" t="inlineStr">
        <is>
          <t>3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219</v>
      </c>
      <c r="P90" t="n">
        <v>3.5</v>
      </c>
      <c r="Q90" t="n">
        <v>0</v>
      </c>
      <c r="R90" t="n">
        <v>65.7</v>
      </c>
      <c r="S90" t="n">
        <v>0</v>
      </c>
      <c r="T90" t="n">
        <v>0</v>
      </c>
      <c r="U90" t="n">
        <v>0</v>
      </c>
      <c r="V90" t="n">
        <v>7.84</v>
      </c>
      <c r="W90" t="n">
        <v>164.64</v>
      </c>
      <c r="X90" t="n">
        <v>156.8</v>
      </c>
      <c r="Y90" t="n">
        <v>19</v>
      </c>
      <c r="Z90" t="n">
        <v>29.79</v>
      </c>
      <c r="AA90" t="n">
        <v>3.03</v>
      </c>
      <c r="AB90" t="n">
        <v>32.82</v>
      </c>
      <c r="AC90" t="n">
        <v>5.91</v>
      </c>
      <c r="AD90" t="n">
        <v>0</v>
      </c>
      <c r="AE90" t="n">
        <v>156.8</v>
      </c>
      <c r="AF90" t="n">
        <v>0</v>
      </c>
      <c r="AG90" t="n">
        <v>0</v>
      </c>
      <c r="AH90" t="n">
        <v>0.16</v>
      </c>
      <c r="AI90" t="n">
        <v>7.85</v>
      </c>
      <c r="AJ90" t="n">
        <v>-0.01</v>
      </c>
      <c r="AK90" t="n">
        <v>13.92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46.74</v>
      </c>
      <c r="AV90" t="n">
        <v>0</v>
      </c>
      <c r="AW90" t="n">
        <v>117.9</v>
      </c>
      <c r="AX90" t="inlineStr">
        <is>
          <t>settled</t>
        </is>
      </c>
      <c r="AY90" t="inlineStr">
        <is>
          <t>2026-01-21 05:30:00</t>
        </is>
      </c>
      <c r="AZ90" t="inlineStr">
        <is>
          <t>CITIN26608218588</t>
        </is>
      </c>
      <c r="BA90" t="n">
        <v>0</v>
      </c>
      <c r="BB90" t="inlineStr">
        <is>
          <t>2c7fcb80d3dd20c98df2a4e97a28559e48ede56e57944f2f7c15ba8f3f8540a3</t>
        </is>
      </c>
    </row>
    <row r="91">
      <c r="A91" t="inlineStr">
        <is>
          <t>86</t>
        </is>
      </c>
      <c r="B91" t="inlineStr">
        <is>
          <t>7679966712</t>
        </is>
      </c>
      <c r="C91" t="inlineStr">
        <is>
          <t>2026-01-14 01:03:40</t>
        </is>
      </c>
      <c r="D91" t="inlineStr">
        <is>
          <t>3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458</v>
      </c>
      <c r="P91" t="n">
        <v>3.5</v>
      </c>
      <c r="Q91" t="n">
        <v>0</v>
      </c>
      <c r="R91" t="n">
        <v>75</v>
      </c>
      <c r="S91" t="n">
        <v>0</v>
      </c>
      <c r="T91" t="n">
        <v>0</v>
      </c>
      <c r="U91" t="n">
        <v>0</v>
      </c>
      <c r="V91" t="n">
        <v>19.33</v>
      </c>
      <c r="W91" t="n">
        <v>405.83</v>
      </c>
      <c r="X91" t="n">
        <v>386.5</v>
      </c>
      <c r="Y91" t="n">
        <v>19</v>
      </c>
      <c r="Z91" t="n">
        <v>73.44</v>
      </c>
      <c r="AA91" t="n">
        <v>7.47</v>
      </c>
      <c r="AB91" t="n">
        <v>80.91</v>
      </c>
      <c r="AC91" t="n">
        <v>14.56</v>
      </c>
      <c r="AD91" t="n">
        <v>0</v>
      </c>
      <c r="AE91" t="n">
        <v>386.5</v>
      </c>
      <c r="AF91" t="n">
        <v>0</v>
      </c>
      <c r="AG91" t="n">
        <v>0</v>
      </c>
      <c r="AH91" t="n">
        <v>0.39</v>
      </c>
      <c r="AI91" t="n">
        <v>19.33</v>
      </c>
      <c r="AJ91" t="n">
        <v>0</v>
      </c>
      <c r="AK91" t="n">
        <v>34.28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115.19</v>
      </c>
      <c r="AV91" t="n">
        <v>0</v>
      </c>
      <c r="AW91" t="n">
        <v>290.64</v>
      </c>
      <c r="AX91" t="inlineStr">
        <is>
          <t>settled</t>
        </is>
      </c>
      <c r="AY91" t="inlineStr">
        <is>
          <t>2026-01-21 05:30:00</t>
        </is>
      </c>
      <c r="AZ91" t="inlineStr">
        <is>
          <t>CITIN26608218588</t>
        </is>
      </c>
      <c r="BA91" t="n">
        <v>0</v>
      </c>
      <c r="BB91" t="inlineStr">
        <is>
          <t>0dd325f6d951394c2305ea479d7a23fe05f27bb80eb4eba35e036f75d6bf8fab</t>
        </is>
      </c>
    </row>
    <row r="92">
      <c r="A92" t="inlineStr">
        <is>
          <t>87</t>
        </is>
      </c>
      <c r="B92" t="inlineStr">
        <is>
          <t>7681210260</t>
        </is>
      </c>
      <c r="C92" t="inlineStr">
        <is>
          <t>2026-01-14 01:16:52</t>
        </is>
      </c>
      <c r="D92" t="inlineStr">
        <is>
          <t>3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229</v>
      </c>
      <c r="P92" t="n">
        <v>3.5</v>
      </c>
      <c r="Q92" t="n">
        <v>0</v>
      </c>
      <c r="R92" t="n">
        <v>68.7</v>
      </c>
      <c r="S92" t="n">
        <v>0</v>
      </c>
      <c r="T92" t="n">
        <v>0</v>
      </c>
      <c r="U92" t="n">
        <v>0</v>
      </c>
      <c r="V92" t="n">
        <v>8.19</v>
      </c>
      <c r="W92" t="n">
        <v>171.99</v>
      </c>
      <c r="X92" t="n">
        <v>163.8</v>
      </c>
      <c r="Y92" t="n">
        <v>19</v>
      </c>
      <c r="Z92" t="n">
        <v>31.12</v>
      </c>
      <c r="AA92" t="n">
        <v>3.16</v>
      </c>
      <c r="AB92" t="n">
        <v>34.28</v>
      </c>
      <c r="AC92" t="n">
        <v>6.17</v>
      </c>
      <c r="AD92" t="n">
        <v>0</v>
      </c>
      <c r="AE92" t="n">
        <v>163.8</v>
      </c>
      <c r="AF92" t="n">
        <v>0</v>
      </c>
      <c r="AG92" t="n">
        <v>0</v>
      </c>
      <c r="AH92" t="n">
        <v>0.16</v>
      </c>
      <c r="AI92" t="n">
        <v>8.199999999999999</v>
      </c>
      <c r="AJ92" t="n">
        <v>-0.01</v>
      </c>
      <c r="AK92" t="n">
        <v>14.53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48.81</v>
      </c>
      <c r="AV92" t="n">
        <v>0</v>
      </c>
      <c r="AW92" t="n">
        <v>123.18</v>
      </c>
      <c r="AX92" t="inlineStr">
        <is>
          <t>settled</t>
        </is>
      </c>
      <c r="AY92" t="inlineStr">
        <is>
          <t>2026-01-21 05:30:00</t>
        </is>
      </c>
      <c r="AZ92" t="inlineStr">
        <is>
          <t>CITIN26608218588</t>
        </is>
      </c>
      <c r="BA92" t="n">
        <v>0</v>
      </c>
      <c r="BB92" t="inlineStr">
        <is>
          <t>25033885b98f20b002c05151e9689e78a96e1bb197877c5f3e7dfcafc34ab234</t>
        </is>
      </c>
    </row>
    <row r="93">
      <c r="A93" t="inlineStr">
        <is>
          <t>88</t>
        </is>
      </c>
      <c r="B93" t="inlineStr">
        <is>
          <t>7688137524</t>
        </is>
      </c>
      <c r="C93" t="inlineStr">
        <is>
          <t>2026-01-14 01:35:32</t>
        </is>
      </c>
      <c r="D93" t="inlineStr">
        <is>
          <t>3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239</v>
      </c>
      <c r="P93" t="n">
        <v>3.5</v>
      </c>
      <c r="Q93" t="n">
        <v>0</v>
      </c>
      <c r="R93" t="n">
        <v>71.7</v>
      </c>
      <c r="S93" t="n">
        <v>0</v>
      </c>
      <c r="T93" t="n">
        <v>0</v>
      </c>
      <c r="U93" t="n">
        <v>0</v>
      </c>
      <c r="V93" t="n">
        <v>8.539999999999999</v>
      </c>
      <c r="W93" t="n">
        <v>179.34</v>
      </c>
      <c r="X93" t="n">
        <v>170.8</v>
      </c>
      <c r="Y93" t="n">
        <v>19</v>
      </c>
      <c r="Z93" t="n">
        <v>32.45</v>
      </c>
      <c r="AA93" t="n">
        <v>3.3</v>
      </c>
      <c r="AB93" t="n">
        <v>35.75</v>
      </c>
      <c r="AC93" t="n">
        <v>6.43</v>
      </c>
      <c r="AD93" t="n">
        <v>0</v>
      </c>
      <c r="AE93" t="n">
        <v>170.8</v>
      </c>
      <c r="AF93" t="n">
        <v>0</v>
      </c>
      <c r="AG93" t="n">
        <v>0</v>
      </c>
      <c r="AH93" t="n">
        <v>0.17</v>
      </c>
      <c r="AI93" t="n">
        <v>8.550000000000001</v>
      </c>
      <c r="AJ93" t="n">
        <v>-0.01</v>
      </c>
      <c r="AK93" t="n">
        <v>15.15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50.9</v>
      </c>
      <c r="AV93" t="n">
        <v>0</v>
      </c>
      <c r="AW93" t="n">
        <v>128.44</v>
      </c>
      <c r="AX93" t="inlineStr">
        <is>
          <t>settled</t>
        </is>
      </c>
      <c r="AY93" t="inlineStr">
        <is>
          <t>2026-01-21 05:30:00</t>
        </is>
      </c>
      <c r="AZ93" t="inlineStr">
        <is>
          <t>CITIN26608218588</t>
        </is>
      </c>
      <c r="BA93" t="n">
        <v>0</v>
      </c>
      <c r="BB93" t="inlineStr">
        <is>
          <t>9b89e7f9544531a296a565838f24f9a44e818da13caf4e07414ff2cce44ff115</t>
        </is>
      </c>
    </row>
    <row r="94">
      <c r="A94" t="inlineStr">
        <is>
          <t>89</t>
        </is>
      </c>
      <c r="B94" t="inlineStr">
        <is>
          <t>7678491197</t>
        </is>
      </c>
      <c r="C94" t="inlineStr">
        <is>
          <t>2026-01-14 01:36:39</t>
        </is>
      </c>
      <c r="D94" t="inlineStr">
        <is>
          <t>3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219</v>
      </c>
      <c r="P94" t="n">
        <v>3.5</v>
      </c>
      <c r="Q94" t="n">
        <v>0</v>
      </c>
      <c r="R94" t="n">
        <v>65.7</v>
      </c>
      <c r="S94" t="n">
        <v>0</v>
      </c>
      <c r="T94" t="n">
        <v>0</v>
      </c>
      <c r="U94" t="n">
        <v>0</v>
      </c>
      <c r="V94" t="n">
        <v>7.84</v>
      </c>
      <c r="W94" t="n">
        <v>164.64</v>
      </c>
      <c r="X94" t="n">
        <v>156.8</v>
      </c>
      <c r="Y94" t="n">
        <v>19</v>
      </c>
      <c r="Z94" t="n">
        <v>29.79</v>
      </c>
      <c r="AA94" t="n">
        <v>3.03</v>
      </c>
      <c r="AB94" t="n">
        <v>32.82</v>
      </c>
      <c r="AC94" t="n">
        <v>5.91</v>
      </c>
      <c r="AD94" t="n">
        <v>0</v>
      </c>
      <c r="AE94" t="n">
        <v>156.8</v>
      </c>
      <c r="AF94" t="n">
        <v>0</v>
      </c>
      <c r="AG94" t="n">
        <v>0</v>
      </c>
      <c r="AH94" t="n">
        <v>0.16</v>
      </c>
      <c r="AI94" t="n">
        <v>7.85</v>
      </c>
      <c r="AJ94" t="n">
        <v>-0.01</v>
      </c>
      <c r="AK94" t="n">
        <v>13.92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46.74</v>
      </c>
      <c r="AV94" t="n">
        <v>0</v>
      </c>
      <c r="AW94" t="n">
        <v>117.9</v>
      </c>
      <c r="AX94" t="inlineStr">
        <is>
          <t>settled</t>
        </is>
      </c>
      <c r="AY94" t="inlineStr">
        <is>
          <t>2026-01-21 05:30:00</t>
        </is>
      </c>
      <c r="AZ94" t="inlineStr">
        <is>
          <t>CITIN26608218588</t>
        </is>
      </c>
      <c r="BA94" t="n">
        <v>0</v>
      </c>
      <c r="BB94" t="inlineStr">
        <is>
          <t>55bef2348df855faccb3698fc5d1e0a6837cb7d0782497e4bbf6302251058da1</t>
        </is>
      </c>
    </row>
    <row r="95">
      <c r="A95" t="inlineStr">
        <is>
          <t>90</t>
        </is>
      </c>
      <c r="B95" t="inlineStr">
        <is>
          <t>7686640274</t>
        </is>
      </c>
      <c r="C95" t="inlineStr">
        <is>
          <t>2026-01-14 01:41:23</t>
        </is>
      </c>
      <c r="D95" t="inlineStr">
        <is>
          <t>3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584</v>
      </c>
      <c r="P95" t="n">
        <v>3.5</v>
      </c>
      <c r="Q95" t="n">
        <v>0</v>
      </c>
      <c r="R95" t="n">
        <v>75</v>
      </c>
      <c r="S95" t="n">
        <v>0</v>
      </c>
      <c r="T95" t="n">
        <v>0</v>
      </c>
      <c r="U95" t="n">
        <v>0</v>
      </c>
      <c r="V95" t="n">
        <v>25.63</v>
      </c>
      <c r="W95" t="n">
        <v>538.13</v>
      </c>
      <c r="X95" t="n">
        <v>512.5</v>
      </c>
      <c r="Y95" t="n">
        <v>19</v>
      </c>
      <c r="Z95" t="n">
        <v>97.38</v>
      </c>
      <c r="AA95" t="n">
        <v>9.9</v>
      </c>
      <c r="AB95" t="n">
        <v>107.28</v>
      </c>
      <c r="AC95" t="n">
        <v>19.31</v>
      </c>
      <c r="AD95" t="n">
        <v>0</v>
      </c>
      <c r="AE95" t="n">
        <v>512.5</v>
      </c>
      <c r="AF95" t="n">
        <v>0</v>
      </c>
      <c r="AG95" t="n">
        <v>0</v>
      </c>
      <c r="AH95" t="n">
        <v>0.51</v>
      </c>
      <c r="AI95" t="n">
        <v>25.63</v>
      </c>
      <c r="AJ95" t="n">
        <v>0</v>
      </c>
      <c r="AK95" t="n">
        <v>45.45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152.73</v>
      </c>
      <c r="AV95" t="n">
        <v>0</v>
      </c>
      <c r="AW95" t="n">
        <v>385.4</v>
      </c>
      <c r="AX95" t="inlineStr">
        <is>
          <t>settled</t>
        </is>
      </c>
      <c r="AY95" t="inlineStr">
        <is>
          <t>2026-01-21 05:30:00</t>
        </is>
      </c>
      <c r="AZ95" t="inlineStr">
        <is>
          <t>CITIN26608218588</t>
        </is>
      </c>
      <c r="BA95" t="n">
        <v>0</v>
      </c>
      <c r="BB95" t="inlineStr">
        <is>
          <t>d6813a81200776d40d61edfb3af98da23a8d941c4df72991d555bdd0057036d7</t>
        </is>
      </c>
    </row>
    <row r="96">
      <c r="A96" t="inlineStr">
        <is>
          <t>91</t>
        </is>
      </c>
      <c r="B96" t="inlineStr">
        <is>
          <t>7685735123</t>
        </is>
      </c>
      <c r="C96" t="inlineStr">
        <is>
          <t>2026-01-14 01:44:08</t>
        </is>
      </c>
      <c r="D96" t="inlineStr">
        <is>
          <t>3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229</v>
      </c>
      <c r="P96" t="n">
        <v>3.5</v>
      </c>
      <c r="Q96" t="n">
        <v>0</v>
      </c>
      <c r="R96" t="n">
        <v>68.7</v>
      </c>
      <c r="S96" t="n">
        <v>0</v>
      </c>
      <c r="T96" t="n">
        <v>0</v>
      </c>
      <c r="U96" t="n">
        <v>0</v>
      </c>
      <c r="V96" t="n">
        <v>8.19</v>
      </c>
      <c r="W96" t="n">
        <v>171.99</v>
      </c>
      <c r="X96" t="n">
        <v>163.8</v>
      </c>
      <c r="Y96" t="n">
        <v>19</v>
      </c>
      <c r="Z96" t="n">
        <v>31.12</v>
      </c>
      <c r="AA96" t="n">
        <v>3.16</v>
      </c>
      <c r="AB96" t="n">
        <v>34.28</v>
      </c>
      <c r="AC96" t="n">
        <v>6.17</v>
      </c>
      <c r="AD96" t="n">
        <v>0</v>
      </c>
      <c r="AE96" t="n">
        <v>163.8</v>
      </c>
      <c r="AF96" t="n">
        <v>0</v>
      </c>
      <c r="AG96" t="n">
        <v>0</v>
      </c>
      <c r="AH96" t="n">
        <v>0.16</v>
      </c>
      <c r="AI96" t="n">
        <v>8.199999999999999</v>
      </c>
      <c r="AJ96" t="n">
        <v>-0.01</v>
      </c>
      <c r="AK96" t="n">
        <v>14.53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48.81</v>
      </c>
      <c r="AV96" t="n">
        <v>0</v>
      </c>
      <c r="AW96" t="n">
        <v>123.18</v>
      </c>
      <c r="AX96" t="inlineStr">
        <is>
          <t>settled</t>
        </is>
      </c>
      <c r="AY96" t="inlineStr">
        <is>
          <t>2026-01-21 05:30:00</t>
        </is>
      </c>
      <c r="AZ96" t="inlineStr">
        <is>
          <t>CITIN26608218588</t>
        </is>
      </c>
      <c r="BA96" t="n">
        <v>0</v>
      </c>
      <c r="BB96" t="inlineStr">
        <is>
          <t>f0b02367c25482bfc644564b7807f65ddf9fab1d1436b2c78f15fae20f42b318</t>
        </is>
      </c>
    </row>
    <row r="97">
      <c r="A97" t="inlineStr">
        <is>
          <t>92</t>
        </is>
      </c>
      <c r="B97" t="inlineStr">
        <is>
          <t>7688315257</t>
        </is>
      </c>
      <c r="C97" t="inlineStr">
        <is>
          <t>2026-01-14 01:44:50</t>
        </is>
      </c>
      <c r="D97" t="inlineStr">
        <is>
          <t>3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229</v>
      </c>
      <c r="P97" t="n">
        <v>3.5</v>
      </c>
      <c r="Q97" t="n">
        <v>0</v>
      </c>
      <c r="R97" t="n">
        <v>68.7</v>
      </c>
      <c r="S97" t="n">
        <v>0</v>
      </c>
      <c r="T97" t="n">
        <v>0</v>
      </c>
      <c r="U97" t="n">
        <v>0</v>
      </c>
      <c r="V97" t="n">
        <v>8.19</v>
      </c>
      <c r="W97" t="n">
        <v>171.99</v>
      </c>
      <c r="X97" t="n">
        <v>163.8</v>
      </c>
      <c r="Y97" t="n">
        <v>19</v>
      </c>
      <c r="Z97" t="n">
        <v>31.12</v>
      </c>
      <c r="AA97" t="n">
        <v>3.16</v>
      </c>
      <c r="AB97" t="n">
        <v>34.28</v>
      </c>
      <c r="AC97" t="n">
        <v>6.17</v>
      </c>
      <c r="AD97" t="n">
        <v>0</v>
      </c>
      <c r="AE97" t="n">
        <v>163.8</v>
      </c>
      <c r="AF97" t="n">
        <v>0</v>
      </c>
      <c r="AG97" t="n">
        <v>0</v>
      </c>
      <c r="AH97" t="n">
        <v>0.16</v>
      </c>
      <c r="AI97" t="n">
        <v>8.199999999999999</v>
      </c>
      <c r="AJ97" t="n">
        <v>-0.01</v>
      </c>
      <c r="AK97" t="n">
        <v>14.53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48.81</v>
      </c>
      <c r="AV97" t="n">
        <v>0</v>
      </c>
      <c r="AW97" t="n">
        <v>123.18</v>
      </c>
      <c r="AX97" t="inlineStr">
        <is>
          <t>settled</t>
        </is>
      </c>
      <c r="AY97" t="inlineStr">
        <is>
          <t>2026-01-21 05:30:00</t>
        </is>
      </c>
      <c r="AZ97" t="inlineStr">
        <is>
          <t>CITIN26608218588</t>
        </is>
      </c>
      <c r="BA97" t="n">
        <v>0</v>
      </c>
      <c r="BB97" t="inlineStr">
        <is>
          <t>218632630ad9fc43ae206c2932d5bf7ccd42ed4de1d3e430540e219cc9b72fc3</t>
        </is>
      </c>
    </row>
    <row r="98">
      <c r="A98" t="inlineStr">
        <is>
          <t>93</t>
        </is>
      </c>
      <c r="B98" t="inlineStr">
        <is>
          <t>7688684970</t>
        </is>
      </c>
      <c r="C98" t="inlineStr">
        <is>
          <t>2026-01-14 01:46:16</t>
        </is>
      </c>
      <c r="D98" t="inlineStr">
        <is>
          <t>3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268</v>
      </c>
      <c r="P98" t="n">
        <v>3.5</v>
      </c>
      <c r="Q98" t="n">
        <v>0</v>
      </c>
      <c r="R98" t="n">
        <v>75</v>
      </c>
      <c r="S98" t="n">
        <v>0</v>
      </c>
      <c r="T98" t="n">
        <v>0</v>
      </c>
      <c r="U98" t="n">
        <v>0</v>
      </c>
      <c r="V98" t="n">
        <v>9.83</v>
      </c>
      <c r="W98" t="n">
        <v>206.33</v>
      </c>
      <c r="X98" t="n">
        <v>196.5</v>
      </c>
      <c r="Y98" t="n">
        <v>19</v>
      </c>
      <c r="Z98" t="n">
        <v>37.34</v>
      </c>
      <c r="AA98" t="n">
        <v>3.8</v>
      </c>
      <c r="AB98" t="n">
        <v>41.14</v>
      </c>
      <c r="AC98" t="n">
        <v>7.4</v>
      </c>
      <c r="AD98" t="n">
        <v>0</v>
      </c>
      <c r="AE98" t="n">
        <v>196.5</v>
      </c>
      <c r="AF98" t="n">
        <v>0</v>
      </c>
      <c r="AG98" t="n">
        <v>0</v>
      </c>
      <c r="AH98" t="n">
        <v>0.2</v>
      </c>
      <c r="AI98" t="n">
        <v>9.83</v>
      </c>
      <c r="AJ98" t="n">
        <v>0</v>
      </c>
      <c r="AK98" t="n">
        <v>17.43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58.57</v>
      </c>
      <c r="AV98" t="n">
        <v>0</v>
      </c>
      <c r="AW98" t="n">
        <v>147.76</v>
      </c>
      <c r="AX98" t="inlineStr">
        <is>
          <t>settled</t>
        </is>
      </c>
      <c r="AY98" t="inlineStr">
        <is>
          <t>2026-01-21 05:30:00</t>
        </is>
      </c>
      <c r="AZ98" t="inlineStr">
        <is>
          <t>CITIN26608218588</t>
        </is>
      </c>
      <c r="BA98" t="n">
        <v>0</v>
      </c>
      <c r="BB98" t="inlineStr">
        <is>
          <t>7ba522e091a0fa2caa44eda6861779dac159965eb4010f7c2b9294308c7d8ace</t>
        </is>
      </c>
    </row>
    <row r="99">
      <c r="A99" t="inlineStr">
        <is>
          <t>94</t>
        </is>
      </c>
      <c r="B99" t="inlineStr">
        <is>
          <t>7688624863</t>
        </is>
      </c>
      <c r="C99" t="inlineStr">
        <is>
          <t>2026-01-14 01:49:34</t>
        </is>
      </c>
      <c r="D99" t="inlineStr">
        <is>
          <t>3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458</v>
      </c>
      <c r="P99" t="n">
        <v>3.5</v>
      </c>
      <c r="Q99" t="n">
        <v>0</v>
      </c>
      <c r="R99" t="n">
        <v>75</v>
      </c>
      <c r="S99" t="n">
        <v>0</v>
      </c>
      <c r="T99" t="n">
        <v>0</v>
      </c>
      <c r="U99" t="n">
        <v>0</v>
      </c>
      <c r="V99" t="n">
        <v>19.33</v>
      </c>
      <c r="W99" t="n">
        <v>405.83</v>
      </c>
      <c r="X99" t="n">
        <v>386.5</v>
      </c>
      <c r="Y99" t="n">
        <v>19</v>
      </c>
      <c r="Z99" t="n">
        <v>73.44</v>
      </c>
      <c r="AA99" t="n">
        <v>7.47</v>
      </c>
      <c r="AB99" t="n">
        <v>80.91</v>
      </c>
      <c r="AC99" t="n">
        <v>14.56</v>
      </c>
      <c r="AD99" t="n">
        <v>0</v>
      </c>
      <c r="AE99" t="n">
        <v>386.5</v>
      </c>
      <c r="AF99" t="n">
        <v>0</v>
      </c>
      <c r="AG99" t="n">
        <v>0</v>
      </c>
      <c r="AH99" t="n">
        <v>0.39</v>
      </c>
      <c r="AI99" t="n">
        <v>19.33</v>
      </c>
      <c r="AJ99" t="n">
        <v>0</v>
      </c>
      <c r="AK99" t="n">
        <v>34.28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115.19</v>
      </c>
      <c r="AV99" t="n">
        <v>0</v>
      </c>
      <c r="AW99" t="n">
        <v>290.64</v>
      </c>
      <c r="AX99" t="inlineStr">
        <is>
          <t>settled</t>
        </is>
      </c>
      <c r="AY99" t="inlineStr">
        <is>
          <t>2026-01-21 05:30:00</t>
        </is>
      </c>
      <c r="AZ99" t="inlineStr">
        <is>
          <t>CITIN26608218588</t>
        </is>
      </c>
      <c r="BA99" t="n">
        <v>0</v>
      </c>
      <c r="BB99" t="inlineStr">
        <is>
          <t>cd2de4039358999983875c7d671ae285779c3b52dd22df1a2f782ea44b2cced2</t>
        </is>
      </c>
    </row>
    <row r="100">
      <c r="A100" t="inlineStr">
        <is>
          <t>95</t>
        </is>
      </c>
      <c r="B100" t="inlineStr">
        <is>
          <t>7685354852</t>
        </is>
      </c>
      <c r="C100" t="inlineStr">
        <is>
          <t>2026-01-14 01:52:52</t>
        </is>
      </c>
      <c r="D100" t="inlineStr">
        <is>
          <t>3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30% off upto ₹75 (2025-06-25 - 2031-01-01)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355</v>
      </c>
      <c r="P100" t="n">
        <v>3.5</v>
      </c>
      <c r="Q100" t="n">
        <v>0</v>
      </c>
      <c r="R100" t="n">
        <v>75</v>
      </c>
      <c r="S100" t="n">
        <v>0</v>
      </c>
      <c r="T100" t="n">
        <v>0</v>
      </c>
      <c r="U100" t="n">
        <v>0</v>
      </c>
      <c r="V100" t="n">
        <v>14.18</v>
      </c>
      <c r="W100" t="n">
        <v>297.68</v>
      </c>
      <c r="X100" t="n">
        <v>283.5</v>
      </c>
      <c r="Y100" t="n">
        <v>19</v>
      </c>
      <c r="Z100" t="n">
        <v>53.86</v>
      </c>
      <c r="AA100" t="n">
        <v>5.48</v>
      </c>
      <c r="AB100" t="n">
        <v>59.34</v>
      </c>
      <c r="AC100" t="n">
        <v>10.68</v>
      </c>
      <c r="AD100" t="n">
        <v>0</v>
      </c>
      <c r="AE100" t="n">
        <v>283.5</v>
      </c>
      <c r="AF100" t="n">
        <v>0</v>
      </c>
      <c r="AG100" t="n">
        <v>0</v>
      </c>
      <c r="AH100" t="n">
        <v>0.28</v>
      </c>
      <c r="AI100" t="n">
        <v>14.18</v>
      </c>
      <c r="AJ100" t="n">
        <v>0</v>
      </c>
      <c r="AK100" t="n">
        <v>25.14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84.48</v>
      </c>
      <c r="AV100" t="n">
        <v>0</v>
      </c>
      <c r="AW100" t="n">
        <v>213.2</v>
      </c>
      <c r="AX100" t="inlineStr">
        <is>
          <t>settled</t>
        </is>
      </c>
      <c r="AY100" t="inlineStr">
        <is>
          <t>2026-01-21 05:30:00</t>
        </is>
      </c>
      <c r="AZ100" t="inlineStr">
        <is>
          <t>CITIN26608218588</t>
        </is>
      </c>
      <c r="BA100" t="n">
        <v>0</v>
      </c>
      <c r="BB100" t="inlineStr">
        <is>
          <t>f40ea713480f2f27ca5ad044e706a70f4b9773465a94e9662beb17ea12833b03</t>
        </is>
      </c>
    </row>
    <row r="101">
      <c r="A101" t="inlineStr">
        <is>
          <t>96</t>
        </is>
      </c>
      <c r="B101" t="inlineStr">
        <is>
          <t>7687694053</t>
        </is>
      </c>
      <c r="C101" t="inlineStr">
        <is>
          <t>2026-01-14 02:02:06</t>
        </is>
      </c>
      <c r="D101" t="inlineStr">
        <is>
          <t>3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229</v>
      </c>
      <c r="P101" t="n">
        <v>3.5</v>
      </c>
      <c r="Q101" t="n">
        <v>0</v>
      </c>
      <c r="R101" t="n">
        <v>68.7</v>
      </c>
      <c r="S101" t="n">
        <v>0</v>
      </c>
      <c r="T101" t="n">
        <v>0</v>
      </c>
      <c r="U101" t="n">
        <v>0</v>
      </c>
      <c r="V101" t="n">
        <v>8.19</v>
      </c>
      <c r="W101" t="n">
        <v>171.99</v>
      </c>
      <c r="X101" t="n">
        <v>163.8</v>
      </c>
      <c r="Y101" t="n">
        <v>19</v>
      </c>
      <c r="Z101" t="n">
        <v>31.12</v>
      </c>
      <c r="AA101" t="n">
        <v>3.16</v>
      </c>
      <c r="AB101" t="n">
        <v>34.28</v>
      </c>
      <c r="AC101" t="n">
        <v>6.17</v>
      </c>
      <c r="AD101" t="n">
        <v>0</v>
      </c>
      <c r="AE101" t="n">
        <v>163.8</v>
      </c>
      <c r="AF101" t="n">
        <v>0</v>
      </c>
      <c r="AG101" t="n">
        <v>0</v>
      </c>
      <c r="AH101" t="n">
        <v>0.16</v>
      </c>
      <c r="AI101" t="n">
        <v>8.199999999999999</v>
      </c>
      <c r="AJ101" t="n">
        <v>-0.01</v>
      </c>
      <c r="AK101" t="n">
        <v>14.53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48.81</v>
      </c>
      <c r="AV101" t="n">
        <v>0</v>
      </c>
      <c r="AW101" t="n">
        <v>123.18</v>
      </c>
      <c r="AX101" t="inlineStr">
        <is>
          <t>settled</t>
        </is>
      </c>
      <c r="AY101" t="inlineStr">
        <is>
          <t>2026-01-21 05:30:00</t>
        </is>
      </c>
      <c r="AZ101" t="inlineStr">
        <is>
          <t>CITIN26608218588</t>
        </is>
      </c>
      <c r="BA101" t="n">
        <v>0</v>
      </c>
      <c r="BB101" t="inlineStr">
        <is>
          <t>1b469fd05a95d6d265f57a5409340345544d2a6c7e4d5d5e358152fbdefdf33b</t>
        </is>
      </c>
    </row>
    <row r="102">
      <c r="A102" t="inlineStr">
        <is>
          <t>97</t>
        </is>
      </c>
      <c r="B102" t="inlineStr">
        <is>
          <t>7688415067</t>
        </is>
      </c>
      <c r="C102" t="inlineStr">
        <is>
          <t>2026-01-14 02:03:27</t>
        </is>
      </c>
      <c r="D102" t="inlineStr">
        <is>
          <t>3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677</v>
      </c>
      <c r="P102" t="n">
        <v>3.5</v>
      </c>
      <c r="Q102" t="n">
        <v>0</v>
      </c>
      <c r="R102" t="n">
        <v>75</v>
      </c>
      <c r="S102" t="n">
        <v>0</v>
      </c>
      <c r="T102" t="n">
        <v>0</v>
      </c>
      <c r="U102" t="n">
        <v>0</v>
      </c>
      <c r="V102" t="n">
        <v>30.28</v>
      </c>
      <c r="W102" t="n">
        <v>635.78</v>
      </c>
      <c r="X102" t="n">
        <v>605.5</v>
      </c>
      <c r="Y102" t="n">
        <v>19</v>
      </c>
      <c r="Z102" t="n">
        <v>115.04</v>
      </c>
      <c r="AA102" t="n">
        <v>11.7</v>
      </c>
      <c r="AB102" t="n">
        <v>126.74</v>
      </c>
      <c r="AC102" t="n">
        <v>22.82</v>
      </c>
      <c r="AD102" t="n">
        <v>0</v>
      </c>
      <c r="AE102" t="n">
        <v>605.5</v>
      </c>
      <c r="AF102" t="n">
        <v>0</v>
      </c>
      <c r="AG102" t="n">
        <v>0</v>
      </c>
      <c r="AH102" t="n">
        <v>0.61</v>
      </c>
      <c r="AI102" t="n">
        <v>30.28</v>
      </c>
      <c r="AJ102" t="n">
        <v>0</v>
      </c>
      <c r="AK102" t="n">
        <v>53.71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180.45</v>
      </c>
      <c r="AV102" t="n">
        <v>0</v>
      </c>
      <c r="AW102" t="n">
        <v>455.33</v>
      </c>
      <c r="AX102" t="inlineStr">
        <is>
          <t>settled</t>
        </is>
      </c>
      <c r="AY102" t="inlineStr">
        <is>
          <t>2026-01-21 05:30:00</t>
        </is>
      </c>
      <c r="AZ102" t="inlineStr">
        <is>
          <t>CITIN26608218588</t>
        </is>
      </c>
      <c r="BA102" t="n">
        <v>0</v>
      </c>
      <c r="BB102" t="inlineStr">
        <is>
          <t>c5ac0a26a09dfa602bca854d7b184ef4cd3d343a35637a208c5c3077e9de6807</t>
        </is>
      </c>
    </row>
    <row r="103">
      <c r="A103" t="inlineStr">
        <is>
          <t>98</t>
        </is>
      </c>
      <c r="B103" t="inlineStr">
        <is>
          <t>7671991040</t>
        </is>
      </c>
      <c r="C103" t="inlineStr">
        <is>
          <t>2026-01-14 02:06:21</t>
        </is>
      </c>
      <c r="D103" t="inlineStr">
        <is>
          <t>3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219</v>
      </c>
      <c r="P103" t="n">
        <v>3.5</v>
      </c>
      <c r="Q103" t="n">
        <v>0</v>
      </c>
      <c r="R103" t="n">
        <v>65.7</v>
      </c>
      <c r="S103" t="n">
        <v>0</v>
      </c>
      <c r="T103" t="n">
        <v>0</v>
      </c>
      <c r="U103" t="n">
        <v>0</v>
      </c>
      <c r="V103" t="n">
        <v>7.84</v>
      </c>
      <c r="W103" t="n">
        <v>164.64</v>
      </c>
      <c r="X103" t="n">
        <v>156.8</v>
      </c>
      <c r="Y103" t="n">
        <v>19</v>
      </c>
      <c r="Z103" t="n">
        <v>29.79</v>
      </c>
      <c r="AA103" t="n">
        <v>3.03</v>
      </c>
      <c r="AB103" t="n">
        <v>32.82</v>
      </c>
      <c r="AC103" t="n">
        <v>5.91</v>
      </c>
      <c r="AD103" t="n">
        <v>0</v>
      </c>
      <c r="AE103" t="n">
        <v>156.8</v>
      </c>
      <c r="AF103" t="n">
        <v>0</v>
      </c>
      <c r="AG103" t="n">
        <v>0</v>
      </c>
      <c r="AH103" t="n">
        <v>0.16</v>
      </c>
      <c r="AI103" t="n">
        <v>7.85</v>
      </c>
      <c r="AJ103" t="n">
        <v>-0.01</v>
      </c>
      <c r="AK103" t="n">
        <v>13.92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46.74</v>
      </c>
      <c r="AV103" t="n">
        <v>0</v>
      </c>
      <c r="AW103" t="n">
        <v>117.9</v>
      </c>
      <c r="AX103" t="inlineStr">
        <is>
          <t>settled</t>
        </is>
      </c>
      <c r="AY103" t="inlineStr">
        <is>
          <t>2026-01-21 05:30:00</t>
        </is>
      </c>
      <c r="AZ103" t="inlineStr">
        <is>
          <t>CITIN26608218588</t>
        </is>
      </c>
      <c r="BA103" t="n">
        <v>0</v>
      </c>
      <c r="BB103" t="inlineStr">
        <is>
          <t>9209e4beca9782bd8c0521822ae48ebd50d3a7e54f929733a47e0a03dd583a2f</t>
        </is>
      </c>
    </row>
    <row r="104">
      <c r="A104" t="inlineStr">
        <is>
          <t>99</t>
        </is>
      </c>
      <c r="B104" t="inlineStr">
        <is>
          <t>7673869144</t>
        </is>
      </c>
      <c r="C104" t="inlineStr">
        <is>
          <t>2026-01-14 02:21:05</t>
        </is>
      </c>
      <c r="D104" t="inlineStr">
        <is>
          <t>3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229</v>
      </c>
      <c r="P104" t="n">
        <v>3.5</v>
      </c>
      <c r="Q104" t="n">
        <v>0</v>
      </c>
      <c r="R104" t="n">
        <v>68.7</v>
      </c>
      <c r="S104" t="n">
        <v>0</v>
      </c>
      <c r="T104" t="n">
        <v>0</v>
      </c>
      <c r="U104" t="n">
        <v>0</v>
      </c>
      <c r="V104" t="n">
        <v>8.19</v>
      </c>
      <c r="W104" t="n">
        <v>171.99</v>
      </c>
      <c r="X104" t="n">
        <v>163.8</v>
      </c>
      <c r="Y104" t="n">
        <v>19</v>
      </c>
      <c r="Z104" t="n">
        <v>31.12</v>
      </c>
      <c r="AA104" t="n">
        <v>3.16</v>
      </c>
      <c r="AB104" t="n">
        <v>34.28</v>
      </c>
      <c r="AC104" t="n">
        <v>6.17</v>
      </c>
      <c r="AD104" t="n">
        <v>0</v>
      </c>
      <c r="AE104" t="n">
        <v>163.8</v>
      </c>
      <c r="AF104" t="n">
        <v>0</v>
      </c>
      <c r="AG104" t="n">
        <v>0</v>
      </c>
      <c r="AH104" t="n">
        <v>0.16</v>
      </c>
      <c r="AI104" t="n">
        <v>8.199999999999999</v>
      </c>
      <c r="AJ104" t="n">
        <v>-0.01</v>
      </c>
      <c r="AK104" t="n">
        <v>14.53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48.81</v>
      </c>
      <c r="AV104" t="n">
        <v>0</v>
      </c>
      <c r="AW104" t="n">
        <v>123.18</v>
      </c>
      <c r="AX104" t="inlineStr">
        <is>
          <t>settled</t>
        </is>
      </c>
      <c r="AY104" t="inlineStr">
        <is>
          <t>2026-01-21 05:30:00</t>
        </is>
      </c>
      <c r="AZ104" t="inlineStr">
        <is>
          <t>CITIN26608218588</t>
        </is>
      </c>
      <c r="BA104" t="n">
        <v>0</v>
      </c>
      <c r="BB104" t="inlineStr">
        <is>
          <t>e9f1308dc3b8d9f4e4edcdaec0039815027b6fe1ef9bd40e58c848ee1ee2e5e7</t>
        </is>
      </c>
    </row>
    <row r="105">
      <c r="A105" t="inlineStr">
        <is>
          <t>100</t>
        </is>
      </c>
      <c r="B105" t="inlineStr">
        <is>
          <t>7682870691</t>
        </is>
      </c>
      <c r="C105" t="inlineStr">
        <is>
          <t>2026-01-14 02:24:11</t>
        </is>
      </c>
      <c r="D105" t="inlineStr">
        <is>
          <t>3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NA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1145</v>
      </c>
      <c r="P105" t="n">
        <v>3.5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57.43</v>
      </c>
      <c r="W105" t="n">
        <v>1205.93</v>
      </c>
      <c r="X105" t="n">
        <v>1148.5</v>
      </c>
      <c r="Y105" t="n">
        <v>19</v>
      </c>
      <c r="Z105" t="n">
        <v>218.22</v>
      </c>
      <c r="AA105" t="n">
        <v>22.19</v>
      </c>
      <c r="AB105" t="n">
        <v>240.41</v>
      </c>
      <c r="AC105" t="n">
        <v>43.27</v>
      </c>
      <c r="AD105" t="n">
        <v>0</v>
      </c>
      <c r="AE105" t="n">
        <v>1148.5</v>
      </c>
      <c r="AF105" t="n">
        <v>0</v>
      </c>
      <c r="AG105" t="n">
        <v>0</v>
      </c>
      <c r="AH105" t="n">
        <v>1.15</v>
      </c>
      <c r="AI105" t="n">
        <v>57.43</v>
      </c>
      <c r="AJ105" t="n">
        <v>0</v>
      </c>
      <c r="AK105" t="n">
        <v>101.85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342.26</v>
      </c>
      <c r="AV105" t="n">
        <v>0</v>
      </c>
      <c r="AW105" t="n">
        <v>863.67</v>
      </c>
      <c r="AX105" t="inlineStr">
        <is>
          <t>settled</t>
        </is>
      </c>
      <c r="AY105" t="inlineStr">
        <is>
          <t>2026-01-21 05:30:00</t>
        </is>
      </c>
      <c r="AZ105" t="inlineStr">
        <is>
          <t>CITIN26608218588</t>
        </is>
      </c>
      <c r="BA105" t="n">
        <v>0</v>
      </c>
      <c r="BB105" t="inlineStr">
        <is>
          <t>b2302e2cbb2e71d0f94d03d317b7857a96cc945489f64487046386fdb1b0703c</t>
        </is>
      </c>
    </row>
    <row r="106">
      <c r="A106" t="inlineStr">
        <is>
          <t>101</t>
        </is>
      </c>
      <c r="B106" t="inlineStr">
        <is>
          <t>7684916364</t>
        </is>
      </c>
      <c r="C106" t="inlineStr">
        <is>
          <t>2026-01-14 02:38:15</t>
        </is>
      </c>
      <c r="D106" t="inlineStr">
        <is>
          <t>3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30% off upto ₹75 (2025-06-25 - 2031-01-01)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229</v>
      </c>
      <c r="P106" t="n">
        <v>3.5</v>
      </c>
      <c r="Q106" t="n">
        <v>0</v>
      </c>
      <c r="R106" t="n">
        <v>68.7</v>
      </c>
      <c r="S106" t="n">
        <v>0</v>
      </c>
      <c r="T106" t="n">
        <v>0</v>
      </c>
      <c r="U106" t="n">
        <v>0</v>
      </c>
      <c r="V106" t="n">
        <v>8.19</v>
      </c>
      <c r="W106" t="n">
        <v>171.99</v>
      </c>
      <c r="X106" t="n">
        <v>163.8</v>
      </c>
      <c r="Y106" t="n">
        <v>19</v>
      </c>
      <c r="Z106" t="n">
        <v>31.12</v>
      </c>
      <c r="AA106" t="n">
        <v>3.16</v>
      </c>
      <c r="AB106" t="n">
        <v>34.28</v>
      </c>
      <c r="AC106" t="n">
        <v>6.17</v>
      </c>
      <c r="AD106" t="n">
        <v>0</v>
      </c>
      <c r="AE106" t="n">
        <v>163.8</v>
      </c>
      <c r="AF106" t="n">
        <v>0</v>
      </c>
      <c r="AG106" t="n">
        <v>0</v>
      </c>
      <c r="AH106" t="n">
        <v>0.16</v>
      </c>
      <c r="AI106" t="n">
        <v>8.199999999999999</v>
      </c>
      <c r="AJ106" t="n">
        <v>-0.01</v>
      </c>
      <c r="AK106" t="n">
        <v>14.53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48.81</v>
      </c>
      <c r="AV106" t="n">
        <v>0</v>
      </c>
      <c r="AW106" t="n">
        <v>123.18</v>
      </c>
      <c r="AX106" t="inlineStr">
        <is>
          <t>settled</t>
        </is>
      </c>
      <c r="AY106" t="inlineStr">
        <is>
          <t>2026-01-21 05:30:00</t>
        </is>
      </c>
      <c r="AZ106" t="inlineStr">
        <is>
          <t>CITIN26608218588</t>
        </is>
      </c>
      <c r="BA106" t="n">
        <v>0</v>
      </c>
      <c r="BB106" t="inlineStr">
        <is>
          <t>961c85fe7bbc9874853b33c8197adde179b7aac6069b03af8832e8314a795577</t>
        </is>
      </c>
    </row>
    <row r="107">
      <c r="A107" t="inlineStr">
        <is>
          <t>102</t>
        </is>
      </c>
      <c r="B107" t="inlineStr">
        <is>
          <t>7686453220</t>
        </is>
      </c>
      <c r="C107" t="inlineStr">
        <is>
          <t>2026-01-14 03:42:50</t>
        </is>
      </c>
      <c r="D107" t="inlineStr">
        <is>
          <t>3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30% off upto ₹75 (2025-06-25 - 2031-01-01)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229</v>
      </c>
      <c r="P107" t="n">
        <v>3.5</v>
      </c>
      <c r="Q107" t="n">
        <v>0</v>
      </c>
      <c r="R107" t="n">
        <v>68.7</v>
      </c>
      <c r="S107" t="n">
        <v>0</v>
      </c>
      <c r="T107" t="n">
        <v>0</v>
      </c>
      <c r="U107" t="n">
        <v>0</v>
      </c>
      <c r="V107" t="n">
        <v>8.19</v>
      </c>
      <c r="W107" t="n">
        <v>171.99</v>
      </c>
      <c r="X107" t="n">
        <v>163.8</v>
      </c>
      <c r="Y107" t="n">
        <v>19</v>
      </c>
      <c r="Z107" t="n">
        <v>31.12</v>
      </c>
      <c r="AA107" t="n">
        <v>3.16</v>
      </c>
      <c r="AB107" t="n">
        <v>34.28</v>
      </c>
      <c r="AC107" t="n">
        <v>6.17</v>
      </c>
      <c r="AD107" t="n">
        <v>0</v>
      </c>
      <c r="AE107" t="n">
        <v>163.8</v>
      </c>
      <c r="AF107" t="n">
        <v>0</v>
      </c>
      <c r="AG107" t="n">
        <v>0</v>
      </c>
      <c r="AH107" t="n">
        <v>0.16</v>
      </c>
      <c r="AI107" t="n">
        <v>8.199999999999999</v>
      </c>
      <c r="AJ107" t="n">
        <v>-0.01</v>
      </c>
      <c r="AK107" t="n">
        <v>14.53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48.81</v>
      </c>
      <c r="AV107" t="n">
        <v>0</v>
      </c>
      <c r="AW107" t="n">
        <v>123.18</v>
      </c>
      <c r="AX107" t="inlineStr">
        <is>
          <t>settled</t>
        </is>
      </c>
      <c r="AY107" t="inlineStr">
        <is>
          <t>2026-01-21 05:30:00</t>
        </is>
      </c>
      <c r="AZ107" t="inlineStr">
        <is>
          <t>CITIN26608218588</t>
        </is>
      </c>
      <c r="BA107" t="n">
        <v>0</v>
      </c>
      <c r="BB107" t="inlineStr">
        <is>
          <t>4bd65bd7d26f8fb00f3b55ed9644660d2aac3d93cfc0596e3f40b5e3fb7d461d</t>
        </is>
      </c>
    </row>
    <row r="108">
      <c r="A108" t="inlineStr">
        <is>
          <t>103</t>
        </is>
      </c>
      <c r="B108" t="inlineStr">
        <is>
          <t>7687552725</t>
        </is>
      </c>
      <c r="C108" t="inlineStr">
        <is>
          <t>2026-01-14 04:23:01</t>
        </is>
      </c>
      <c r="D108" t="inlineStr">
        <is>
          <t>3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229</v>
      </c>
      <c r="P108" t="n">
        <v>3.5</v>
      </c>
      <c r="Q108" t="n">
        <v>0</v>
      </c>
      <c r="R108" t="n">
        <v>68.7</v>
      </c>
      <c r="S108" t="n">
        <v>0</v>
      </c>
      <c r="T108" t="n">
        <v>0</v>
      </c>
      <c r="U108" t="n">
        <v>0</v>
      </c>
      <c r="V108" t="n">
        <v>8.19</v>
      </c>
      <c r="W108" t="n">
        <v>171.99</v>
      </c>
      <c r="X108" t="n">
        <v>163.8</v>
      </c>
      <c r="Y108" t="n">
        <v>19</v>
      </c>
      <c r="Z108" t="n">
        <v>31.12</v>
      </c>
      <c r="AA108" t="n">
        <v>3.16</v>
      </c>
      <c r="AB108" t="n">
        <v>34.28</v>
      </c>
      <c r="AC108" t="n">
        <v>6.17</v>
      </c>
      <c r="AD108" t="n">
        <v>0</v>
      </c>
      <c r="AE108" t="n">
        <v>163.8</v>
      </c>
      <c r="AF108" t="n">
        <v>0</v>
      </c>
      <c r="AG108" t="n">
        <v>0</v>
      </c>
      <c r="AH108" t="n">
        <v>0.16</v>
      </c>
      <c r="AI108" t="n">
        <v>8.199999999999999</v>
      </c>
      <c r="AJ108" t="n">
        <v>-0.01</v>
      </c>
      <c r="AK108" t="n">
        <v>14.53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48.81</v>
      </c>
      <c r="AV108" t="n">
        <v>0</v>
      </c>
      <c r="AW108" t="n">
        <v>123.18</v>
      </c>
      <c r="AX108" t="inlineStr">
        <is>
          <t>settled</t>
        </is>
      </c>
      <c r="AY108" t="inlineStr">
        <is>
          <t>2026-01-21 05:30:00</t>
        </is>
      </c>
      <c r="AZ108" t="inlineStr">
        <is>
          <t>CITIN26608218588</t>
        </is>
      </c>
      <c r="BA108" t="n">
        <v>0</v>
      </c>
      <c r="BB108" t="inlineStr">
        <is>
          <t>ea27909c5c44e83a241aa31f770fe5f1f6b8b7cb25238ce2fecccd378911fa38</t>
        </is>
      </c>
    </row>
    <row r="109">
      <c r="A109" t="inlineStr">
        <is>
          <t>104</t>
        </is>
      </c>
      <c r="B109" t="inlineStr">
        <is>
          <t>7687289134</t>
        </is>
      </c>
      <c r="C109" t="inlineStr">
        <is>
          <t>2026-01-14 11:59:39</t>
        </is>
      </c>
      <c r="D109" t="inlineStr">
        <is>
          <t>3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348</v>
      </c>
      <c r="P109" t="n">
        <v>3.5</v>
      </c>
      <c r="Q109" t="n">
        <v>0</v>
      </c>
      <c r="R109" t="n">
        <v>75</v>
      </c>
      <c r="S109" t="n">
        <v>0</v>
      </c>
      <c r="T109" t="n">
        <v>0</v>
      </c>
      <c r="U109" t="n">
        <v>0</v>
      </c>
      <c r="V109" t="n">
        <v>13.83</v>
      </c>
      <c r="W109" t="n">
        <v>290.33</v>
      </c>
      <c r="X109" t="n">
        <v>276.5</v>
      </c>
      <c r="Y109" t="n">
        <v>19</v>
      </c>
      <c r="Z109" t="n">
        <v>52.54</v>
      </c>
      <c r="AA109" t="n">
        <v>5.34</v>
      </c>
      <c r="AB109" t="n">
        <v>57.88</v>
      </c>
      <c r="AC109" t="n">
        <v>10.42</v>
      </c>
      <c r="AD109" t="n">
        <v>0</v>
      </c>
      <c r="AE109" t="n">
        <v>276.5</v>
      </c>
      <c r="AF109" t="n">
        <v>0</v>
      </c>
      <c r="AG109" t="n">
        <v>0</v>
      </c>
      <c r="AH109" t="n">
        <v>0.28</v>
      </c>
      <c r="AI109" t="n">
        <v>13.83</v>
      </c>
      <c r="AJ109" t="n">
        <v>0</v>
      </c>
      <c r="AK109" t="n">
        <v>24.53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82.41</v>
      </c>
      <c r="AV109" t="n">
        <v>0</v>
      </c>
      <c r="AW109" t="n">
        <v>207.92</v>
      </c>
      <c r="AX109" t="inlineStr">
        <is>
          <t>settled</t>
        </is>
      </c>
      <c r="AY109" t="inlineStr">
        <is>
          <t>2026-01-21 05:30:00</t>
        </is>
      </c>
      <c r="AZ109" t="inlineStr">
        <is>
          <t>CITIN26608218588</t>
        </is>
      </c>
      <c r="BA109" t="n">
        <v>0</v>
      </c>
      <c r="BB109" t="inlineStr">
        <is>
          <t>9dd893f09f9519b32162c046e24f18e221e1e5e72e9c086ff0938233e7a4b57b</t>
        </is>
      </c>
    </row>
    <row r="110">
      <c r="A110" t="inlineStr">
        <is>
          <t>105</t>
        </is>
      </c>
      <c r="B110" t="inlineStr">
        <is>
          <t>7686564997</t>
        </is>
      </c>
      <c r="C110" t="inlineStr">
        <is>
          <t>2026-01-14 12:35:00</t>
        </is>
      </c>
      <c r="D110" t="inlineStr">
        <is>
          <t>3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229</v>
      </c>
      <c r="P110" t="n">
        <v>3.5</v>
      </c>
      <c r="Q110" t="n">
        <v>0</v>
      </c>
      <c r="R110" t="n">
        <v>68.7</v>
      </c>
      <c r="S110" t="n">
        <v>0</v>
      </c>
      <c r="T110" t="n">
        <v>0</v>
      </c>
      <c r="U110" t="n">
        <v>0</v>
      </c>
      <c r="V110" t="n">
        <v>8.19</v>
      </c>
      <c r="W110" t="n">
        <v>171.99</v>
      </c>
      <c r="X110" t="n">
        <v>163.8</v>
      </c>
      <c r="Y110" t="n">
        <v>19</v>
      </c>
      <c r="Z110" t="n">
        <v>31.12</v>
      </c>
      <c r="AA110" t="n">
        <v>3.16</v>
      </c>
      <c r="AB110" t="n">
        <v>34.28</v>
      </c>
      <c r="AC110" t="n">
        <v>6.17</v>
      </c>
      <c r="AD110" t="n">
        <v>0</v>
      </c>
      <c r="AE110" t="n">
        <v>163.8</v>
      </c>
      <c r="AF110" t="n">
        <v>0</v>
      </c>
      <c r="AG110" t="n">
        <v>0</v>
      </c>
      <c r="AH110" t="n">
        <v>0.16</v>
      </c>
      <c r="AI110" t="n">
        <v>8.199999999999999</v>
      </c>
      <c r="AJ110" t="n">
        <v>-0.01</v>
      </c>
      <c r="AK110" t="n">
        <v>14.53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48.81</v>
      </c>
      <c r="AV110" t="n">
        <v>0</v>
      </c>
      <c r="AW110" t="n">
        <v>123.18</v>
      </c>
      <c r="AX110" t="inlineStr">
        <is>
          <t>settled</t>
        </is>
      </c>
      <c r="AY110" t="inlineStr">
        <is>
          <t>2026-01-21 05:30:00</t>
        </is>
      </c>
      <c r="AZ110" t="inlineStr">
        <is>
          <t>CITIN26608218588</t>
        </is>
      </c>
      <c r="BA110" t="n">
        <v>0</v>
      </c>
      <c r="BB110" t="inlineStr">
        <is>
          <t>30fdaa5d8e68d13f8b9752888fa9726ebe2e7659414a30ddaf2bc3efcac62ce8</t>
        </is>
      </c>
    </row>
    <row r="111">
      <c r="A111" t="inlineStr">
        <is>
          <t>106</t>
        </is>
      </c>
      <c r="B111" t="inlineStr">
        <is>
          <t>7686923511</t>
        </is>
      </c>
      <c r="C111" t="inlineStr">
        <is>
          <t>2026-01-14 12:56:02</t>
        </is>
      </c>
      <c r="D111" t="inlineStr">
        <is>
          <t>3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30% off upto ₹75 (2025-06-25 - 2031-01-01)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68.7</v>
      </c>
      <c r="S111" t="n">
        <v>0</v>
      </c>
      <c r="T111" t="n">
        <v>0</v>
      </c>
      <c r="U111" t="n">
        <v>0</v>
      </c>
      <c r="V111" t="n">
        <v>8.19</v>
      </c>
      <c r="W111" t="n">
        <v>171.99</v>
      </c>
      <c r="X111" t="n">
        <v>163.8</v>
      </c>
      <c r="Y111" t="n">
        <v>19</v>
      </c>
      <c r="Z111" t="n">
        <v>31.12</v>
      </c>
      <c r="AA111" t="n">
        <v>3.16</v>
      </c>
      <c r="AB111" t="n">
        <v>34.28</v>
      </c>
      <c r="AC111" t="n">
        <v>6.17</v>
      </c>
      <c r="AD111" t="n">
        <v>0</v>
      </c>
      <c r="AE111" t="n">
        <v>163.8</v>
      </c>
      <c r="AF111" t="n">
        <v>0</v>
      </c>
      <c r="AG111" t="n">
        <v>0</v>
      </c>
      <c r="AH111" t="n">
        <v>0.16</v>
      </c>
      <c r="AI111" t="n">
        <v>8.199999999999999</v>
      </c>
      <c r="AJ111" t="n">
        <v>-0.01</v>
      </c>
      <c r="AK111" t="n">
        <v>14.53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48.81</v>
      </c>
      <c r="AV111" t="n">
        <v>0</v>
      </c>
      <c r="AW111" t="n">
        <v>123.18</v>
      </c>
      <c r="AX111" t="inlineStr">
        <is>
          <t>settled</t>
        </is>
      </c>
      <c r="AY111" t="inlineStr">
        <is>
          <t>2026-01-21 05:30:00</t>
        </is>
      </c>
      <c r="AZ111" t="inlineStr">
        <is>
          <t>CITIN26608218588</t>
        </is>
      </c>
      <c r="BA111" t="n">
        <v>0</v>
      </c>
      <c r="BB111" t="inlineStr">
        <is>
          <t>73399ffe5583a65db5fdca1d3f7e5af38208b79b7284133edf161ee9795c80d5</t>
        </is>
      </c>
    </row>
    <row r="112">
      <c r="A112" t="inlineStr">
        <is>
          <t>107</t>
        </is>
      </c>
      <c r="B112" t="inlineStr">
        <is>
          <t>7687565950</t>
        </is>
      </c>
      <c r="C112" t="inlineStr">
        <is>
          <t>2026-01-14 13:22:52</t>
        </is>
      </c>
      <c r="D112" t="inlineStr">
        <is>
          <t>3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229</v>
      </c>
      <c r="P112" t="n">
        <v>3.5</v>
      </c>
      <c r="Q112" t="n">
        <v>0</v>
      </c>
      <c r="R112" t="n">
        <v>68.7</v>
      </c>
      <c r="S112" t="n">
        <v>0</v>
      </c>
      <c r="T112" t="n">
        <v>0</v>
      </c>
      <c r="U112" t="n">
        <v>0</v>
      </c>
      <c r="V112" t="n">
        <v>8.19</v>
      </c>
      <c r="W112" t="n">
        <v>171.99</v>
      </c>
      <c r="X112" t="n">
        <v>163.8</v>
      </c>
      <c r="Y112" t="n">
        <v>19</v>
      </c>
      <c r="Z112" t="n">
        <v>31.12</v>
      </c>
      <c r="AA112" t="n">
        <v>3.16</v>
      </c>
      <c r="AB112" t="n">
        <v>34.28</v>
      </c>
      <c r="AC112" t="n">
        <v>6.17</v>
      </c>
      <c r="AD112" t="n">
        <v>0</v>
      </c>
      <c r="AE112" t="n">
        <v>163.8</v>
      </c>
      <c r="AF112" t="n">
        <v>0</v>
      </c>
      <c r="AG112" t="n">
        <v>0</v>
      </c>
      <c r="AH112" t="n">
        <v>0.16</v>
      </c>
      <c r="AI112" t="n">
        <v>8.199999999999999</v>
      </c>
      <c r="AJ112" t="n">
        <v>-0.01</v>
      </c>
      <c r="AK112" t="n">
        <v>14.53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48.81</v>
      </c>
      <c r="AV112" t="n">
        <v>0</v>
      </c>
      <c r="AW112" t="n">
        <v>123.18</v>
      </c>
      <c r="AX112" t="inlineStr">
        <is>
          <t>settled</t>
        </is>
      </c>
      <c r="AY112" t="inlineStr">
        <is>
          <t>2026-01-21 05:30:00</t>
        </is>
      </c>
      <c r="AZ112" t="inlineStr">
        <is>
          <t>CITIN26608218588</t>
        </is>
      </c>
      <c r="BA112" t="n">
        <v>0</v>
      </c>
      <c r="BB112" t="inlineStr">
        <is>
          <t>691893265855ae972cf7a2fb2d85f59ed26cae6d5093c8e3d36ad78e542be467</t>
        </is>
      </c>
    </row>
    <row r="113">
      <c r="A113" t="inlineStr">
        <is>
          <t>108</t>
        </is>
      </c>
      <c r="B113" t="inlineStr">
        <is>
          <t>7687501485</t>
        </is>
      </c>
      <c r="C113" t="inlineStr">
        <is>
          <t>2026-01-14 13:23:10</t>
        </is>
      </c>
      <c r="D113" t="inlineStr">
        <is>
          <t>3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NA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229</v>
      </c>
      <c r="P113" t="n">
        <v>3.5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11.63</v>
      </c>
      <c r="W113" t="n">
        <v>244.13</v>
      </c>
      <c r="X113" t="n">
        <v>232.5</v>
      </c>
      <c r="Y113" t="n">
        <v>19</v>
      </c>
      <c r="Z113" t="n">
        <v>44.18</v>
      </c>
      <c r="AA113" t="n">
        <v>4.49</v>
      </c>
      <c r="AB113" t="n">
        <v>48.67</v>
      </c>
      <c r="AC113" t="n">
        <v>8.76</v>
      </c>
      <c r="AD113" t="n">
        <v>0</v>
      </c>
      <c r="AE113" t="n">
        <v>232.5</v>
      </c>
      <c r="AF113" t="n">
        <v>0</v>
      </c>
      <c r="AG113" t="n">
        <v>0</v>
      </c>
      <c r="AH113" t="n">
        <v>0.23</v>
      </c>
      <c r="AI113" t="n">
        <v>11.63</v>
      </c>
      <c r="AJ113" t="n">
        <v>0</v>
      </c>
      <c r="AK113" t="n">
        <v>20.62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69.29000000000001</v>
      </c>
      <c r="AV113" t="n">
        <v>0</v>
      </c>
      <c r="AW113" t="n">
        <v>174.84</v>
      </c>
      <c r="AX113" t="inlineStr">
        <is>
          <t>settled</t>
        </is>
      </c>
      <c r="AY113" t="inlineStr">
        <is>
          <t>2026-01-21 05:30:00</t>
        </is>
      </c>
      <c r="AZ113" t="inlineStr">
        <is>
          <t>CITIN26608218588</t>
        </is>
      </c>
      <c r="BA113" t="n">
        <v>0</v>
      </c>
      <c r="BB113" t="inlineStr">
        <is>
          <t>fbed5de5274cb4779fab33727408724a24818afb8e6dafa3f25d37e0a4b9d22e</t>
        </is>
      </c>
    </row>
    <row r="114">
      <c r="A114" t="inlineStr">
        <is>
          <t>109</t>
        </is>
      </c>
      <c r="B114" t="inlineStr">
        <is>
          <t>7679971243</t>
        </is>
      </c>
      <c r="C114" t="inlineStr">
        <is>
          <t>2026-01-14 13:42:47</t>
        </is>
      </c>
      <c r="D114" t="inlineStr">
        <is>
          <t>3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NA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229</v>
      </c>
      <c r="P114" t="n">
        <v>3.5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11.63</v>
      </c>
      <c r="W114" t="n">
        <v>244.13</v>
      </c>
      <c r="X114" t="n">
        <v>232.5</v>
      </c>
      <c r="Y114" t="n">
        <v>19</v>
      </c>
      <c r="Z114" t="n">
        <v>44.18</v>
      </c>
      <c r="AA114" t="n">
        <v>4.49</v>
      </c>
      <c r="AB114" t="n">
        <v>48.67</v>
      </c>
      <c r="AC114" t="n">
        <v>8.76</v>
      </c>
      <c r="AD114" t="n">
        <v>0</v>
      </c>
      <c r="AE114" t="n">
        <v>232.5</v>
      </c>
      <c r="AF114" t="n">
        <v>0</v>
      </c>
      <c r="AG114" t="n">
        <v>0</v>
      </c>
      <c r="AH114" t="n">
        <v>0.23</v>
      </c>
      <c r="AI114" t="n">
        <v>11.63</v>
      </c>
      <c r="AJ114" t="n">
        <v>0</v>
      </c>
      <c r="AK114" t="n">
        <v>20.62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69.29000000000001</v>
      </c>
      <c r="AV114" t="n">
        <v>0</v>
      </c>
      <c r="AW114" t="n">
        <v>174.84</v>
      </c>
      <c r="AX114" t="inlineStr">
        <is>
          <t>settled</t>
        </is>
      </c>
      <c r="AY114" t="inlineStr">
        <is>
          <t>2026-01-21 05:30:00</t>
        </is>
      </c>
      <c r="AZ114" t="inlineStr">
        <is>
          <t>CITIN26608218588</t>
        </is>
      </c>
      <c r="BA114" t="n">
        <v>0</v>
      </c>
      <c r="BB114" t="inlineStr">
        <is>
          <t>a05fb89fc307201daf45d28d9e25fe6781f9c0f39e75a3295a63810e5f6fc482</t>
        </is>
      </c>
    </row>
    <row r="115">
      <c r="A115" t="inlineStr">
        <is>
          <t>110</t>
        </is>
      </c>
      <c r="B115" t="inlineStr">
        <is>
          <t>7687717341</t>
        </is>
      </c>
      <c r="C115" t="inlineStr">
        <is>
          <t>2026-01-14 13:43:58</t>
        </is>
      </c>
      <c r="D115" t="inlineStr">
        <is>
          <t>3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268</v>
      </c>
      <c r="P115" t="n">
        <v>3.5</v>
      </c>
      <c r="Q115" t="n">
        <v>0</v>
      </c>
      <c r="R115" t="n">
        <v>75</v>
      </c>
      <c r="S115" t="n">
        <v>0</v>
      </c>
      <c r="T115" t="n">
        <v>0</v>
      </c>
      <c r="U115" t="n">
        <v>0</v>
      </c>
      <c r="V115" t="n">
        <v>9.83</v>
      </c>
      <c r="W115" t="n">
        <v>206.33</v>
      </c>
      <c r="X115" t="n">
        <v>196.5</v>
      </c>
      <c r="Y115" t="n">
        <v>19</v>
      </c>
      <c r="Z115" t="n">
        <v>37.34</v>
      </c>
      <c r="AA115" t="n">
        <v>3.8</v>
      </c>
      <c r="AB115" t="n">
        <v>41.14</v>
      </c>
      <c r="AC115" t="n">
        <v>7.4</v>
      </c>
      <c r="AD115" t="n">
        <v>0</v>
      </c>
      <c r="AE115" t="n">
        <v>196.5</v>
      </c>
      <c r="AF115" t="n">
        <v>0</v>
      </c>
      <c r="AG115" t="n">
        <v>0</v>
      </c>
      <c r="AH115" t="n">
        <v>0.2</v>
      </c>
      <c r="AI115" t="n">
        <v>9.83</v>
      </c>
      <c r="AJ115" t="n">
        <v>0</v>
      </c>
      <c r="AK115" t="n">
        <v>17.43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58.57</v>
      </c>
      <c r="AV115" t="n">
        <v>0</v>
      </c>
      <c r="AW115" t="n">
        <v>147.76</v>
      </c>
      <c r="AX115" t="inlineStr">
        <is>
          <t>settled</t>
        </is>
      </c>
      <c r="AY115" t="inlineStr">
        <is>
          <t>2026-01-21 05:30:00</t>
        </is>
      </c>
      <c r="AZ115" t="inlineStr">
        <is>
          <t>CITIN26608218588</t>
        </is>
      </c>
      <c r="BA115" t="n">
        <v>0</v>
      </c>
      <c r="BB115" t="inlineStr">
        <is>
          <t>c6524ae3f972271b9608a99122d6be7515c6b3ed52837e890e5dbd0679b4412f</t>
        </is>
      </c>
    </row>
    <row r="116">
      <c r="A116" t="inlineStr">
        <is>
          <t>111</t>
        </is>
      </c>
      <c r="B116" t="inlineStr">
        <is>
          <t>7689492754</t>
        </is>
      </c>
      <c r="C116" t="inlineStr">
        <is>
          <t>2026-01-14 14:32:53</t>
        </is>
      </c>
      <c r="D116" t="inlineStr">
        <is>
          <t>3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229</v>
      </c>
      <c r="P116" t="n">
        <v>3.5</v>
      </c>
      <c r="Q116" t="n">
        <v>0</v>
      </c>
      <c r="R116" t="n">
        <v>68.7</v>
      </c>
      <c r="S116" t="n">
        <v>0</v>
      </c>
      <c r="T116" t="n">
        <v>0</v>
      </c>
      <c r="U116" t="n">
        <v>0</v>
      </c>
      <c r="V116" t="n">
        <v>8.19</v>
      </c>
      <c r="W116" t="n">
        <v>171.99</v>
      </c>
      <c r="X116" t="n">
        <v>163.8</v>
      </c>
      <c r="Y116" t="n">
        <v>19</v>
      </c>
      <c r="Z116" t="n">
        <v>31.12</v>
      </c>
      <c r="AA116" t="n">
        <v>3.16</v>
      </c>
      <c r="AB116" t="n">
        <v>34.28</v>
      </c>
      <c r="AC116" t="n">
        <v>6.17</v>
      </c>
      <c r="AD116" t="n">
        <v>0</v>
      </c>
      <c r="AE116" t="n">
        <v>163.8</v>
      </c>
      <c r="AF116" t="n">
        <v>0</v>
      </c>
      <c r="AG116" t="n">
        <v>0</v>
      </c>
      <c r="AH116" t="n">
        <v>0.16</v>
      </c>
      <c r="AI116" t="n">
        <v>8.199999999999999</v>
      </c>
      <c r="AJ116" t="n">
        <v>-0.01</v>
      </c>
      <c r="AK116" t="n">
        <v>14.53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48.81</v>
      </c>
      <c r="AV116" t="n">
        <v>0</v>
      </c>
      <c r="AW116" t="n">
        <v>123.18</v>
      </c>
      <c r="AX116" t="inlineStr">
        <is>
          <t>settled</t>
        </is>
      </c>
      <c r="AY116" t="inlineStr">
        <is>
          <t>2026-01-21 05:30:00</t>
        </is>
      </c>
      <c r="AZ116" t="inlineStr">
        <is>
          <t>CITIN26608218588</t>
        </is>
      </c>
      <c r="BA116" t="n">
        <v>0</v>
      </c>
      <c r="BB116" t="inlineStr">
        <is>
          <t>d25d4301e3f1cad2cad227e37d89a64913163381eaf21acfa7759eb80f2d6b09</t>
        </is>
      </c>
    </row>
    <row r="117">
      <c r="A117" t="inlineStr">
        <is>
          <t>112</t>
        </is>
      </c>
      <c r="B117" t="inlineStr">
        <is>
          <t>7681856761</t>
        </is>
      </c>
      <c r="C117" t="inlineStr">
        <is>
          <t>2026-01-14 16:33:05</t>
        </is>
      </c>
      <c r="D117" t="inlineStr">
        <is>
          <t>3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30% off upto ₹75 (2025-06-25 - 2031-01-01)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219</v>
      </c>
      <c r="P117" t="n">
        <v>3.5</v>
      </c>
      <c r="Q117" t="n">
        <v>0</v>
      </c>
      <c r="R117" t="n">
        <v>65.7</v>
      </c>
      <c r="S117" t="n">
        <v>0</v>
      </c>
      <c r="T117" t="n">
        <v>0</v>
      </c>
      <c r="U117" t="n">
        <v>0</v>
      </c>
      <c r="V117" t="n">
        <v>7.84</v>
      </c>
      <c r="W117" t="n">
        <v>164.64</v>
      </c>
      <c r="X117" t="n">
        <v>156.8</v>
      </c>
      <c r="Y117" t="n">
        <v>19</v>
      </c>
      <c r="Z117" t="n">
        <v>29.79</v>
      </c>
      <c r="AA117" t="n">
        <v>3.03</v>
      </c>
      <c r="AB117" t="n">
        <v>32.82</v>
      </c>
      <c r="AC117" t="n">
        <v>5.91</v>
      </c>
      <c r="AD117" t="n">
        <v>0</v>
      </c>
      <c r="AE117" t="n">
        <v>156.8</v>
      </c>
      <c r="AF117" t="n">
        <v>0</v>
      </c>
      <c r="AG117" t="n">
        <v>0</v>
      </c>
      <c r="AH117" t="n">
        <v>0.16</v>
      </c>
      <c r="AI117" t="n">
        <v>7.85</v>
      </c>
      <c r="AJ117" t="n">
        <v>-0.01</v>
      </c>
      <c r="AK117" t="n">
        <v>13.92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46.74</v>
      </c>
      <c r="AV117" t="n">
        <v>0</v>
      </c>
      <c r="AW117" t="n">
        <v>117.9</v>
      </c>
      <c r="AX117" t="inlineStr">
        <is>
          <t>settled</t>
        </is>
      </c>
      <c r="AY117" t="inlineStr">
        <is>
          <t>2026-01-21 05:30:00</t>
        </is>
      </c>
      <c r="AZ117" t="inlineStr">
        <is>
          <t>CITIN26608218588</t>
        </is>
      </c>
      <c r="BA117" t="n">
        <v>0</v>
      </c>
      <c r="BB117" t="inlineStr">
        <is>
          <t>a9965aad1b0431773d7cf698b9142dc2918c1d04eeb929cea13b688ca50dab2f</t>
        </is>
      </c>
    </row>
    <row r="118">
      <c r="A118" t="inlineStr">
        <is>
          <t>113</t>
        </is>
      </c>
      <c r="B118" t="inlineStr">
        <is>
          <t>7671173325</t>
        </is>
      </c>
      <c r="C118" t="inlineStr">
        <is>
          <t>2026-01-14 16:38:22</t>
        </is>
      </c>
      <c r="D118" t="inlineStr">
        <is>
          <t>3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219</v>
      </c>
      <c r="P118" t="n">
        <v>3.5</v>
      </c>
      <c r="Q118" t="n">
        <v>0</v>
      </c>
      <c r="R118" t="n">
        <v>65.7</v>
      </c>
      <c r="S118" t="n">
        <v>0</v>
      </c>
      <c r="T118" t="n">
        <v>0</v>
      </c>
      <c r="U118" t="n">
        <v>0</v>
      </c>
      <c r="V118" t="n">
        <v>7.84</v>
      </c>
      <c r="W118" t="n">
        <v>164.64</v>
      </c>
      <c r="X118" t="n">
        <v>156.8</v>
      </c>
      <c r="Y118" t="n">
        <v>19</v>
      </c>
      <c r="Z118" t="n">
        <v>29.79</v>
      </c>
      <c r="AA118" t="n">
        <v>3.03</v>
      </c>
      <c r="AB118" t="n">
        <v>32.82</v>
      </c>
      <c r="AC118" t="n">
        <v>5.91</v>
      </c>
      <c r="AD118" t="n">
        <v>0</v>
      </c>
      <c r="AE118" t="n">
        <v>156.8</v>
      </c>
      <c r="AF118" t="n">
        <v>0</v>
      </c>
      <c r="AG118" t="n">
        <v>0</v>
      </c>
      <c r="AH118" t="n">
        <v>0.16</v>
      </c>
      <c r="AI118" t="n">
        <v>7.85</v>
      </c>
      <c r="AJ118" t="n">
        <v>-0.01</v>
      </c>
      <c r="AK118" t="n">
        <v>13.92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46.74</v>
      </c>
      <c r="AV118" t="n">
        <v>0</v>
      </c>
      <c r="AW118" t="n">
        <v>117.9</v>
      </c>
      <c r="AX118" t="inlineStr">
        <is>
          <t>settled</t>
        </is>
      </c>
      <c r="AY118" t="inlineStr">
        <is>
          <t>2026-01-21 05:30:00</t>
        </is>
      </c>
      <c r="AZ118" t="inlineStr">
        <is>
          <t>CITIN26608218588</t>
        </is>
      </c>
      <c r="BA118" t="n">
        <v>0</v>
      </c>
      <c r="BB118" t="inlineStr">
        <is>
          <t>7ab20133899cd62300af4a036648c920534c36ab3c2036e913a52ecf5d5e71cf</t>
        </is>
      </c>
    </row>
    <row r="119">
      <c r="A119" t="inlineStr">
        <is>
          <t>114</t>
        </is>
      </c>
      <c r="B119" t="inlineStr">
        <is>
          <t>7689374835</t>
        </is>
      </c>
      <c r="C119" t="inlineStr">
        <is>
          <t>2026-01-14 18:20:22</t>
        </is>
      </c>
      <c r="D119" t="inlineStr">
        <is>
          <t>3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219</v>
      </c>
      <c r="P119" t="n">
        <v>3.5</v>
      </c>
      <c r="Q119" t="n">
        <v>0</v>
      </c>
      <c r="R119" t="n">
        <v>65.7</v>
      </c>
      <c r="S119" t="n">
        <v>0</v>
      </c>
      <c r="T119" t="n">
        <v>0</v>
      </c>
      <c r="U119" t="n">
        <v>0</v>
      </c>
      <c r="V119" t="n">
        <v>7.84</v>
      </c>
      <c r="W119" t="n">
        <v>164.64</v>
      </c>
      <c r="X119" t="n">
        <v>156.8</v>
      </c>
      <c r="Y119" t="n">
        <v>19</v>
      </c>
      <c r="Z119" t="n">
        <v>29.79</v>
      </c>
      <c r="AA119" t="n">
        <v>3.03</v>
      </c>
      <c r="AB119" t="n">
        <v>32.82</v>
      </c>
      <c r="AC119" t="n">
        <v>5.91</v>
      </c>
      <c r="AD119" t="n">
        <v>0</v>
      </c>
      <c r="AE119" t="n">
        <v>156.8</v>
      </c>
      <c r="AF119" t="n">
        <v>0</v>
      </c>
      <c r="AG119" t="n">
        <v>0</v>
      </c>
      <c r="AH119" t="n">
        <v>0.16</v>
      </c>
      <c r="AI119" t="n">
        <v>7.85</v>
      </c>
      <c r="AJ119" t="n">
        <v>-0.01</v>
      </c>
      <c r="AK119" t="n">
        <v>13.92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46.74</v>
      </c>
      <c r="AV119" t="n">
        <v>0</v>
      </c>
      <c r="AW119" t="n">
        <v>117.9</v>
      </c>
      <c r="AX119" t="inlineStr">
        <is>
          <t>settled</t>
        </is>
      </c>
      <c r="AY119" t="inlineStr">
        <is>
          <t>2026-01-21 05:30:00</t>
        </is>
      </c>
      <c r="AZ119" t="inlineStr">
        <is>
          <t>CITIN26608218588</t>
        </is>
      </c>
      <c r="BA119" t="n">
        <v>0</v>
      </c>
      <c r="BB119" t="inlineStr">
        <is>
          <t>0a91798499109d5e4685d208527ea108aef07dad895da7d6cb9c487f4e05c110</t>
        </is>
      </c>
    </row>
    <row r="120">
      <c r="A120" t="inlineStr">
        <is>
          <t>115</t>
        </is>
      </c>
      <c r="B120" t="inlineStr">
        <is>
          <t>7673007065</t>
        </is>
      </c>
      <c r="C120" t="inlineStr">
        <is>
          <t>2026-01-14 18:30:16</t>
        </is>
      </c>
      <c r="D120" t="inlineStr">
        <is>
          <t>3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NA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229</v>
      </c>
      <c r="P120" t="n">
        <v>3.5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11.63</v>
      </c>
      <c r="W120" t="n">
        <v>244.13</v>
      </c>
      <c r="X120" t="n">
        <v>232.5</v>
      </c>
      <c r="Y120" t="n">
        <v>19</v>
      </c>
      <c r="Z120" t="n">
        <v>44.18</v>
      </c>
      <c r="AA120" t="n">
        <v>4.49</v>
      </c>
      <c r="AB120" t="n">
        <v>48.67</v>
      </c>
      <c r="AC120" t="n">
        <v>8.76</v>
      </c>
      <c r="AD120" t="n">
        <v>0</v>
      </c>
      <c r="AE120" t="n">
        <v>232.5</v>
      </c>
      <c r="AF120" t="n">
        <v>0</v>
      </c>
      <c r="AG120" t="n">
        <v>0</v>
      </c>
      <c r="AH120" t="n">
        <v>0.23</v>
      </c>
      <c r="AI120" t="n">
        <v>11.63</v>
      </c>
      <c r="AJ120" t="n">
        <v>0</v>
      </c>
      <c r="AK120" t="n">
        <v>20.62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69.29000000000001</v>
      </c>
      <c r="AV120" t="n">
        <v>0</v>
      </c>
      <c r="AW120" t="n">
        <v>174.84</v>
      </c>
      <c r="AX120" t="inlineStr">
        <is>
          <t>settled</t>
        </is>
      </c>
      <c r="AY120" t="inlineStr">
        <is>
          <t>2026-01-21 05:30:00</t>
        </is>
      </c>
      <c r="AZ120" t="inlineStr">
        <is>
          <t>CITIN26608218588</t>
        </is>
      </c>
      <c r="BA120" t="n">
        <v>0</v>
      </c>
      <c r="BB120" t="inlineStr">
        <is>
          <t>308e8acf24a2d7149a06e595b792c9a00c41c53c352b34895a78b350678c8a4c</t>
        </is>
      </c>
    </row>
    <row r="121">
      <c r="A121" t="inlineStr">
        <is>
          <t>116</t>
        </is>
      </c>
      <c r="B121" t="inlineStr">
        <is>
          <t>7688711153</t>
        </is>
      </c>
      <c r="C121" t="inlineStr">
        <is>
          <t>2026-01-14 19:12:41</t>
        </is>
      </c>
      <c r="D121" t="inlineStr">
        <is>
          <t>3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NA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229</v>
      </c>
      <c r="P121" t="n">
        <v>3.5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11.63</v>
      </c>
      <c r="W121" t="n">
        <v>244.13</v>
      </c>
      <c r="X121" t="n">
        <v>232.5</v>
      </c>
      <c r="Y121" t="n">
        <v>19</v>
      </c>
      <c r="Z121" t="n">
        <v>44.18</v>
      </c>
      <c r="AA121" t="n">
        <v>4.49</v>
      </c>
      <c r="AB121" t="n">
        <v>48.67</v>
      </c>
      <c r="AC121" t="n">
        <v>8.76</v>
      </c>
      <c r="AD121" t="n">
        <v>0</v>
      </c>
      <c r="AE121" t="n">
        <v>232.5</v>
      </c>
      <c r="AF121" t="n">
        <v>0</v>
      </c>
      <c r="AG121" t="n">
        <v>0</v>
      </c>
      <c r="AH121" t="n">
        <v>0.23</v>
      </c>
      <c r="AI121" t="n">
        <v>11.63</v>
      </c>
      <c r="AJ121" t="n">
        <v>0</v>
      </c>
      <c r="AK121" t="n">
        <v>20.62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69.29000000000001</v>
      </c>
      <c r="AV121" t="n">
        <v>0</v>
      </c>
      <c r="AW121" t="n">
        <v>174.84</v>
      </c>
      <c r="AX121" t="inlineStr">
        <is>
          <t>settled</t>
        </is>
      </c>
      <c r="AY121" t="inlineStr">
        <is>
          <t>2026-01-21 05:30:00</t>
        </is>
      </c>
      <c r="AZ121" t="inlineStr">
        <is>
          <t>CITIN26608218588</t>
        </is>
      </c>
      <c r="BA121" t="n">
        <v>0</v>
      </c>
      <c r="BB121" t="inlineStr">
        <is>
          <t>3db17f021dd5af498f03fda3b0006be0cd10289c21522aab96548bef73553ddc</t>
        </is>
      </c>
    </row>
    <row r="122">
      <c r="A122" t="inlineStr">
        <is>
          <t>117</t>
        </is>
      </c>
      <c r="B122" t="inlineStr">
        <is>
          <t>7689586117</t>
        </is>
      </c>
      <c r="C122" t="inlineStr">
        <is>
          <t>2026-01-14 20:04:02</t>
        </is>
      </c>
      <c r="D122" t="inlineStr">
        <is>
          <t>3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30% off upto ₹75 (2025-06-25 - 2031-01-01)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438</v>
      </c>
      <c r="P122" t="n">
        <v>3.5</v>
      </c>
      <c r="Q122" t="n">
        <v>0</v>
      </c>
      <c r="R122" t="n">
        <v>75</v>
      </c>
      <c r="S122" t="n">
        <v>0</v>
      </c>
      <c r="T122" t="n">
        <v>0</v>
      </c>
      <c r="U122" t="n">
        <v>0</v>
      </c>
      <c r="V122" t="n">
        <v>18.33</v>
      </c>
      <c r="W122" t="n">
        <v>384.83</v>
      </c>
      <c r="X122" t="n">
        <v>366.5</v>
      </c>
      <c r="Y122" t="n">
        <v>19</v>
      </c>
      <c r="Z122" t="n">
        <v>69.64</v>
      </c>
      <c r="AA122" t="n">
        <v>7.08</v>
      </c>
      <c r="AB122" t="n">
        <v>76.72</v>
      </c>
      <c r="AC122" t="n">
        <v>13.81</v>
      </c>
      <c r="AD122" t="n">
        <v>0</v>
      </c>
      <c r="AE122" t="n">
        <v>366.5</v>
      </c>
      <c r="AF122" t="n">
        <v>0</v>
      </c>
      <c r="AG122" t="n">
        <v>0</v>
      </c>
      <c r="AH122" t="n">
        <v>0.37</v>
      </c>
      <c r="AI122" t="n">
        <v>18.33</v>
      </c>
      <c r="AJ122" t="n">
        <v>0</v>
      </c>
      <c r="AK122" t="n">
        <v>32.51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109.23</v>
      </c>
      <c r="AV122" t="n">
        <v>0</v>
      </c>
      <c r="AW122" t="n">
        <v>275.6</v>
      </c>
      <c r="AX122" t="inlineStr">
        <is>
          <t>settled</t>
        </is>
      </c>
      <c r="AY122" t="inlineStr">
        <is>
          <t>2026-01-21 05:30:00</t>
        </is>
      </c>
      <c r="AZ122" t="inlineStr">
        <is>
          <t>CITIN26608218588</t>
        </is>
      </c>
      <c r="BA122" t="n">
        <v>0</v>
      </c>
      <c r="BB122" t="inlineStr">
        <is>
          <t>38557a97d82a363a183cd93ee3163eb394c65cd019f68ccf274c3679e5e7106c</t>
        </is>
      </c>
    </row>
    <row r="123">
      <c r="A123" t="inlineStr">
        <is>
          <t>118</t>
        </is>
      </c>
      <c r="B123" t="inlineStr">
        <is>
          <t>7683740314</t>
        </is>
      </c>
      <c r="C123" t="inlineStr">
        <is>
          <t>2026-01-14 20:11:07</t>
        </is>
      </c>
      <c r="D123" t="inlineStr">
        <is>
          <t>3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30% off upto ₹75 (2025-06-25 - 2031-01-01)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229</v>
      </c>
      <c r="P123" t="n">
        <v>3.5</v>
      </c>
      <c r="Q123" t="n">
        <v>0</v>
      </c>
      <c r="R123" t="n">
        <v>68.7</v>
      </c>
      <c r="S123" t="n">
        <v>0</v>
      </c>
      <c r="T123" t="n">
        <v>0</v>
      </c>
      <c r="U123" t="n">
        <v>0</v>
      </c>
      <c r="V123" t="n">
        <v>8.19</v>
      </c>
      <c r="W123" t="n">
        <v>171.99</v>
      </c>
      <c r="X123" t="n">
        <v>163.8</v>
      </c>
      <c r="Y123" t="n">
        <v>19</v>
      </c>
      <c r="Z123" t="n">
        <v>31.12</v>
      </c>
      <c r="AA123" t="n">
        <v>3.16</v>
      </c>
      <c r="AB123" t="n">
        <v>34.28</v>
      </c>
      <c r="AC123" t="n">
        <v>6.17</v>
      </c>
      <c r="AD123" t="n">
        <v>0</v>
      </c>
      <c r="AE123" t="n">
        <v>163.8</v>
      </c>
      <c r="AF123" t="n">
        <v>0</v>
      </c>
      <c r="AG123" t="n">
        <v>0</v>
      </c>
      <c r="AH123" t="n">
        <v>0.16</v>
      </c>
      <c r="AI123" t="n">
        <v>8.199999999999999</v>
      </c>
      <c r="AJ123" t="n">
        <v>-0.01</v>
      </c>
      <c r="AK123" t="n">
        <v>14.53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48.81</v>
      </c>
      <c r="AV123" t="n">
        <v>0</v>
      </c>
      <c r="AW123" t="n">
        <v>123.18</v>
      </c>
      <c r="AX123" t="inlineStr">
        <is>
          <t>settled</t>
        </is>
      </c>
      <c r="AY123" t="inlineStr">
        <is>
          <t>2026-01-21 05:30:00</t>
        </is>
      </c>
      <c r="AZ123" t="inlineStr">
        <is>
          <t>CITIN26608218588</t>
        </is>
      </c>
      <c r="BA123" t="n">
        <v>0</v>
      </c>
      <c r="BB123" t="inlineStr">
        <is>
          <t>d2bb89dc65fddd27f28b0ff7c425b4bff5cdff74cb18e35a2e7f5fd6a3969476</t>
        </is>
      </c>
    </row>
    <row r="124">
      <c r="A124" t="inlineStr">
        <is>
          <t>119</t>
        </is>
      </c>
      <c r="B124" t="inlineStr">
        <is>
          <t>7689339001</t>
        </is>
      </c>
      <c r="C124" t="inlineStr">
        <is>
          <t>2026-01-14 20:11:16</t>
        </is>
      </c>
      <c r="D124" t="inlineStr">
        <is>
          <t>3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458</v>
      </c>
      <c r="P124" t="n">
        <v>3.5</v>
      </c>
      <c r="Q124" t="n">
        <v>0</v>
      </c>
      <c r="R124" t="n">
        <v>75</v>
      </c>
      <c r="S124" t="n">
        <v>0</v>
      </c>
      <c r="T124" t="n">
        <v>0</v>
      </c>
      <c r="U124" t="n">
        <v>0</v>
      </c>
      <c r="V124" t="n">
        <v>19.33</v>
      </c>
      <c r="W124" t="n">
        <v>405.83</v>
      </c>
      <c r="X124" t="n">
        <v>386.5</v>
      </c>
      <c r="Y124" t="n">
        <v>19</v>
      </c>
      <c r="Z124" t="n">
        <v>73.44</v>
      </c>
      <c r="AA124" t="n">
        <v>7.47</v>
      </c>
      <c r="AB124" t="n">
        <v>80.91</v>
      </c>
      <c r="AC124" t="n">
        <v>14.56</v>
      </c>
      <c r="AD124" t="n">
        <v>0</v>
      </c>
      <c r="AE124" t="n">
        <v>386.5</v>
      </c>
      <c r="AF124" t="n">
        <v>0</v>
      </c>
      <c r="AG124" t="n">
        <v>0</v>
      </c>
      <c r="AH124" t="n">
        <v>0.39</v>
      </c>
      <c r="AI124" t="n">
        <v>19.33</v>
      </c>
      <c r="AJ124" t="n">
        <v>0</v>
      </c>
      <c r="AK124" t="n">
        <v>34.28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115.19</v>
      </c>
      <c r="AV124" t="n">
        <v>0</v>
      </c>
      <c r="AW124" t="n">
        <v>290.64</v>
      </c>
      <c r="AX124" t="inlineStr">
        <is>
          <t>settled</t>
        </is>
      </c>
      <c r="AY124" t="inlineStr">
        <is>
          <t>2026-01-21 05:30:00</t>
        </is>
      </c>
      <c r="AZ124" t="inlineStr">
        <is>
          <t>CITIN26608218588</t>
        </is>
      </c>
      <c r="BA124" t="n">
        <v>0</v>
      </c>
      <c r="BB124" t="inlineStr">
        <is>
          <t>f087ce9b82c230492f4d64845ed6f1b3f8a4a03067061c5c2d74620eb9d46096</t>
        </is>
      </c>
    </row>
    <row r="125">
      <c r="A125" t="inlineStr">
        <is>
          <t>120</t>
        </is>
      </c>
      <c r="B125" t="inlineStr">
        <is>
          <t>7690760599</t>
        </is>
      </c>
      <c r="C125" t="inlineStr">
        <is>
          <t>2026-01-14 20:11:21</t>
        </is>
      </c>
      <c r="D125" t="inlineStr">
        <is>
          <t>3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settled</t>
        </is>
      </c>
      <c r="AY125" t="inlineStr">
        <is>
          <t>2026-01-21 05:30:00</t>
        </is>
      </c>
      <c r="AZ125" t="inlineStr">
        <is>
          <t>CITIN26608218588</t>
        </is>
      </c>
      <c r="BA125" t="n">
        <v>0</v>
      </c>
      <c r="BB125" t="inlineStr">
        <is>
          <t>2bbc31bbec3c0a4ea4e924d4aa7ad19ddbf6c65db21b0eb4fe8b54287e1a55ad</t>
        </is>
      </c>
    </row>
    <row r="126">
      <c r="A126" t="inlineStr">
        <is>
          <t>121</t>
        </is>
      </c>
      <c r="B126" t="inlineStr">
        <is>
          <t>7678970248</t>
        </is>
      </c>
      <c r="C126" t="inlineStr">
        <is>
          <t>2026-01-14 20:18:18</t>
        </is>
      </c>
      <c r="D126" t="inlineStr">
        <is>
          <t>3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378</v>
      </c>
      <c r="P126" t="n">
        <v>3.5</v>
      </c>
      <c r="Q126" t="n">
        <v>0</v>
      </c>
      <c r="R126" t="n">
        <v>75</v>
      </c>
      <c r="S126" t="n">
        <v>0</v>
      </c>
      <c r="T126" t="n">
        <v>0</v>
      </c>
      <c r="U126" t="n">
        <v>0</v>
      </c>
      <c r="V126" t="n">
        <v>15.33</v>
      </c>
      <c r="W126" t="n">
        <v>321.83</v>
      </c>
      <c r="X126" t="n">
        <v>306.5</v>
      </c>
      <c r="Y126" t="n">
        <v>19</v>
      </c>
      <c r="Z126" t="n">
        <v>58.24</v>
      </c>
      <c r="AA126" t="n">
        <v>5.92</v>
      </c>
      <c r="AB126" t="n">
        <v>64.16</v>
      </c>
      <c r="AC126" t="n">
        <v>11.55</v>
      </c>
      <c r="AD126" t="n">
        <v>0</v>
      </c>
      <c r="AE126" t="n">
        <v>306.5</v>
      </c>
      <c r="AF126" t="n">
        <v>0</v>
      </c>
      <c r="AG126" t="n">
        <v>0</v>
      </c>
      <c r="AH126" t="n">
        <v>0.31</v>
      </c>
      <c r="AI126" t="n">
        <v>15.33</v>
      </c>
      <c r="AJ126" t="n">
        <v>0</v>
      </c>
      <c r="AK126" t="n">
        <v>27.19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91.34999999999999</v>
      </c>
      <c r="AV126" t="n">
        <v>0</v>
      </c>
      <c r="AW126" t="n">
        <v>230.48</v>
      </c>
      <c r="AX126" t="inlineStr">
        <is>
          <t>settled</t>
        </is>
      </c>
      <c r="AY126" t="inlineStr">
        <is>
          <t>2026-01-21 05:30:00</t>
        </is>
      </c>
      <c r="AZ126" t="inlineStr">
        <is>
          <t>CITIN26608218588</t>
        </is>
      </c>
      <c r="BA126" t="n">
        <v>0</v>
      </c>
      <c r="BB126" t="inlineStr">
        <is>
          <t>60e3a963fcee97daf5d6a55186f24c29731aa0bf36faf02f9040c62f8c9dec66</t>
        </is>
      </c>
    </row>
    <row r="127">
      <c r="A127" t="inlineStr">
        <is>
          <t>122</t>
        </is>
      </c>
      <c r="B127" t="inlineStr">
        <is>
          <t>7688572016</t>
        </is>
      </c>
      <c r="C127" t="inlineStr">
        <is>
          <t>2026-01-14 20:37:41</t>
        </is>
      </c>
      <c r="D127" t="inlineStr">
        <is>
          <t>3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NA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229</v>
      </c>
      <c r="P127" t="n">
        <v>3.5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11.63</v>
      </c>
      <c r="W127" t="n">
        <v>244.13</v>
      </c>
      <c r="X127" t="n">
        <v>232.5</v>
      </c>
      <c r="Y127" t="n">
        <v>19</v>
      </c>
      <c r="Z127" t="n">
        <v>44.18</v>
      </c>
      <c r="AA127" t="n">
        <v>4.49</v>
      </c>
      <c r="AB127" t="n">
        <v>48.67</v>
      </c>
      <c r="AC127" t="n">
        <v>8.76</v>
      </c>
      <c r="AD127" t="n">
        <v>0</v>
      </c>
      <c r="AE127" t="n">
        <v>232.5</v>
      </c>
      <c r="AF127" t="n">
        <v>0</v>
      </c>
      <c r="AG127" t="n">
        <v>0</v>
      </c>
      <c r="AH127" t="n">
        <v>0.23</v>
      </c>
      <c r="AI127" t="n">
        <v>11.63</v>
      </c>
      <c r="AJ127" t="n">
        <v>0</v>
      </c>
      <c r="AK127" t="n">
        <v>20.62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69.29000000000001</v>
      </c>
      <c r="AV127" t="n">
        <v>0</v>
      </c>
      <c r="AW127" t="n">
        <v>174.84</v>
      </c>
      <c r="AX127" t="inlineStr">
        <is>
          <t>settled</t>
        </is>
      </c>
      <c r="AY127" t="inlineStr">
        <is>
          <t>2026-01-21 05:30:00</t>
        </is>
      </c>
      <c r="AZ127" t="inlineStr">
        <is>
          <t>CITIN26608218588</t>
        </is>
      </c>
      <c r="BA127" t="n">
        <v>0</v>
      </c>
      <c r="BB127" t="inlineStr">
        <is>
          <t>fb0cfce0148d84ceee7eed6ea6ad8156509f81f9fb5c7fbba40bc4e758b450ee</t>
        </is>
      </c>
    </row>
    <row r="128">
      <c r="A128" t="inlineStr">
        <is>
          <t>123</t>
        </is>
      </c>
      <c r="B128" t="inlineStr">
        <is>
          <t>7687066755</t>
        </is>
      </c>
      <c r="C128" t="inlineStr">
        <is>
          <t>2026-01-14 20:44:03</t>
        </is>
      </c>
      <c r="D128" t="inlineStr">
        <is>
          <t>3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30% off upto ₹75 (2025-06-25 - 2031-01-01)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219</v>
      </c>
      <c r="P128" t="n">
        <v>3.5</v>
      </c>
      <c r="Q128" t="n">
        <v>0</v>
      </c>
      <c r="R128" t="n">
        <v>65.7</v>
      </c>
      <c r="S128" t="n">
        <v>0</v>
      </c>
      <c r="T128" t="n">
        <v>0</v>
      </c>
      <c r="U128" t="n">
        <v>0</v>
      </c>
      <c r="V128" t="n">
        <v>7.84</v>
      </c>
      <c r="W128" t="n">
        <v>164.64</v>
      </c>
      <c r="X128" t="n">
        <v>156.8</v>
      </c>
      <c r="Y128" t="n">
        <v>19</v>
      </c>
      <c r="Z128" t="n">
        <v>29.79</v>
      </c>
      <c r="AA128" t="n">
        <v>3.03</v>
      </c>
      <c r="AB128" t="n">
        <v>32.82</v>
      </c>
      <c r="AC128" t="n">
        <v>5.91</v>
      </c>
      <c r="AD128" t="n">
        <v>0</v>
      </c>
      <c r="AE128" t="n">
        <v>156.8</v>
      </c>
      <c r="AF128" t="n">
        <v>0</v>
      </c>
      <c r="AG128" t="n">
        <v>0</v>
      </c>
      <c r="AH128" t="n">
        <v>0.16</v>
      </c>
      <c r="AI128" t="n">
        <v>7.85</v>
      </c>
      <c r="AJ128" t="n">
        <v>-0.01</v>
      </c>
      <c r="AK128" t="n">
        <v>13.92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46.74</v>
      </c>
      <c r="AV128" t="n">
        <v>0</v>
      </c>
      <c r="AW128" t="n">
        <v>117.9</v>
      </c>
      <c r="AX128" t="inlineStr">
        <is>
          <t>settled</t>
        </is>
      </c>
      <c r="AY128" t="inlineStr">
        <is>
          <t>2026-01-21 05:30:00</t>
        </is>
      </c>
      <c r="AZ128" t="inlineStr">
        <is>
          <t>CITIN26608218588</t>
        </is>
      </c>
      <c r="BA128" t="n">
        <v>0</v>
      </c>
      <c r="BB128" t="inlineStr">
        <is>
          <t>55bef2348df855faccb3698fc5d1e0a6837cb7d0782497e4bbf6302251058da1</t>
        </is>
      </c>
    </row>
    <row r="129">
      <c r="A129" t="inlineStr">
        <is>
          <t>124</t>
        </is>
      </c>
      <c r="B129" t="inlineStr">
        <is>
          <t>7683236920</t>
        </is>
      </c>
      <c r="C129" t="inlineStr">
        <is>
          <t>2026-01-14 21:05:30</t>
        </is>
      </c>
      <c r="D129" t="inlineStr">
        <is>
          <t>3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229</v>
      </c>
      <c r="P129" t="n">
        <v>3.5</v>
      </c>
      <c r="Q129" t="n">
        <v>0</v>
      </c>
      <c r="R129" t="n">
        <v>68.7</v>
      </c>
      <c r="S129" t="n">
        <v>0</v>
      </c>
      <c r="T129" t="n">
        <v>0</v>
      </c>
      <c r="U129" t="n">
        <v>0</v>
      </c>
      <c r="V129" t="n">
        <v>8.19</v>
      </c>
      <c r="W129" t="n">
        <v>171.99</v>
      </c>
      <c r="X129" t="n">
        <v>163.8</v>
      </c>
      <c r="Y129" t="n">
        <v>19</v>
      </c>
      <c r="Z129" t="n">
        <v>31.12</v>
      </c>
      <c r="AA129" t="n">
        <v>3.16</v>
      </c>
      <c r="AB129" t="n">
        <v>34.28</v>
      </c>
      <c r="AC129" t="n">
        <v>6.17</v>
      </c>
      <c r="AD129" t="n">
        <v>0</v>
      </c>
      <c r="AE129" t="n">
        <v>163.8</v>
      </c>
      <c r="AF129" t="n">
        <v>0</v>
      </c>
      <c r="AG129" t="n">
        <v>0</v>
      </c>
      <c r="AH129" t="n">
        <v>0.16</v>
      </c>
      <c r="AI129" t="n">
        <v>8.199999999999999</v>
      </c>
      <c r="AJ129" t="n">
        <v>-0.01</v>
      </c>
      <c r="AK129" t="n">
        <v>14.53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48.81</v>
      </c>
      <c r="AV129" t="n">
        <v>0</v>
      </c>
      <c r="AW129" t="n">
        <v>123.18</v>
      </c>
      <c r="AX129" t="inlineStr">
        <is>
          <t>settled</t>
        </is>
      </c>
      <c r="AY129" t="inlineStr">
        <is>
          <t>2026-01-21 05:30:00</t>
        </is>
      </c>
      <c r="AZ129" t="inlineStr">
        <is>
          <t>CITIN26608218588</t>
        </is>
      </c>
      <c r="BA129" t="n">
        <v>0</v>
      </c>
      <c r="BB129" t="inlineStr">
        <is>
          <t>19c169837356dda29ad2098f97811adc3df979375d0883a8c58c45f35caaeeae</t>
        </is>
      </c>
    </row>
    <row r="130">
      <c r="A130" t="inlineStr">
        <is>
          <t>125</t>
        </is>
      </c>
      <c r="B130" t="inlineStr">
        <is>
          <t>7689367202</t>
        </is>
      </c>
      <c r="C130" t="inlineStr">
        <is>
          <t>2026-01-14 21:11:33</t>
        </is>
      </c>
      <c r="D130" t="inlineStr">
        <is>
          <t>3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NA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229</v>
      </c>
      <c r="P130" t="n">
        <v>3.5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11.63</v>
      </c>
      <c r="W130" t="n">
        <v>244.13</v>
      </c>
      <c r="X130" t="n">
        <v>232.5</v>
      </c>
      <c r="Y130" t="n">
        <v>19</v>
      </c>
      <c r="Z130" t="n">
        <v>44.18</v>
      </c>
      <c r="AA130" t="n">
        <v>4.49</v>
      </c>
      <c r="AB130" t="n">
        <v>48.67</v>
      </c>
      <c r="AC130" t="n">
        <v>8.76</v>
      </c>
      <c r="AD130" t="n">
        <v>0</v>
      </c>
      <c r="AE130" t="n">
        <v>232.5</v>
      </c>
      <c r="AF130" t="n">
        <v>0</v>
      </c>
      <c r="AG130" t="n">
        <v>0</v>
      </c>
      <c r="AH130" t="n">
        <v>0.23</v>
      </c>
      <c r="AI130" t="n">
        <v>11.63</v>
      </c>
      <c r="AJ130" t="n">
        <v>0</v>
      </c>
      <c r="AK130" t="n">
        <v>20.62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69.29000000000001</v>
      </c>
      <c r="AV130" t="n">
        <v>0</v>
      </c>
      <c r="AW130" t="n">
        <v>174.84</v>
      </c>
      <c r="AX130" t="inlineStr">
        <is>
          <t>settled</t>
        </is>
      </c>
      <c r="AY130" t="inlineStr">
        <is>
          <t>2026-01-21 05:30:00</t>
        </is>
      </c>
      <c r="AZ130" t="inlineStr">
        <is>
          <t>CITIN26608218588</t>
        </is>
      </c>
      <c r="BA130" t="n">
        <v>0</v>
      </c>
      <c r="BB130" t="inlineStr">
        <is>
          <t>fd469e3cae078cdc3dc2daaf02af7cd5adf9782d2d51e7e7ed49bdcb40721aa6</t>
        </is>
      </c>
    </row>
    <row r="131">
      <c r="A131" t="inlineStr">
        <is>
          <t>126</t>
        </is>
      </c>
      <c r="B131" t="inlineStr">
        <is>
          <t>7691365002</t>
        </is>
      </c>
      <c r="C131" t="inlineStr">
        <is>
          <t>2026-01-14 21:20:38</t>
        </is>
      </c>
      <c r="D131" t="inlineStr">
        <is>
          <t>3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30% off upto ₹75 (2025-06-25 - 2031-01-01)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229</v>
      </c>
      <c r="P131" t="n">
        <v>3.5</v>
      </c>
      <c r="Q131" t="n">
        <v>0</v>
      </c>
      <c r="R131" t="n">
        <v>68.7</v>
      </c>
      <c r="S131" t="n">
        <v>0</v>
      </c>
      <c r="T131" t="n">
        <v>0</v>
      </c>
      <c r="U131" t="n">
        <v>0</v>
      </c>
      <c r="V131" t="n">
        <v>8.19</v>
      </c>
      <c r="W131" t="n">
        <v>171.99</v>
      </c>
      <c r="X131" t="n">
        <v>163.8</v>
      </c>
      <c r="Y131" t="n">
        <v>19</v>
      </c>
      <c r="Z131" t="n">
        <v>31.12</v>
      </c>
      <c r="AA131" t="n">
        <v>3.16</v>
      </c>
      <c r="AB131" t="n">
        <v>34.28</v>
      </c>
      <c r="AC131" t="n">
        <v>6.17</v>
      </c>
      <c r="AD131" t="n">
        <v>0</v>
      </c>
      <c r="AE131" t="n">
        <v>163.8</v>
      </c>
      <c r="AF131" t="n">
        <v>0</v>
      </c>
      <c r="AG131" t="n">
        <v>0</v>
      </c>
      <c r="AH131" t="n">
        <v>0.16</v>
      </c>
      <c r="AI131" t="n">
        <v>8.199999999999999</v>
      </c>
      <c r="AJ131" t="n">
        <v>-0.01</v>
      </c>
      <c r="AK131" t="n">
        <v>14.53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48.81</v>
      </c>
      <c r="AV131" t="n">
        <v>0</v>
      </c>
      <c r="AW131" t="n">
        <v>123.18</v>
      </c>
      <c r="AX131" t="inlineStr">
        <is>
          <t>settled</t>
        </is>
      </c>
      <c r="AY131" t="inlineStr">
        <is>
          <t>2026-01-21 05:30:00</t>
        </is>
      </c>
      <c r="AZ131" t="inlineStr">
        <is>
          <t>CITIN26608218588</t>
        </is>
      </c>
      <c r="BA131" t="n">
        <v>0</v>
      </c>
      <c r="BB131" t="inlineStr">
        <is>
          <t>024586b363875c49acb90d0278440715d146a0399dfba9974d74cdc6cd14f5ca</t>
        </is>
      </c>
    </row>
    <row r="132">
      <c r="A132" t="inlineStr">
        <is>
          <t>127</t>
        </is>
      </c>
      <c r="B132" t="inlineStr">
        <is>
          <t>7686211642</t>
        </is>
      </c>
      <c r="C132" t="inlineStr">
        <is>
          <t>2026-01-14 21:46:55</t>
        </is>
      </c>
      <c r="D132" t="inlineStr">
        <is>
          <t>3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2026-01-21 05:30:00</t>
        </is>
      </c>
      <c r="AZ132" t="inlineStr">
        <is>
          <t>CITIN26608218588</t>
        </is>
      </c>
      <c r="BA132" t="n">
        <v>0</v>
      </c>
      <c r="BB132" t="inlineStr">
        <is>
          <t>71effb478dce12411c1abd56e20d07d43a26c776a2d69c0e86090552ea4e7c03</t>
        </is>
      </c>
    </row>
    <row r="133">
      <c r="A133" t="inlineStr">
        <is>
          <t>128</t>
        </is>
      </c>
      <c r="B133" t="inlineStr">
        <is>
          <t>7684149580</t>
        </is>
      </c>
      <c r="C133" t="inlineStr">
        <is>
          <t>2026-01-14 22:03:57</t>
        </is>
      </c>
      <c r="D133" t="inlineStr">
        <is>
          <t>3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229</v>
      </c>
      <c r="P133" t="n">
        <v>3.5</v>
      </c>
      <c r="Q133" t="n">
        <v>0</v>
      </c>
      <c r="R133" t="n">
        <v>68.7</v>
      </c>
      <c r="S133" t="n">
        <v>0</v>
      </c>
      <c r="T133" t="n">
        <v>0</v>
      </c>
      <c r="U133" t="n">
        <v>0</v>
      </c>
      <c r="V133" t="n">
        <v>8.19</v>
      </c>
      <c r="W133" t="n">
        <v>171.99</v>
      </c>
      <c r="X133" t="n">
        <v>163.8</v>
      </c>
      <c r="Y133" t="n">
        <v>19</v>
      </c>
      <c r="Z133" t="n">
        <v>31.12</v>
      </c>
      <c r="AA133" t="n">
        <v>3.16</v>
      </c>
      <c r="AB133" t="n">
        <v>34.28</v>
      </c>
      <c r="AC133" t="n">
        <v>6.17</v>
      </c>
      <c r="AD133" t="n">
        <v>0</v>
      </c>
      <c r="AE133" t="n">
        <v>163.8</v>
      </c>
      <c r="AF133" t="n">
        <v>0</v>
      </c>
      <c r="AG133" t="n">
        <v>0</v>
      </c>
      <c r="AH133" t="n">
        <v>0.16</v>
      </c>
      <c r="AI133" t="n">
        <v>8.199999999999999</v>
      </c>
      <c r="AJ133" t="n">
        <v>-0.01</v>
      </c>
      <c r="AK133" t="n">
        <v>14.53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48.81</v>
      </c>
      <c r="AV133" t="n">
        <v>0</v>
      </c>
      <c r="AW133" t="n">
        <v>123.18</v>
      </c>
      <c r="AX133" t="inlineStr">
        <is>
          <t>settled</t>
        </is>
      </c>
      <c r="AY133" t="inlineStr">
        <is>
          <t>2026-01-21 05:30:00</t>
        </is>
      </c>
      <c r="AZ133" t="inlineStr">
        <is>
          <t>CITIN26608218588</t>
        </is>
      </c>
      <c r="BA133" t="n">
        <v>0</v>
      </c>
      <c r="BB133" t="inlineStr">
        <is>
          <t>bef03bbe09d025cb3350864c4d6d6b07baaaaabf8c7ac4b0abdbdc186d160592</t>
        </is>
      </c>
    </row>
    <row r="134">
      <c r="A134" t="inlineStr">
        <is>
          <t>129</t>
        </is>
      </c>
      <c r="B134" t="inlineStr">
        <is>
          <t>7684659923</t>
        </is>
      </c>
      <c r="C134" t="inlineStr">
        <is>
          <t>2026-01-14 22:23:43</t>
        </is>
      </c>
      <c r="D134" t="inlineStr">
        <is>
          <t>3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30% off upto ₹75 (2025-06-25 - 2031-01-01)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268</v>
      </c>
      <c r="P134" t="n">
        <v>3.5</v>
      </c>
      <c r="Q134" t="n">
        <v>0</v>
      </c>
      <c r="R134" t="n">
        <v>75</v>
      </c>
      <c r="S134" t="n">
        <v>0</v>
      </c>
      <c r="T134" t="n">
        <v>0</v>
      </c>
      <c r="U134" t="n">
        <v>0</v>
      </c>
      <c r="V134" t="n">
        <v>9.83</v>
      </c>
      <c r="W134" t="n">
        <v>206.33</v>
      </c>
      <c r="X134" t="n">
        <v>196.5</v>
      </c>
      <c r="Y134" t="n">
        <v>19</v>
      </c>
      <c r="Z134" t="n">
        <v>37.34</v>
      </c>
      <c r="AA134" t="n">
        <v>3.8</v>
      </c>
      <c r="AB134" t="n">
        <v>41.14</v>
      </c>
      <c r="AC134" t="n">
        <v>7.4</v>
      </c>
      <c r="AD134" t="n">
        <v>0</v>
      </c>
      <c r="AE134" t="n">
        <v>196.5</v>
      </c>
      <c r="AF134" t="n">
        <v>0</v>
      </c>
      <c r="AG134" t="n">
        <v>0</v>
      </c>
      <c r="AH134" t="n">
        <v>0.2</v>
      </c>
      <c r="AI134" t="n">
        <v>9.83</v>
      </c>
      <c r="AJ134" t="n">
        <v>0</v>
      </c>
      <c r="AK134" t="n">
        <v>17.43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58.57</v>
      </c>
      <c r="AV134" t="n">
        <v>0</v>
      </c>
      <c r="AW134" t="n">
        <v>147.76</v>
      </c>
      <c r="AX134" t="inlineStr">
        <is>
          <t>settled</t>
        </is>
      </c>
      <c r="AY134" t="inlineStr">
        <is>
          <t>2026-01-21 05:30:00</t>
        </is>
      </c>
      <c r="AZ134" t="inlineStr">
        <is>
          <t>CITIN26608218588</t>
        </is>
      </c>
      <c r="BA134" t="n">
        <v>0</v>
      </c>
      <c r="BB134" t="inlineStr">
        <is>
          <t>911de08225c84d5ef5c96d63fdf01a71d69fe964f6fb1a538e2d99c13cb6439c</t>
        </is>
      </c>
    </row>
    <row r="135">
      <c r="A135" t="inlineStr">
        <is>
          <t>130</t>
        </is>
      </c>
      <c r="B135" t="inlineStr">
        <is>
          <t>7691427971</t>
        </is>
      </c>
      <c r="C135" t="inlineStr">
        <is>
          <t>2026-01-14 22:28:37</t>
        </is>
      </c>
      <c r="D135" t="inlineStr">
        <is>
          <t>3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NA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219</v>
      </c>
      <c r="P135" t="n">
        <v>3.5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11.13</v>
      </c>
      <c r="W135" t="n">
        <v>233.63</v>
      </c>
      <c r="X135" t="n">
        <v>222.5</v>
      </c>
      <c r="Y135" t="n">
        <v>19</v>
      </c>
      <c r="Z135" t="n">
        <v>42.28</v>
      </c>
      <c r="AA135" t="n">
        <v>4.3</v>
      </c>
      <c r="AB135" t="n">
        <v>46.58</v>
      </c>
      <c r="AC135" t="n">
        <v>8.380000000000001</v>
      </c>
      <c r="AD135" t="n">
        <v>0</v>
      </c>
      <c r="AE135" t="n">
        <v>222.5</v>
      </c>
      <c r="AF135" t="n">
        <v>0</v>
      </c>
      <c r="AG135" t="n">
        <v>0</v>
      </c>
      <c r="AH135" t="n">
        <v>0.22</v>
      </c>
      <c r="AI135" t="n">
        <v>11.13</v>
      </c>
      <c r="AJ135" t="n">
        <v>0</v>
      </c>
      <c r="AK135" t="n">
        <v>19.73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66.31</v>
      </c>
      <c r="AV135" t="n">
        <v>0</v>
      </c>
      <c r="AW135" t="n">
        <v>167.32</v>
      </c>
      <c r="AX135" t="inlineStr">
        <is>
          <t>settled</t>
        </is>
      </c>
      <c r="AY135" t="inlineStr">
        <is>
          <t>2026-01-21 05:30:00</t>
        </is>
      </c>
      <c r="AZ135" t="inlineStr">
        <is>
          <t>CITIN26608218588</t>
        </is>
      </c>
      <c r="BA135" t="n">
        <v>0</v>
      </c>
      <c r="BB135" t="inlineStr">
        <is>
          <t>987a689e7402e09365b10d2803a3fb55e83527058d98825866755240d814736a</t>
        </is>
      </c>
    </row>
    <row r="136">
      <c r="A136" t="inlineStr">
        <is>
          <t>131</t>
        </is>
      </c>
      <c r="B136" t="inlineStr">
        <is>
          <t>7689063603</t>
        </is>
      </c>
      <c r="C136" t="inlineStr">
        <is>
          <t>2026-01-14 23:13:58</t>
        </is>
      </c>
      <c r="D136" t="inlineStr">
        <is>
          <t>3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229</v>
      </c>
      <c r="P136" t="n">
        <v>3.5</v>
      </c>
      <c r="Q136" t="n">
        <v>0</v>
      </c>
      <c r="R136" t="n">
        <v>68.7</v>
      </c>
      <c r="S136" t="n">
        <v>0</v>
      </c>
      <c r="T136" t="n">
        <v>0</v>
      </c>
      <c r="U136" t="n">
        <v>0</v>
      </c>
      <c r="V136" t="n">
        <v>8.19</v>
      </c>
      <c r="W136" t="n">
        <v>171.99</v>
      </c>
      <c r="X136" t="n">
        <v>163.8</v>
      </c>
      <c r="Y136" t="n">
        <v>19</v>
      </c>
      <c r="Z136" t="n">
        <v>31.12</v>
      </c>
      <c r="AA136" t="n">
        <v>3.16</v>
      </c>
      <c r="AB136" t="n">
        <v>34.28</v>
      </c>
      <c r="AC136" t="n">
        <v>6.17</v>
      </c>
      <c r="AD136" t="n">
        <v>0</v>
      </c>
      <c r="AE136" t="n">
        <v>163.8</v>
      </c>
      <c r="AF136" t="n">
        <v>0</v>
      </c>
      <c r="AG136" t="n">
        <v>0</v>
      </c>
      <c r="AH136" t="n">
        <v>0.16</v>
      </c>
      <c r="AI136" t="n">
        <v>8.199999999999999</v>
      </c>
      <c r="AJ136" t="n">
        <v>-0.01</v>
      </c>
      <c r="AK136" t="n">
        <v>14.53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48.81</v>
      </c>
      <c r="AV136" t="n">
        <v>0</v>
      </c>
      <c r="AW136" t="n">
        <v>123.18</v>
      </c>
      <c r="AX136" t="inlineStr">
        <is>
          <t>settled</t>
        </is>
      </c>
      <c r="AY136" t="inlineStr">
        <is>
          <t>2026-01-21 05:30:00</t>
        </is>
      </c>
      <c r="AZ136" t="inlineStr">
        <is>
          <t>CITIN26608218588</t>
        </is>
      </c>
      <c r="BA136" t="n">
        <v>0</v>
      </c>
      <c r="BB136" t="inlineStr">
        <is>
          <t>3ec256febb8db04f9ba5e90c8314f75ba7fa158d040f03912d8877bf7cf403d4</t>
        </is>
      </c>
    </row>
    <row r="137">
      <c r="A137" t="inlineStr">
        <is>
          <t>132</t>
        </is>
      </c>
      <c r="B137" t="inlineStr">
        <is>
          <t>7692606159</t>
        </is>
      </c>
      <c r="C137" t="inlineStr">
        <is>
          <t>2026-01-14 23:55:17</t>
        </is>
      </c>
      <c r="D137" t="inlineStr">
        <is>
          <t>3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219</v>
      </c>
      <c r="P137" t="n">
        <v>3.5</v>
      </c>
      <c r="Q137" t="n">
        <v>0</v>
      </c>
      <c r="R137" t="n">
        <v>65.7</v>
      </c>
      <c r="S137" t="n">
        <v>0</v>
      </c>
      <c r="T137" t="n">
        <v>0</v>
      </c>
      <c r="U137" t="n">
        <v>0</v>
      </c>
      <c r="V137" t="n">
        <v>7.84</v>
      </c>
      <c r="W137" t="n">
        <v>164.64</v>
      </c>
      <c r="X137" t="n">
        <v>156.8</v>
      </c>
      <c r="Y137" t="n">
        <v>19</v>
      </c>
      <c r="Z137" t="n">
        <v>29.79</v>
      </c>
      <c r="AA137" t="n">
        <v>3.03</v>
      </c>
      <c r="AB137" t="n">
        <v>32.82</v>
      </c>
      <c r="AC137" t="n">
        <v>5.91</v>
      </c>
      <c r="AD137" t="n">
        <v>0</v>
      </c>
      <c r="AE137" t="n">
        <v>156.8</v>
      </c>
      <c r="AF137" t="n">
        <v>0</v>
      </c>
      <c r="AG137" t="n">
        <v>0</v>
      </c>
      <c r="AH137" t="n">
        <v>0.16</v>
      </c>
      <c r="AI137" t="n">
        <v>7.85</v>
      </c>
      <c r="AJ137" t="n">
        <v>-0.01</v>
      </c>
      <c r="AK137" t="n">
        <v>13.92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46.74</v>
      </c>
      <c r="AV137" t="n">
        <v>0</v>
      </c>
      <c r="AW137" t="n">
        <v>117.9</v>
      </c>
      <c r="AX137" t="inlineStr">
        <is>
          <t>settled</t>
        </is>
      </c>
      <c r="AY137" t="inlineStr">
        <is>
          <t>2026-01-21 05:30:00</t>
        </is>
      </c>
      <c r="AZ137" t="inlineStr">
        <is>
          <t>CITIN26608218588</t>
        </is>
      </c>
      <c r="BA137" t="n">
        <v>0</v>
      </c>
      <c r="BB137" t="inlineStr">
        <is>
          <t>cc5da39cdfaed2404b762f1f0fe3b3e658de3fa532329e2df5c4ce982a639696</t>
        </is>
      </c>
    </row>
    <row r="138">
      <c r="A138" t="inlineStr">
        <is>
          <t>133</t>
        </is>
      </c>
      <c r="B138" t="inlineStr">
        <is>
          <t>7690569212</t>
        </is>
      </c>
      <c r="C138" t="inlineStr">
        <is>
          <t>2026-01-15 00:04:56</t>
        </is>
      </c>
      <c r="D138" t="inlineStr">
        <is>
          <t>3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229</v>
      </c>
      <c r="P138" t="n">
        <v>3.5</v>
      </c>
      <c r="Q138" t="n">
        <v>0</v>
      </c>
      <c r="R138" t="n">
        <v>68.7</v>
      </c>
      <c r="S138" t="n">
        <v>0</v>
      </c>
      <c r="T138" t="n">
        <v>0</v>
      </c>
      <c r="U138" t="n">
        <v>0</v>
      </c>
      <c r="V138" t="n">
        <v>8.19</v>
      </c>
      <c r="W138" t="n">
        <v>171.99</v>
      </c>
      <c r="X138" t="n">
        <v>163.8</v>
      </c>
      <c r="Y138" t="n">
        <v>19</v>
      </c>
      <c r="Z138" t="n">
        <v>31.12</v>
      </c>
      <c r="AA138" t="n">
        <v>3.16</v>
      </c>
      <c r="AB138" t="n">
        <v>34.28</v>
      </c>
      <c r="AC138" t="n">
        <v>6.17</v>
      </c>
      <c r="AD138" t="n">
        <v>0</v>
      </c>
      <c r="AE138" t="n">
        <v>163.8</v>
      </c>
      <c r="AF138" t="n">
        <v>0</v>
      </c>
      <c r="AG138" t="n">
        <v>0</v>
      </c>
      <c r="AH138" t="n">
        <v>0.16</v>
      </c>
      <c r="AI138" t="n">
        <v>8.199999999999999</v>
      </c>
      <c r="AJ138" t="n">
        <v>-0.01</v>
      </c>
      <c r="AK138" t="n">
        <v>14.53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48.81</v>
      </c>
      <c r="AV138" t="n">
        <v>0</v>
      </c>
      <c r="AW138" t="n">
        <v>123.18</v>
      </c>
      <c r="AX138" t="inlineStr">
        <is>
          <t>settled</t>
        </is>
      </c>
      <c r="AY138" t="inlineStr">
        <is>
          <t>2026-01-21 05:30:00</t>
        </is>
      </c>
      <c r="AZ138" t="inlineStr">
        <is>
          <t>CITIN26608218588</t>
        </is>
      </c>
      <c r="BA138" t="n">
        <v>0</v>
      </c>
      <c r="BB138" t="inlineStr">
        <is>
          <t>7ec0cb084810a75aac2a7cd374813c0b033ae6487813ece2ec91d19d87b86930</t>
        </is>
      </c>
    </row>
    <row r="139">
      <c r="A139" t="inlineStr">
        <is>
          <t>134</t>
        </is>
      </c>
      <c r="B139" t="inlineStr">
        <is>
          <t>7691999718</t>
        </is>
      </c>
      <c r="C139" t="inlineStr">
        <is>
          <t>2026-01-15 00:15:34</t>
        </is>
      </c>
      <c r="D139" t="inlineStr">
        <is>
          <t>3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239</v>
      </c>
      <c r="P139" t="n">
        <v>3.5</v>
      </c>
      <c r="Q139" t="n">
        <v>0</v>
      </c>
      <c r="R139" t="n">
        <v>71.7</v>
      </c>
      <c r="S139" t="n">
        <v>0</v>
      </c>
      <c r="T139" t="n">
        <v>0</v>
      </c>
      <c r="U139" t="n">
        <v>0</v>
      </c>
      <c r="V139" t="n">
        <v>8.539999999999999</v>
      </c>
      <c r="W139" t="n">
        <v>179.34</v>
      </c>
      <c r="X139" t="n">
        <v>170.8</v>
      </c>
      <c r="Y139" t="n">
        <v>19</v>
      </c>
      <c r="Z139" t="n">
        <v>32.45</v>
      </c>
      <c r="AA139" t="n">
        <v>3.3</v>
      </c>
      <c r="AB139" t="n">
        <v>35.75</v>
      </c>
      <c r="AC139" t="n">
        <v>6.43</v>
      </c>
      <c r="AD139" t="n">
        <v>0</v>
      </c>
      <c r="AE139" t="n">
        <v>170.8</v>
      </c>
      <c r="AF139" t="n">
        <v>0</v>
      </c>
      <c r="AG139" t="n">
        <v>0</v>
      </c>
      <c r="AH139" t="n">
        <v>0.17</v>
      </c>
      <c r="AI139" t="n">
        <v>8.550000000000001</v>
      </c>
      <c r="AJ139" t="n">
        <v>-0.01</v>
      </c>
      <c r="AK139" t="n">
        <v>15.15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50.9</v>
      </c>
      <c r="AV139" t="n">
        <v>0</v>
      </c>
      <c r="AW139" t="n">
        <v>128.44</v>
      </c>
      <c r="AX139" t="inlineStr">
        <is>
          <t>settled</t>
        </is>
      </c>
      <c r="AY139" t="inlineStr">
        <is>
          <t>2026-01-21 05:30:00</t>
        </is>
      </c>
      <c r="AZ139" t="inlineStr">
        <is>
          <t>CITIN26608218588</t>
        </is>
      </c>
      <c r="BA139" t="n">
        <v>0</v>
      </c>
      <c r="BB139" t="inlineStr">
        <is>
          <t>22fd49b69bfbde2da0b563b4eddf3f7b5320794ca6fc13cf6d290686bcb4ced9</t>
        </is>
      </c>
    </row>
    <row r="140">
      <c r="A140" t="inlineStr">
        <is>
          <t>135</t>
        </is>
      </c>
      <c r="B140" t="inlineStr">
        <is>
          <t>7684981481</t>
        </is>
      </c>
      <c r="C140" t="inlineStr">
        <is>
          <t>2026-01-15 00:37:43</t>
        </is>
      </c>
      <c r="D140" t="inlineStr">
        <is>
          <t>3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NA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219</v>
      </c>
      <c r="P140" t="n">
        <v>3.5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11.13</v>
      </c>
      <c r="W140" t="n">
        <v>233.63</v>
      </c>
      <c r="X140" t="n">
        <v>222.5</v>
      </c>
      <c r="Y140" t="n">
        <v>19</v>
      </c>
      <c r="Z140" t="n">
        <v>42.28</v>
      </c>
      <c r="AA140" t="n">
        <v>4.3</v>
      </c>
      <c r="AB140" t="n">
        <v>46.58</v>
      </c>
      <c r="AC140" t="n">
        <v>8.380000000000001</v>
      </c>
      <c r="AD140" t="n">
        <v>0</v>
      </c>
      <c r="AE140" t="n">
        <v>222.5</v>
      </c>
      <c r="AF140" t="n">
        <v>0</v>
      </c>
      <c r="AG140" t="n">
        <v>0</v>
      </c>
      <c r="AH140" t="n">
        <v>0.22</v>
      </c>
      <c r="AI140" t="n">
        <v>11.13</v>
      </c>
      <c r="AJ140" t="n">
        <v>0</v>
      </c>
      <c r="AK140" t="n">
        <v>19.73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66.31</v>
      </c>
      <c r="AV140" t="n">
        <v>0</v>
      </c>
      <c r="AW140" t="n">
        <v>167.32</v>
      </c>
      <c r="AX140" t="inlineStr">
        <is>
          <t>settled</t>
        </is>
      </c>
      <c r="AY140" t="inlineStr">
        <is>
          <t>2026-01-21 05:30:00</t>
        </is>
      </c>
      <c r="AZ140" t="inlineStr">
        <is>
          <t>CITIN26608218588</t>
        </is>
      </c>
      <c r="BA140" t="n">
        <v>0</v>
      </c>
      <c r="BB140" t="inlineStr">
        <is>
          <t>1b9ad2fc28e6ea3b39c5a13ee661f1c7039a2ef607f831be9835962fe0679ee7</t>
        </is>
      </c>
    </row>
    <row r="141">
      <c r="A141" t="inlineStr">
        <is>
          <t>136</t>
        </is>
      </c>
      <c r="B141" t="inlineStr">
        <is>
          <t>7681195303</t>
        </is>
      </c>
      <c r="C141" t="inlineStr">
        <is>
          <t>2026-01-15 00:41:02</t>
        </is>
      </c>
      <c r="D141" t="inlineStr">
        <is>
          <t>3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30% off upto ₹75 (2025-06-25 - 2031-01-01)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418</v>
      </c>
      <c r="P141" t="n">
        <v>3.5</v>
      </c>
      <c r="Q141" t="n">
        <v>0</v>
      </c>
      <c r="R141" t="n">
        <v>75</v>
      </c>
      <c r="S141" t="n">
        <v>0</v>
      </c>
      <c r="T141" t="n">
        <v>0</v>
      </c>
      <c r="U141" t="n">
        <v>0</v>
      </c>
      <c r="V141" t="n">
        <v>17.33</v>
      </c>
      <c r="W141" t="n">
        <v>363.83</v>
      </c>
      <c r="X141" t="n">
        <v>346.5</v>
      </c>
      <c r="Y141" t="n">
        <v>19</v>
      </c>
      <c r="Z141" t="n">
        <v>65.84</v>
      </c>
      <c r="AA141" t="n">
        <v>6.69</v>
      </c>
      <c r="AB141" t="n">
        <v>72.53</v>
      </c>
      <c r="AC141" t="n">
        <v>13.05</v>
      </c>
      <c r="AD141" t="n">
        <v>0</v>
      </c>
      <c r="AE141" t="n">
        <v>346.5</v>
      </c>
      <c r="AF141" t="n">
        <v>0</v>
      </c>
      <c r="AG141" t="n">
        <v>0</v>
      </c>
      <c r="AH141" t="n">
        <v>0.35</v>
      </c>
      <c r="AI141" t="n">
        <v>17.33</v>
      </c>
      <c r="AJ141" t="n">
        <v>0</v>
      </c>
      <c r="AK141" t="n">
        <v>30.73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103.26</v>
      </c>
      <c r="AV141" t="n">
        <v>0</v>
      </c>
      <c r="AW141" t="n">
        <v>260.57</v>
      </c>
      <c r="AX141" t="inlineStr">
        <is>
          <t>settled</t>
        </is>
      </c>
      <c r="AY141" t="inlineStr">
        <is>
          <t>2026-01-21 05:30:00</t>
        </is>
      </c>
      <c r="AZ141" t="inlineStr">
        <is>
          <t>CITIN26608218588</t>
        </is>
      </c>
      <c r="BA141" t="n">
        <v>0</v>
      </c>
      <c r="BB141" t="inlineStr">
        <is>
          <t>65533112fa5760306066cf879d415afa5f105def07fcc833dcd0bc8e278c5d85</t>
        </is>
      </c>
    </row>
    <row r="142">
      <c r="A142" t="inlineStr">
        <is>
          <t>137</t>
        </is>
      </c>
      <c r="B142" t="inlineStr">
        <is>
          <t>7690500519</t>
        </is>
      </c>
      <c r="C142" t="inlineStr">
        <is>
          <t>2026-01-15 00:47:52</t>
        </is>
      </c>
      <c r="D142" t="inlineStr">
        <is>
          <t>3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NA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687</v>
      </c>
      <c r="P142" t="n">
        <v>3.5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34.53</v>
      </c>
      <c r="W142" t="n">
        <v>725.03</v>
      </c>
      <c r="X142" t="n">
        <v>690.5</v>
      </c>
      <c r="Y142" t="n">
        <v>19</v>
      </c>
      <c r="Z142" t="n">
        <v>131.2</v>
      </c>
      <c r="AA142" t="n">
        <v>13.34</v>
      </c>
      <c r="AB142" t="n">
        <v>144.54</v>
      </c>
      <c r="AC142" t="n">
        <v>26.02</v>
      </c>
      <c r="AD142" t="n">
        <v>0</v>
      </c>
      <c r="AE142" t="n">
        <v>690.5</v>
      </c>
      <c r="AF142" t="n">
        <v>0</v>
      </c>
      <c r="AG142" t="n">
        <v>0</v>
      </c>
      <c r="AH142" t="n">
        <v>0.6899999999999999</v>
      </c>
      <c r="AI142" t="n">
        <v>34.53</v>
      </c>
      <c r="AJ142" t="n">
        <v>0</v>
      </c>
      <c r="AK142" t="n">
        <v>61.24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205.78</v>
      </c>
      <c r="AV142" t="n">
        <v>0</v>
      </c>
      <c r="AW142" t="n">
        <v>519.25</v>
      </c>
      <c r="AX142" t="inlineStr">
        <is>
          <t>settled</t>
        </is>
      </c>
      <c r="AY142" t="inlineStr">
        <is>
          <t>2026-01-21 05:30:00</t>
        </is>
      </c>
      <c r="AZ142" t="inlineStr">
        <is>
          <t>CITIN26608218588</t>
        </is>
      </c>
      <c r="BA142" t="n">
        <v>0</v>
      </c>
      <c r="BB142" t="inlineStr">
        <is>
          <t>c53ae54b2a82bf43a1b78b5c1f7cc039928c3801869b43ee30c618ba7273147f</t>
        </is>
      </c>
    </row>
    <row r="143">
      <c r="A143" t="inlineStr">
        <is>
          <t>138</t>
        </is>
      </c>
      <c r="B143" t="inlineStr">
        <is>
          <t>7690591408</t>
        </is>
      </c>
      <c r="C143" t="inlineStr">
        <is>
          <t>2026-01-15 01:35:37</t>
        </is>
      </c>
      <c r="D143" t="inlineStr">
        <is>
          <t>3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30% off upto ₹75 (2025-06-25 - 2031-01-01)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229</v>
      </c>
      <c r="P143" t="n">
        <v>3.5</v>
      </c>
      <c r="Q143" t="n">
        <v>0</v>
      </c>
      <c r="R143" t="n">
        <v>68.7</v>
      </c>
      <c r="S143" t="n">
        <v>0</v>
      </c>
      <c r="T143" t="n">
        <v>0</v>
      </c>
      <c r="U143" t="n">
        <v>0</v>
      </c>
      <c r="V143" t="n">
        <v>8.19</v>
      </c>
      <c r="W143" t="n">
        <v>171.99</v>
      </c>
      <c r="X143" t="n">
        <v>163.8</v>
      </c>
      <c r="Y143" t="n">
        <v>19</v>
      </c>
      <c r="Z143" t="n">
        <v>31.12</v>
      </c>
      <c r="AA143" t="n">
        <v>3.16</v>
      </c>
      <c r="AB143" t="n">
        <v>34.28</v>
      </c>
      <c r="AC143" t="n">
        <v>6.17</v>
      </c>
      <c r="AD143" t="n">
        <v>0</v>
      </c>
      <c r="AE143" t="n">
        <v>163.8</v>
      </c>
      <c r="AF143" t="n">
        <v>0</v>
      </c>
      <c r="AG143" t="n">
        <v>0</v>
      </c>
      <c r="AH143" t="n">
        <v>0.16</v>
      </c>
      <c r="AI143" t="n">
        <v>8.199999999999999</v>
      </c>
      <c r="AJ143" t="n">
        <v>-0.01</v>
      </c>
      <c r="AK143" t="n">
        <v>14.53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48.81</v>
      </c>
      <c r="AV143" t="n">
        <v>0</v>
      </c>
      <c r="AW143" t="n">
        <v>123.18</v>
      </c>
      <c r="AX143" t="inlineStr">
        <is>
          <t>settled</t>
        </is>
      </c>
      <c r="AY143" t="inlineStr">
        <is>
          <t>2026-01-21 05:30:00</t>
        </is>
      </c>
      <c r="AZ143" t="inlineStr">
        <is>
          <t>CITIN26608218588</t>
        </is>
      </c>
      <c r="BA143" t="n">
        <v>0</v>
      </c>
      <c r="BB143" t="inlineStr">
        <is>
          <t>033673349bf44acf980ad0c24ff57a2582510ce2c0de465b31d4c7a782f15ab8</t>
        </is>
      </c>
    </row>
    <row r="144">
      <c r="A144" t="inlineStr">
        <is>
          <t>139</t>
        </is>
      </c>
      <c r="B144" t="inlineStr">
        <is>
          <t>7692531836</t>
        </is>
      </c>
      <c r="C144" t="inlineStr">
        <is>
          <t>2026-01-15 01:38:52</t>
        </is>
      </c>
      <c r="D144" t="inlineStr">
        <is>
          <t>3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355</v>
      </c>
      <c r="P144" t="n">
        <v>3.5</v>
      </c>
      <c r="Q144" t="n">
        <v>0</v>
      </c>
      <c r="R144" t="n">
        <v>75</v>
      </c>
      <c r="S144" t="n">
        <v>0</v>
      </c>
      <c r="T144" t="n">
        <v>0</v>
      </c>
      <c r="U144" t="n">
        <v>0</v>
      </c>
      <c r="V144" t="n">
        <v>14.18</v>
      </c>
      <c r="W144" t="n">
        <v>297.68</v>
      </c>
      <c r="X144" t="n">
        <v>283.5</v>
      </c>
      <c r="Y144" t="n">
        <v>19</v>
      </c>
      <c r="Z144" t="n">
        <v>53.86</v>
      </c>
      <c r="AA144" t="n">
        <v>5.48</v>
      </c>
      <c r="AB144" t="n">
        <v>59.34</v>
      </c>
      <c r="AC144" t="n">
        <v>10.68</v>
      </c>
      <c r="AD144" t="n">
        <v>0</v>
      </c>
      <c r="AE144" t="n">
        <v>283.5</v>
      </c>
      <c r="AF144" t="n">
        <v>0</v>
      </c>
      <c r="AG144" t="n">
        <v>0</v>
      </c>
      <c r="AH144" t="n">
        <v>0.28</v>
      </c>
      <c r="AI144" t="n">
        <v>14.18</v>
      </c>
      <c r="AJ144" t="n">
        <v>0</v>
      </c>
      <c r="AK144" t="n">
        <v>25.14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84.48</v>
      </c>
      <c r="AV144" t="n">
        <v>0</v>
      </c>
      <c r="AW144" t="n">
        <v>213.2</v>
      </c>
      <c r="AX144" t="inlineStr">
        <is>
          <t>settled</t>
        </is>
      </c>
      <c r="AY144" t="inlineStr">
        <is>
          <t>2026-01-21 05:30:00</t>
        </is>
      </c>
      <c r="AZ144" t="inlineStr">
        <is>
          <t>CITIN26608218588</t>
        </is>
      </c>
      <c r="BA144" t="n">
        <v>0</v>
      </c>
      <c r="BB144" t="inlineStr">
        <is>
          <t>95bcc0f9a9b4774692436386a4af0d291a58fe64b98f84613df7daf73795b1fe</t>
        </is>
      </c>
    </row>
    <row r="145">
      <c r="A145" t="inlineStr">
        <is>
          <t>140</t>
        </is>
      </c>
      <c r="B145" t="inlineStr">
        <is>
          <t>7680479798</t>
        </is>
      </c>
      <c r="C145" t="inlineStr">
        <is>
          <t>2026-01-15 01:41:59</t>
        </is>
      </c>
      <c r="D145" t="inlineStr">
        <is>
          <t>3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NA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11.63</v>
      </c>
      <c r="W145" t="n">
        <v>244.13</v>
      </c>
      <c r="X145" t="n">
        <v>232.5</v>
      </c>
      <c r="Y145" t="n">
        <v>19</v>
      </c>
      <c r="Z145" t="n">
        <v>44.18</v>
      </c>
      <c r="AA145" t="n">
        <v>4.49</v>
      </c>
      <c r="AB145" t="n">
        <v>48.67</v>
      </c>
      <c r="AC145" t="n">
        <v>8.76</v>
      </c>
      <c r="AD145" t="n">
        <v>0</v>
      </c>
      <c r="AE145" t="n">
        <v>232.5</v>
      </c>
      <c r="AF145" t="n">
        <v>0</v>
      </c>
      <c r="AG145" t="n">
        <v>0</v>
      </c>
      <c r="AH145" t="n">
        <v>0.23</v>
      </c>
      <c r="AI145" t="n">
        <v>11.63</v>
      </c>
      <c r="AJ145" t="n">
        <v>0</v>
      </c>
      <c r="AK145" t="n">
        <v>20.62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69.29000000000001</v>
      </c>
      <c r="AV145" t="n">
        <v>0</v>
      </c>
      <c r="AW145" t="n">
        <v>174.84</v>
      </c>
      <c r="AX145" t="inlineStr">
        <is>
          <t>settled</t>
        </is>
      </c>
      <c r="AY145" t="inlineStr">
        <is>
          <t>2026-01-21 05:30:00</t>
        </is>
      </c>
      <c r="AZ145" t="inlineStr">
        <is>
          <t>CITIN26608218588</t>
        </is>
      </c>
      <c r="BA145" t="n">
        <v>0</v>
      </c>
      <c r="BB145" t="inlineStr">
        <is>
          <t>c4091d6e20bde075a54a0c9c6ce5cd5016eebacf91ae883204721c1c6f02ac97</t>
        </is>
      </c>
    </row>
    <row r="146">
      <c r="A146" t="inlineStr">
        <is>
          <t>141</t>
        </is>
      </c>
      <c r="B146" t="inlineStr">
        <is>
          <t>7688448188</t>
        </is>
      </c>
      <c r="C146" t="inlineStr">
        <is>
          <t>2026-01-15 01:48:20</t>
        </is>
      </c>
      <c r="D146" t="inlineStr">
        <is>
          <t>3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NA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11.63</v>
      </c>
      <c r="W146" t="n">
        <v>244.13</v>
      </c>
      <c r="X146" t="n">
        <v>232.5</v>
      </c>
      <c r="Y146" t="n">
        <v>19</v>
      </c>
      <c r="Z146" t="n">
        <v>44.18</v>
      </c>
      <c r="AA146" t="n">
        <v>4.49</v>
      </c>
      <c r="AB146" t="n">
        <v>48.67</v>
      </c>
      <c r="AC146" t="n">
        <v>8.76</v>
      </c>
      <c r="AD146" t="n">
        <v>0</v>
      </c>
      <c r="AE146" t="n">
        <v>232.5</v>
      </c>
      <c r="AF146" t="n">
        <v>0</v>
      </c>
      <c r="AG146" t="n">
        <v>0</v>
      </c>
      <c r="AH146" t="n">
        <v>0.23</v>
      </c>
      <c r="AI146" t="n">
        <v>11.63</v>
      </c>
      <c r="AJ146" t="n">
        <v>0</v>
      </c>
      <c r="AK146" t="n">
        <v>20.62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69.29000000000001</v>
      </c>
      <c r="AV146" t="n">
        <v>0</v>
      </c>
      <c r="AW146" t="n">
        <v>174.84</v>
      </c>
      <c r="AX146" t="inlineStr">
        <is>
          <t>settled</t>
        </is>
      </c>
      <c r="AY146" t="inlineStr">
        <is>
          <t>2026-01-21 05:30:00</t>
        </is>
      </c>
      <c r="AZ146" t="inlineStr">
        <is>
          <t>CITIN26608218588</t>
        </is>
      </c>
      <c r="BA146" t="n">
        <v>0</v>
      </c>
      <c r="BB146" t="inlineStr">
        <is>
          <t>c4091d6e20bde075a54a0c9c6ce5cd5016eebacf91ae883204721c1c6f02ac97</t>
        </is>
      </c>
    </row>
    <row r="147">
      <c r="A147" t="inlineStr">
        <is>
          <t>142</t>
        </is>
      </c>
      <c r="B147" t="inlineStr">
        <is>
          <t>7691485399</t>
        </is>
      </c>
      <c r="C147" t="inlineStr">
        <is>
          <t>2026-01-15 02:12:12</t>
        </is>
      </c>
      <c r="D147" t="inlineStr">
        <is>
          <t>3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30% off upto ₹75 (2025-06-25 - 2031-01-01)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348</v>
      </c>
      <c r="P147" t="n">
        <v>3.5</v>
      </c>
      <c r="Q147" t="n">
        <v>0</v>
      </c>
      <c r="R147" t="n">
        <v>75</v>
      </c>
      <c r="S147" t="n">
        <v>0</v>
      </c>
      <c r="T147" t="n">
        <v>0</v>
      </c>
      <c r="U147" t="n">
        <v>0</v>
      </c>
      <c r="V147" t="n">
        <v>13.83</v>
      </c>
      <c r="W147" t="n">
        <v>290.33</v>
      </c>
      <c r="X147" t="n">
        <v>276.5</v>
      </c>
      <c r="Y147" t="n">
        <v>19</v>
      </c>
      <c r="Z147" t="n">
        <v>52.54</v>
      </c>
      <c r="AA147" t="n">
        <v>5.34</v>
      </c>
      <c r="AB147" t="n">
        <v>57.88</v>
      </c>
      <c r="AC147" t="n">
        <v>10.42</v>
      </c>
      <c r="AD147" t="n">
        <v>0</v>
      </c>
      <c r="AE147" t="n">
        <v>276.5</v>
      </c>
      <c r="AF147" t="n">
        <v>0</v>
      </c>
      <c r="AG147" t="n">
        <v>0</v>
      </c>
      <c r="AH147" t="n">
        <v>0.28</v>
      </c>
      <c r="AI147" t="n">
        <v>13.83</v>
      </c>
      <c r="AJ147" t="n">
        <v>0</v>
      </c>
      <c r="AK147" t="n">
        <v>24.53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82.41</v>
      </c>
      <c r="AV147" t="n">
        <v>0</v>
      </c>
      <c r="AW147" t="n">
        <v>207.92</v>
      </c>
      <c r="AX147" t="inlineStr">
        <is>
          <t>settled</t>
        </is>
      </c>
      <c r="AY147" t="inlineStr">
        <is>
          <t>2026-01-21 05:30:00</t>
        </is>
      </c>
      <c r="AZ147" t="inlineStr">
        <is>
          <t>CITIN26608218588</t>
        </is>
      </c>
      <c r="BA147" t="n">
        <v>0</v>
      </c>
      <c r="BB147" t="inlineStr">
        <is>
          <t>7f5c5994a6fcf1c1b188b350bb5c426a4ea01d056107cea039cccb483bd749b7</t>
        </is>
      </c>
    </row>
    <row r="148">
      <c r="A148" t="inlineStr">
        <is>
          <t>143</t>
        </is>
      </c>
      <c r="B148" t="inlineStr">
        <is>
          <t>7689561435</t>
        </is>
      </c>
      <c r="C148" t="inlineStr">
        <is>
          <t>2026-01-15 02:48:08</t>
        </is>
      </c>
      <c r="D148" t="inlineStr">
        <is>
          <t>3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settled</t>
        </is>
      </c>
      <c r="AY148" t="inlineStr">
        <is>
          <t>2026-01-21 05:30:00</t>
        </is>
      </c>
      <c r="AZ148" t="inlineStr">
        <is>
          <t>CITIN26608218588</t>
        </is>
      </c>
      <c r="BA148" t="n">
        <v>0</v>
      </c>
      <c r="BB148" t="inlineStr">
        <is>
          <t>3f143a620b2f0de0f75f5adb74b028c0742378832303d0613bea6cf76159a635</t>
        </is>
      </c>
    </row>
    <row r="149">
      <c r="A149" t="inlineStr">
        <is>
          <t>144</t>
        </is>
      </c>
      <c r="B149" t="inlineStr">
        <is>
          <t>7687170687</t>
        </is>
      </c>
      <c r="C149" t="inlineStr">
        <is>
          <t>2026-01-15 02:50:01</t>
        </is>
      </c>
      <c r="D149" t="inlineStr">
        <is>
          <t>3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438</v>
      </c>
      <c r="P149" t="n">
        <v>3.5</v>
      </c>
      <c r="Q149" t="n">
        <v>0</v>
      </c>
      <c r="R149" t="n">
        <v>75</v>
      </c>
      <c r="S149" t="n">
        <v>0</v>
      </c>
      <c r="T149" t="n">
        <v>0</v>
      </c>
      <c r="U149" t="n">
        <v>0</v>
      </c>
      <c r="V149" t="n">
        <v>18.33</v>
      </c>
      <c r="W149" t="n">
        <v>384.83</v>
      </c>
      <c r="X149" t="n">
        <v>366.5</v>
      </c>
      <c r="Y149" t="n">
        <v>19</v>
      </c>
      <c r="Z149" t="n">
        <v>69.64</v>
      </c>
      <c r="AA149" t="n">
        <v>7.08</v>
      </c>
      <c r="AB149" t="n">
        <v>76.72</v>
      </c>
      <c r="AC149" t="n">
        <v>13.81</v>
      </c>
      <c r="AD149" t="n">
        <v>0</v>
      </c>
      <c r="AE149" t="n">
        <v>366.5</v>
      </c>
      <c r="AF149" t="n">
        <v>0</v>
      </c>
      <c r="AG149" t="n">
        <v>0</v>
      </c>
      <c r="AH149" t="n">
        <v>0.37</v>
      </c>
      <c r="AI149" t="n">
        <v>18.33</v>
      </c>
      <c r="AJ149" t="n">
        <v>0</v>
      </c>
      <c r="AK149" t="n">
        <v>32.51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109.23</v>
      </c>
      <c r="AV149" t="n">
        <v>0</v>
      </c>
      <c r="AW149" t="n">
        <v>275.6</v>
      </c>
      <c r="AX149" t="inlineStr">
        <is>
          <t>settled</t>
        </is>
      </c>
      <c r="AY149" t="inlineStr">
        <is>
          <t>2026-01-21 05:30:00</t>
        </is>
      </c>
      <c r="AZ149" t="inlineStr">
        <is>
          <t>CITIN26608218588</t>
        </is>
      </c>
      <c r="BA149" t="n">
        <v>0</v>
      </c>
      <c r="BB149" t="inlineStr">
        <is>
          <t>45851e894dc61d6992b9aded42560561f5c7ea294e2b13c7cfdce244fe5d3783</t>
        </is>
      </c>
    </row>
    <row r="150">
      <c r="A150" t="inlineStr">
        <is>
          <t>145</t>
        </is>
      </c>
      <c r="B150" t="inlineStr">
        <is>
          <t>7681775045</t>
        </is>
      </c>
      <c r="C150" t="inlineStr">
        <is>
          <t>2026-01-15 03:31:49</t>
        </is>
      </c>
      <c r="D150" t="inlineStr">
        <is>
          <t>3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30% off upto ₹75 (2025-06-25 - 2031-01-01)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229</v>
      </c>
      <c r="P150" t="n">
        <v>3.5</v>
      </c>
      <c r="Q150" t="n">
        <v>0</v>
      </c>
      <c r="R150" t="n">
        <v>68.7</v>
      </c>
      <c r="S150" t="n">
        <v>0</v>
      </c>
      <c r="T150" t="n">
        <v>0</v>
      </c>
      <c r="U150" t="n">
        <v>0</v>
      </c>
      <c r="V150" t="n">
        <v>8.19</v>
      </c>
      <c r="W150" t="n">
        <v>171.99</v>
      </c>
      <c r="X150" t="n">
        <v>163.8</v>
      </c>
      <c r="Y150" t="n">
        <v>19</v>
      </c>
      <c r="Z150" t="n">
        <v>31.12</v>
      </c>
      <c r="AA150" t="n">
        <v>3.16</v>
      </c>
      <c r="AB150" t="n">
        <v>34.28</v>
      </c>
      <c r="AC150" t="n">
        <v>6.17</v>
      </c>
      <c r="AD150" t="n">
        <v>0</v>
      </c>
      <c r="AE150" t="n">
        <v>163.8</v>
      </c>
      <c r="AF150" t="n">
        <v>0</v>
      </c>
      <c r="AG150" t="n">
        <v>0</v>
      </c>
      <c r="AH150" t="n">
        <v>0.16</v>
      </c>
      <c r="AI150" t="n">
        <v>8.199999999999999</v>
      </c>
      <c r="AJ150" t="n">
        <v>-0.01</v>
      </c>
      <c r="AK150" t="n">
        <v>14.53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48.81</v>
      </c>
      <c r="AV150" t="n">
        <v>0</v>
      </c>
      <c r="AW150" t="n">
        <v>123.18</v>
      </c>
      <c r="AX150" t="inlineStr">
        <is>
          <t>settled</t>
        </is>
      </c>
      <c r="AY150" t="inlineStr">
        <is>
          <t>2026-01-21 05:30:00</t>
        </is>
      </c>
      <c r="AZ150" t="inlineStr">
        <is>
          <t>CITIN26608218588</t>
        </is>
      </c>
      <c r="BA150" t="n">
        <v>0</v>
      </c>
      <c r="BB150" t="inlineStr">
        <is>
          <t>c9e544ca6d344f97a56c9b0d85b29ada6946f84f8bbc8c3164670b378e44a12a</t>
        </is>
      </c>
    </row>
    <row r="151">
      <c r="A151" t="inlineStr">
        <is>
          <t>146</t>
        </is>
      </c>
      <c r="B151" t="inlineStr">
        <is>
          <t>7688080158</t>
        </is>
      </c>
      <c r="C151" t="inlineStr">
        <is>
          <t>2026-01-15 04:26:34</t>
        </is>
      </c>
      <c r="D151" t="inlineStr">
        <is>
          <t>3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30% off upto ₹75 (2025-06-25 - 2031-01-01)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68.7</v>
      </c>
      <c r="S151" t="n">
        <v>0</v>
      </c>
      <c r="T151" t="n">
        <v>0</v>
      </c>
      <c r="U151" t="n">
        <v>0</v>
      </c>
      <c r="V151" t="n">
        <v>8.19</v>
      </c>
      <c r="W151" t="n">
        <v>171.99</v>
      </c>
      <c r="X151" t="n">
        <v>163.8</v>
      </c>
      <c r="Y151" t="n">
        <v>19</v>
      </c>
      <c r="Z151" t="n">
        <v>31.12</v>
      </c>
      <c r="AA151" t="n">
        <v>3.16</v>
      </c>
      <c r="AB151" t="n">
        <v>34.28</v>
      </c>
      <c r="AC151" t="n">
        <v>6.17</v>
      </c>
      <c r="AD151" t="n">
        <v>0</v>
      </c>
      <c r="AE151" t="n">
        <v>163.8</v>
      </c>
      <c r="AF151" t="n">
        <v>0</v>
      </c>
      <c r="AG151" t="n">
        <v>0</v>
      </c>
      <c r="AH151" t="n">
        <v>0.16</v>
      </c>
      <c r="AI151" t="n">
        <v>8.199999999999999</v>
      </c>
      <c r="AJ151" t="n">
        <v>-0.01</v>
      </c>
      <c r="AK151" t="n">
        <v>14.53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48.81</v>
      </c>
      <c r="AV151" t="n">
        <v>0</v>
      </c>
      <c r="AW151" t="n">
        <v>123.18</v>
      </c>
      <c r="AX151" t="inlineStr">
        <is>
          <t>settled</t>
        </is>
      </c>
      <c r="AY151" t="inlineStr">
        <is>
          <t>2026-01-21 05:30:00</t>
        </is>
      </c>
      <c r="AZ151" t="inlineStr">
        <is>
          <t>CITIN26608218588</t>
        </is>
      </c>
      <c r="BA151" t="n">
        <v>0</v>
      </c>
      <c r="BB151" t="inlineStr">
        <is>
          <t>8a08a0ad69337d1dbd5a62f49251ce5c3419a97707361d2675dae89d58f3b168</t>
        </is>
      </c>
    </row>
    <row r="152">
      <c r="A152" t="inlineStr">
        <is>
          <t>147</t>
        </is>
      </c>
      <c r="B152" t="inlineStr">
        <is>
          <t>7691415533</t>
        </is>
      </c>
      <c r="C152" t="inlineStr">
        <is>
          <t>2026-01-15 04:33:48</t>
        </is>
      </c>
      <c r="D152" t="inlineStr">
        <is>
          <t>3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219</v>
      </c>
      <c r="P152" t="n">
        <v>3.5</v>
      </c>
      <c r="Q152" t="n">
        <v>0</v>
      </c>
      <c r="R152" t="n">
        <v>65.7</v>
      </c>
      <c r="S152" t="n">
        <v>0</v>
      </c>
      <c r="T152" t="n">
        <v>0</v>
      </c>
      <c r="U152" t="n">
        <v>0</v>
      </c>
      <c r="V152" t="n">
        <v>7.84</v>
      </c>
      <c r="W152" t="n">
        <v>164.64</v>
      </c>
      <c r="X152" t="n">
        <v>156.8</v>
      </c>
      <c r="Y152" t="n">
        <v>19</v>
      </c>
      <c r="Z152" t="n">
        <v>29.79</v>
      </c>
      <c r="AA152" t="n">
        <v>3.03</v>
      </c>
      <c r="AB152" t="n">
        <v>32.82</v>
      </c>
      <c r="AC152" t="n">
        <v>5.91</v>
      </c>
      <c r="AD152" t="n">
        <v>0</v>
      </c>
      <c r="AE152" t="n">
        <v>156.8</v>
      </c>
      <c r="AF152" t="n">
        <v>0</v>
      </c>
      <c r="AG152" t="n">
        <v>0</v>
      </c>
      <c r="AH152" t="n">
        <v>0.16</v>
      </c>
      <c r="AI152" t="n">
        <v>7.85</v>
      </c>
      <c r="AJ152" t="n">
        <v>-0.01</v>
      </c>
      <c r="AK152" t="n">
        <v>13.92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46.74</v>
      </c>
      <c r="AV152" t="n">
        <v>0</v>
      </c>
      <c r="AW152" t="n">
        <v>117.9</v>
      </c>
      <c r="AX152" t="inlineStr">
        <is>
          <t>settled</t>
        </is>
      </c>
      <c r="AY152" t="inlineStr">
        <is>
          <t>2026-01-21 05:30:00</t>
        </is>
      </c>
      <c r="AZ152" t="inlineStr">
        <is>
          <t>CITIN26608218588</t>
        </is>
      </c>
      <c r="BA152" t="n">
        <v>0</v>
      </c>
      <c r="BB152" t="inlineStr">
        <is>
          <t>2ba76c9b9d600a352c5d746c064dd0f973ea2026aba9eaed167174ae22e98eb4</t>
        </is>
      </c>
    </row>
    <row r="153">
      <c r="A153" t="inlineStr">
        <is>
          <t>148</t>
        </is>
      </c>
      <c r="B153" t="inlineStr">
        <is>
          <t>7658951604</t>
        </is>
      </c>
      <c r="C153" t="inlineStr">
        <is>
          <t>2026-01-15 10:08:26</t>
        </is>
      </c>
      <c r="D153" t="inlineStr">
        <is>
          <t>3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30% off upto ₹75 (2025-06-25 - 2031-01-01)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229</v>
      </c>
      <c r="P153" t="n">
        <v>3.5</v>
      </c>
      <c r="Q153" t="n">
        <v>0</v>
      </c>
      <c r="R153" t="n">
        <v>68.7</v>
      </c>
      <c r="S153" t="n">
        <v>0</v>
      </c>
      <c r="T153" t="n">
        <v>0</v>
      </c>
      <c r="U153" t="n">
        <v>0</v>
      </c>
      <c r="V153" t="n">
        <v>8.19</v>
      </c>
      <c r="W153" t="n">
        <v>171.99</v>
      </c>
      <c r="X153" t="n">
        <v>163.8</v>
      </c>
      <c r="Y153" t="n">
        <v>19</v>
      </c>
      <c r="Z153" t="n">
        <v>31.12</v>
      </c>
      <c r="AA153" t="n">
        <v>3.16</v>
      </c>
      <c r="AB153" t="n">
        <v>34.28</v>
      </c>
      <c r="AC153" t="n">
        <v>6.17</v>
      </c>
      <c r="AD153" t="n">
        <v>0</v>
      </c>
      <c r="AE153" t="n">
        <v>163.8</v>
      </c>
      <c r="AF153" t="n">
        <v>0</v>
      </c>
      <c r="AG153" t="n">
        <v>0</v>
      </c>
      <c r="AH153" t="n">
        <v>0.16</v>
      </c>
      <c r="AI153" t="n">
        <v>8.199999999999999</v>
      </c>
      <c r="AJ153" t="n">
        <v>-0.01</v>
      </c>
      <c r="AK153" t="n">
        <v>14.53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48.81</v>
      </c>
      <c r="AV153" t="n">
        <v>0</v>
      </c>
      <c r="AW153" t="n">
        <v>123.18</v>
      </c>
      <c r="AX153" t="inlineStr">
        <is>
          <t>settled</t>
        </is>
      </c>
      <c r="AY153" t="inlineStr">
        <is>
          <t>2026-01-21 05:30:00</t>
        </is>
      </c>
      <c r="AZ153" t="inlineStr">
        <is>
          <t>CITIN26608218588</t>
        </is>
      </c>
      <c r="BA153" t="n">
        <v>0</v>
      </c>
      <c r="BB153" t="inlineStr">
        <is>
          <t>76c90d6773edb9606b253165c77480b757f91484698422e64377639e78a14871</t>
        </is>
      </c>
    </row>
    <row r="154">
      <c r="A154" t="inlineStr">
        <is>
          <t>149</t>
        </is>
      </c>
      <c r="B154" t="inlineStr">
        <is>
          <t>7684014314</t>
        </is>
      </c>
      <c r="C154" t="inlineStr">
        <is>
          <t>2026-01-15 10:47:49</t>
        </is>
      </c>
      <c r="D154" t="inlineStr">
        <is>
          <t>3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30% off upto ₹75 (2025-06-25 - 2031-01-01)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229</v>
      </c>
      <c r="P154" t="n">
        <v>3.5</v>
      </c>
      <c r="Q154" t="n">
        <v>0</v>
      </c>
      <c r="R154" t="n">
        <v>68.7</v>
      </c>
      <c r="S154" t="n">
        <v>0</v>
      </c>
      <c r="T154" t="n">
        <v>0</v>
      </c>
      <c r="U154" t="n">
        <v>0</v>
      </c>
      <c r="V154" t="n">
        <v>8.19</v>
      </c>
      <c r="W154" t="n">
        <v>171.99</v>
      </c>
      <c r="X154" t="n">
        <v>163.8</v>
      </c>
      <c r="Y154" t="n">
        <v>19</v>
      </c>
      <c r="Z154" t="n">
        <v>31.12</v>
      </c>
      <c r="AA154" t="n">
        <v>3.16</v>
      </c>
      <c r="AB154" t="n">
        <v>34.28</v>
      </c>
      <c r="AC154" t="n">
        <v>6.17</v>
      </c>
      <c r="AD154" t="n">
        <v>0</v>
      </c>
      <c r="AE154" t="n">
        <v>163.8</v>
      </c>
      <c r="AF154" t="n">
        <v>0</v>
      </c>
      <c r="AG154" t="n">
        <v>0</v>
      </c>
      <c r="AH154" t="n">
        <v>0.16</v>
      </c>
      <c r="AI154" t="n">
        <v>8.199999999999999</v>
      </c>
      <c r="AJ154" t="n">
        <v>-0.01</v>
      </c>
      <c r="AK154" t="n">
        <v>14.53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48.81</v>
      </c>
      <c r="AV154" t="n">
        <v>0</v>
      </c>
      <c r="AW154" t="n">
        <v>123.18</v>
      </c>
      <c r="AX154" t="inlineStr">
        <is>
          <t>settled</t>
        </is>
      </c>
      <c r="AY154" t="inlineStr">
        <is>
          <t>2026-01-21 05:30:00</t>
        </is>
      </c>
      <c r="AZ154" t="inlineStr">
        <is>
          <t>CITIN26608218588</t>
        </is>
      </c>
      <c r="BA154" t="n">
        <v>0</v>
      </c>
      <c r="BB154" t="inlineStr">
        <is>
          <t>c34c5732eaec85453eab3c9525f7e31d386f2f44f0004500f752653c94ce5de8</t>
        </is>
      </c>
    </row>
    <row r="155">
      <c r="A155" t="inlineStr">
        <is>
          <t>150</t>
        </is>
      </c>
      <c r="B155" t="inlineStr">
        <is>
          <t>7692577183</t>
        </is>
      </c>
      <c r="C155" t="inlineStr">
        <is>
          <t>2026-01-15 12:05:37</t>
        </is>
      </c>
      <c r="D155" t="inlineStr">
        <is>
          <t>3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30% off upto ₹75 (2025-06-25 - 2031-01-01)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229</v>
      </c>
      <c r="P155" t="n">
        <v>3.5</v>
      </c>
      <c r="Q155" t="n">
        <v>0</v>
      </c>
      <c r="R155" t="n">
        <v>68.7</v>
      </c>
      <c r="S155" t="n">
        <v>0</v>
      </c>
      <c r="T155" t="n">
        <v>0</v>
      </c>
      <c r="U155" t="n">
        <v>0</v>
      </c>
      <c r="V155" t="n">
        <v>8.19</v>
      </c>
      <c r="W155" t="n">
        <v>171.99</v>
      </c>
      <c r="X155" t="n">
        <v>163.8</v>
      </c>
      <c r="Y155" t="n">
        <v>19</v>
      </c>
      <c r="Z155" t="n">
        <v>31.12</v>
      </c>
      <c r="AA155" t="n">
        <v>3.16</v>
      </c>
      <c r="AB155" t="n">
        <v>34.28</v>
      </c>
      <c r="AC155" t="n">
        <v>6.17</v>
      </c>
      <c r="AD155" t="n">
        <v>0</v>
      </c>
      <c r="AE155" t="n">
        <v>163.8</v>
      </c>
      <c r="AF155" t="n">
        <v>0</v>
      </c>
      <c r="AG155" t="n">
        <v>0</v>
      </c>
      <c r="AH155" t="n">
        <v>0.16</v>
      </c>
      <c r="AI155" t="n">
        <v>8.199999999999999</v>
      </c>
      <c r="AJ155" t="n">
        <v>-0.01</v>
      </c>
      <c r="AK155" t="n">
        <v>14.53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48.81</v>
      </c>
      <c r="AV155" t="n">
        <v>0</v>
      </c>
      <c r="AW155" t="n">
        <v>123.18</v>
      </c>
      <c r="AX155" t="inlineStr">
        <is>
          <t>settled</t>
        </is>
      </c>
      <c r="AY155" t="inlineStr">
        <is>
          <t>2026-01-21 05:30:00</t>
        </is>
      </c>
      <c r="AZ155" t="inlineStr">
        <is>
          <t>CITIN26608218588</t>
        </is>
      </c>
      <c r="BA155" t="n">
        <v>0</v>
      </c>
      <c r="BB155" t="inlineStr">
        <is>
          <t>c8a2d241c715d8960818b058c0c43e91c5b3821b27306be9d15a5a8556c7f174</t>
        </is>
      </c>
    </row>
    <row r="156">
      <c r="A156" t="inlineStr">
        <is>
          <t>151</t>
        </is>
      </c>
      <c r="B156" t="inlineStr">
        <is>
          <t>7682992649</t>
        </is>
      </c>
      <c r="C156" t="inlineStr">
        <is>
          <t>2026-01-15 13:27:08</t>
        </is>
      </c>
      <c r="D156" t="inlineStr">
        <is>
          <t>3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NA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438</v>
      </c>
      <c r="P156" t="n">
        <v>3.5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22.08</v>
      </c>
      <c r="W156" t="n">
        <v>463.58</v>
      </c>
      <c r="X156" t="n">
        <v>441.5</v>
      </c>
      <c r="Y156" t="n">
        <v>19</v>
      </c>
      <c r="Z156" t="n">
        <v>83.88</v>
      </c>
      <c r="AA156" t="n">
        <v>8.529999999999999</v>
      </c>
      <c r="AB156" t="n">
        <v>92.41</v>
      </c>
      <c r="AC156" t="n">
        <v>16.64</v>
      </c>
      <c r="AD156" t="n">
        <v>0</v>
      </c>
      <c r="AE156" t="n">
        <v>441.5</v>
      </c>
      <c r="AF156" t="n">
        <v>0</v>
      </c>
      <c r="AG156" t="n">
        <v>0</v>
      </c>
      <c r="AH156" t="n">
        <v>0.44</v>
      </c>
      <c r="AI156" t="n">
        <v>22.08</v>
      </c>
      <c r="AJ156" t="n">
        <v>0</v>
      </c>
      <c r="AK156" t="n">
        <v>39.16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131.57</v>
      </c>
      <c r="AV156" t="n">
        <v>0</v>
      </c>
      <c r="AW156" t="n">
        <v>332.01</v>
      </c>
      <c r="AX156" t="inlineStr">
        <is>
          <t>settled</t>
        </is>
      </c>
      <c r="AY156" t="inlineStr">
        <is>
          <t>2026-01-21 05:30:00</t>
        </is>
      </c>
      <c r="AZ156" t="inlineStr">
        <is>
          <t>CITIN26608218588</t>
        </is>
      </c>
      <c r="BA156" t="n">
        <v>0</v>
      </c>
      <c r="BB156" t="inlineStr">
        <is>
          <t>5d0ba10b204a207e1e975cb435cc88ffb06aca7a398697f39d5b66a34a938f19</t>
        </is>
      </c>
    </row>
    <row r="157">
      <c r="A157" t="inlineStr">
        <is>
          <t>152</t>
        </is>
      </c>
      <c r="B157" t="inlineStr">
        <is>
          <t>7689257546</t>
        </is>
      </c>
      <c r="C157" t="inlineStr">
        <is>
          <t>2026-01-15 13:50:58</t>
        </is>
      </c>
      <c r="D157" t="inlineStr">
        <is>
          <t>3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30% off upto ₹75 (2025-06-25 - 2031-01-01)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448</v>
      </c>
      <c r="P157" t="n">
        <v>3.5</v>
      </c>
      <c r="Q157" t="n">
        <v>0</v>
      </c>
      <c r="R157" t="n">
        <v>75</v>
      </c>
      <c r="S157" t="n">
        <v>0</v>
      </c>
      <c r="T157" t="n">
        <v>0</v>
      </c>
      <c r="U157" t="n">
        <v>0</v>
      </c>
      <c r="V157" t="n">
        <v>18.83</v>
      </c>
      <c r="W157" t="n">
        <v>395.33</v>
      </c>
      <c r="X157" t="n">
        <v>376.5</v>
      </c>
      <c r="Y157" t="n">
        <v>19</v>
      </c>
      <c r="Z157" t="n">
        <v>71.54000000000001</v>
      </c>
      <c r="AA157" t="n">
        <v>7.27</v>
      </c>
      <c r="AB157" t="n">
        <v>78.81</v>
      </c>
      <c r="AC157" t="n">
        <v>14.19</v>
      </c>
      <c r="AD157" t="n">
        <v>0</v>
      </c>
      <c r="AE157" t="n">
        <v>376.5</v>
      </c>
      <c r="AF157" t="n">
        <v>0</v>
      </c>
      <c r="AG157" t="n">
        <v>0</v>
      </c>
      <c r="AH157" t="n">
        <v>0.38</v>
      </c>
      <c r="AI157" t="n">
        <v>18.83</v>
      </c>
      <c r="AJ157" t="n">
        <v>0</v>
      </c>
      <c r="AK157" t="n">
        <v>33.4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112.21</v>
      </c>
      <c r="AV157" t="n">
        <v>0</v>
      </c>
      <c r="AW157" t="n">
        <v>283.12</v>
      </c>
      <c r="AX157" t="inlineStr">
        <is>
          <t>settled</t>
        </is>
      </c>
      <c r="AY157" t="inlineStr">
        <is>
          <t>2026-01-21 05:30:00</t>
        </is>
      </c>
      <c r="AZ157" t="inlineStr">
        <is>
          <t>CITIN26608218588</t>
        </is>
      </c>
      <c r="BA157" t="n">
        <v>0</v>
      </c>
      <c r="BB157" t="inlineStr">
        <is>
          <t>57860c1eaa64926882fbe18df55d3b254078ba3a87a570fbd4e075f8b04e4574</t>
        </is>
      </c>
    </row>
    <row r="158">
      <c r="A158" t="inlineStr">
        <is>
          <t>153</t>
        </is>
      </c>
      <c r="B158" t="inlineStr">
        <is>
          <t>7689866625</t>
        </is>
      </c>
      <c r="C158" t="inlineStr">
        <is>
          <t>2026-01-15 14:37:47</t>
        </is>
      </c>
      <c r="D158" t="inlineStr">
        <is>
          <t>3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219</v>
      </c>
      <c r="P158" t="n">
        <v>3.5</v>
      </c>
      <c r="Q158" t="n">
        <v>0</v>
      </c>
      <c r="R158" t="n">
        <v>65.7</v>
      </c>
      <c r="S158" t="n">
        <v>0</v>
      </c>
      <c r="T158" t="n">
        <v>0</v>
      </c>
      <c r="U158" t="n">
        <v>0</v>
      </c>
      <c r="V158" t="n">
        <v>7.84</v>
      </c>
      <c r="W158" t="n">
        <v>164.64</v>
      </c>
      <c r="X158" t="n">
        <v>156.8</v>
      </c>
      <c r="Y158" t="n">
        <v>19</v>
      </c>
      <c r="Z158" t="n">
        <v>29.79</v>
      </c>
      <c r="AA158" t="n">
        <v>3.03</v>
      </c>
      <c r="AB158" t="n">
        <v>32.82</v>
      </c>
      <c r="AC158" t="n">
        <v>5.91</v>
      </c>
      <c r="AD158" t="n">
        <v>0</v>
      </c>
      <c r="AE158" t="n">
        <v>156.8</v>
      </c>
      <c r="AF158" t="n">
        <v>0</v>
      </c>
      <c r="AG158" t="n">
        <v>0</v>
      </c>
      <c r="AH158" t="n">
        <v>0.16</v>
      </c>
      <c r="AI158" t="n">
        <v>7.85</v>
      </c>
      <c r="AJ158" t="n">
        <v>-0.01</v>
      </c>
      <c r="AK158" t="n">
        <v>13.92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46.74</v>
      </c>
      <c r="AV158" t="n">
        <v>0</v>
      </c>
      <c r="AW158" t="n">
        <v>117.9</v>
      </c>
      <c r="AX158" t="inlineStr">
        <is>
          <t>settled</t>
        </is>
      </c>
      <c r="AY158" t="inlineStr">
        <is>
          <t>2026-01-21 05:30:00</t>
        </is>
      </c>
      <c r="AZ158" t="inlineStr">
        <is>
          <t>CITIN26608218588</t>
        </is>
      </c>
      <c r="BA158" t="n">
        <v>0</v>
      </c>
      <c r="BB158" t="inlineStr">
        <is>
          <t>042d331b6bb40256e1ae98433b2adfe4f859f7645bf5a478a75ca5f6f8bb6fcd</t>
        </is>
      </c>
    </row>
    <row r="159">
      <c r="A159" t="inlineStr">
        <is>
          <t>154</t>
        </is>
      </c>
      <c r="B159" t="inlineStr">
        <is>
          <t>7691122087</t>
        </is>
      </c>
      <c r="C159" t="inlineStr">
        <is>
          <t>2026-01-15 15:13:45</t>
        </is>
      </c>
      <c r="D159" t="inlineStr">
        <is>
          <t>3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NA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289</v>
      </c>
      <c r="P159" t="n">
        <v>3.5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14.63</v>
      </c>
      <c r="W159" t="n">
        <v>307.13</v>
      </c>
      <c r="X159" t="n">
        <v>292.5</v>
      </c>
      <c r="Y159" t="n">
        <v>19</v>
      </c>
      <c r="Z159" t="n">
        <v>55.58</v>
      </c>
      <c r="AA159" t="n">
        <v>5.65</v>
      </c>
      <c r="AB159" t="n">
        <v>61.23</v>
      </c>
      <c r="AC159" t="n">
        <v>11.02</v>
      </c>
      <c r="AD159" t="n">
        <v>0</v>
      </c>
      <c r="AE159" t="n">
        <v>292.5</v>
      </c>
      <c r="AF159" t="n">
        <v>0</v>
      </c>
      <c r="AG159" t="n">
        <v>0</v>
      </c>
      <c r="AH159" t="n">
        <v>0.29</v>
      </c>
      <c r="AI159" t="n">
        <v>14.63</v>
      </c>
      <c r="AJ159" t="n">
        <v>0</v>
      </c>
      <c r="AK159" t="n">
        <v>25.94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87.17</v>
      </c>
      <c r="AV159" t="n">
        <v>0</v>
      </c>
      <c r="AW159" t="n">
        <v>219.96</v>
      </c>
      <c r="AX159" t="inlineStr">
        <is>
          <t>settled</t>
        </is>
      </c>
      <c r="AY159" t="inlineStr">
        <is>
          <t>2026-01-21 05:30:00</t>
        </is>
      </c>
      <c r="AZ159" t="inlineStr">
        <is>
          <t>CITIN26608218588</t>
        </is>
      </c>
      <c r="BA159" t="n">
        <v>0</v>
      </c>
      <c r="BB159" t="inlineStr">
        <is>
          <t>80aad448069fe5a8dbd5937b65a81dbf0339d9946faaafa2758c787d358e1ee9</t>
        </is>
      </c>
    </row>
    <row r="160">
      <c r="A160" t="inlineStr">
        <is>
          <t>155</t>
        </is>
      </c>
      <c r="B160" t="inlineStr">
        <is>
          <t>7691045355</t>
        </is>
      </c>
      <c r="C160" t="inlineStr">
        <is>
          <t>2026-01-15 15:40:03</t>
        </is>
      </c>
      <c r="D160" t="inlineStr">
        <is>
          <t>3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229</v>
      </c>
      <c r="P160" t="n">
        <v>3.5</v>
      </c>
      <c r="Q160" t="n">
        <v>0</v>
      </c>
      <c r="R160" t="n">
        <v>68.7</v>
      </c>
      <c r="S160" t="n">
        <v>0</v>
      </c>
      <c r="T160" t="n">
        <v>0</v>
      </c>
      <c r="U160" t="n">
        <v>0</v>
      </c>
      <c r="V160" t="n">
        <v>8.19</v>
      </c>
      <c r="W160" t="n">
        <v>171.99</v>
      </c>
      <c r="X160" t="n">
        <v>163.8</v>
      </c>
      <c r="Y160" t="n">
        <v>19</v>
      </c>
      <c r="Z160" t="n">
        <v>31.12</v>
      </c>
      <c r="AA160" t="n">
        <v>3.16</v>
      </c>
      <c r="AB160" t="n">
        <v>34.28</v>
      </c>
      <c r="AC160" t="n">
        <v>6.17</v>
      </c>
      <c r="AD160" t="n">
        <v>0</v>
      </c>
      <c r="AE160" t="n">
        <v>163.8</v>
      </c>
      <c r="AF160" t="n">
        <v>0</v>
      </c>
      <c r="AG160" t="n">
        <v>0</v>
      </c>
      <c r="AH160" t="n">
        <v>0.16</v>
      </c>
      <c r="AI160" t="n">
        <v>8.199999999999999</v>
      </c>
      <c r="AJ160" t="n">
        <v>-0.01</v>
      </c>
      <c r="AK160" t="n">
        <v>14.53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48.81</v>
      </c>
      <c r="AV160" t="n">
        <v>0</v>
      </c>
      <c r="AW160" t="n">
        <v>123.18</v>
      </c>
      <c r="AX160" t="inlineStr">
        <is>
          <t>settled</t>
        </is>
      </c>
      <c r="AY160" t="inlineStr">
        <is>
          <t>2026-01-21 05:30:00</t>
        </is>
      </c>
      <c r="AZ160" t="inlineStr">
        <is>
          <t>CITIN26608218588</t>
        </is>
      </c>
      <c r="BA160" t="n">
        <v>0</v>
      </c>
      <c r="BB160" t="inlineStr">
        <is>
          <t>947dce8a2d96697a3a671c0e5f67ec657b6ee66fb30aad673e9df6cc530a381c</t>
        </is>
      </c>
    </row>
    <row r="161">
      <c r="A161" t="inlineStr">
        <is>
          <t>156</t>
        </is>
      </c>
      <c r="B161" t="inlineStr">
        <is>
          <t>7685949371</t>
        </is>
      </c>
      <c r="C161" t="inlineStr">
        <is>
          <t>2026-01-15 17:39:17</t>
        </is>
      </c>
      <c r="D161" t="inlineStr">
        <is>
          <t>3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219</v>
      </c>
      <c r="P161" t="n">
        <v>3.5</v>
      </c>
      <c r="Q161" t="n">
        <v>0</v>
      </c>
      <c r="R161" t="n">
        <v>65.7</v>
      </c>
      <c r="S161" t="n">
        <v>0</v>
      </c>
      <c r="T161" t="n">
        <v>0</v>
      </c>
      <c r="U161" t="n">
        <v>0</v>
      </c>
      <c r="V161" t="n">
        <v>7.84</v>
      </c>
      <c r="W161" t="n">
        <v>164.64</v>
      </c>
      <c r="X161" t="n">
        <v>156.8</v>
      </c>
      <c r="Y161" t="n">
        <v>19</v>
      </c>
      <c r="Z161" t="n">
        <v>29.79</v>
      </c>
      <c r="AA161" t="n">
        <v>3.03</v>
      </c>
      <c r="AB161" t="n">
        <v>32.82</v>
      </c>
      <c r="AC161" t="n">
        <v>5.91</v>
      </c>
      <c r="AD161" t="n">
        <v>0</v>
      </c>
      <c r="AE161" t="n">
        <v>156.8</v>
      </c>
      <c r="AF161" t="n">
        <v>0</v>
      </c>
      <c r="AG161" t="n">
        <v>0</v>
      </c>
      <c r="AH161" t="n">
        <v>0.16</v>
      </c>
      <c r="AI161" t="n">
        <v>7.85</v>
      </c>
      <c r="AJ161" t="n">
        <v>-0.01</v>
      </c>
      <c r="AK161" t="n">
        <v>13.92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46.74</v>
      </c>
      <c r="AV161" t="n">
        <v>0</v>
      </c>
      <c r="AW161" t="n">
        <v>117.9</v>
      </c>
      <c r="AX161" t="inlineStr">
        <is>
          <t>settled</t>
        </is>
      </c>
      <c r="AY161" t="inlineStr">
        <is>
          <t>2026-01-21 05:30:00</t>
        </is>
      </c>
      <c r="AZ161" t="inlineStr">
        <is>
          <t>CITIN26608218588</t>
        </is>
      </c>
      <c r="BA161" t="n">
        <v>0</v>
      </c>
      <c r="BB161" t="inlineStr">
        <is>
          <t>5002a0faff9c30a292acc50d19d1b46d55533b54a1b2343b38612766f47ebbfa</t>
        </is>
      </c>
    </row>
    <row r="162">
      <c r="A162" t="inlineStr">
        <is>
          <t>157</t>
        </is>
      </c>
      <c r="B162" t="inlineStr">
        <is>
          <t>7680116700</t>
        </is>
      </c>
      <c r="C162" t="inlineStr">
        <is>
          <t>2026-01-15 18:38:05</t>
        </is>
      </c>
      <c r="D162" t="inlineStr">
        <is>
          <t>3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30% off upto ₹75 (2025-06-25 - 2031-01-01)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68.7</v>
      </c>
      <c r="S162" t="n">
        <v>0</v>
      </c>
      <c r="T162" t="n">
        <v>0</v>
      </c>
      <c r="U162" t="n">
        <v>0</v>
      </c>
      <c r="V162" t="n">
        <v>8.19</v>
      </c>
      <c r="W162" t="n">
        <v>171.99</v>
      </c>
      <c r="X162" t="n">
        <v>163.8</v>
      </c>
      <c r="Y162" t="n">
        <v>19</v>
      </c>
      <c r="Z162" t="n">
        <v>31.12</v>
      </c>
      <c r="AA162" t="n">
        <v>3.16</v>
      </c>
      <c r="AB162" t="n">
        <v>34.28</v>
      </c>
      <c r="AC162" t="n">
        <v>6.17</v>
      </c>
      <c r="AD162" t="n">
        <v>0</v>
      </c>
      <c r="AE162" t="n">
        <v>163.8</v>
      </c>
      <c r="AF162" t="n">
        <v>0</v>
      </c>
      <c r="AG162" t="n">
        <v>0</v>
      </c>
      <c r="AH162" t="n">
        <v>0.16</v>
      </c>
      <c r="AI162" t="n">
        <v>8.199999999999999</v>
      </c>
      <c r="AJ162" t="n">
        <v>-0.01</v>
      </c>
      <c r="AK162" t="n">
        <v>14.53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48.81</v>
      </c>
      <c r="AV162" t="n">
        <v>0</v>
      </c>
      <c r="AW162" t="n">
        <v>123.18</v>
      </c>
      <c r="AX162" t="inlineStr">
        <is>
          <t>settled</t>
        </is>
      </c>
      <c r="AY162" t="inlineStr">
        <is>
          <t>2026-01-21 05:30:00</t>
        </is>
      </c>
      <c r="AZ162" t="inlineStr">
        <is>
          <t>CITIN26608218588</t>
        </is>
      </c>
      <c r="BA162" t="n">
        <v>0</v>
      </c>
      <c r="BB162" t="inlineStr">
        <is>
          <t>24786a2b28cc75e1869f5b6726c3482f40e671bbb82c9f2487e5bc3c72420085</t>
        </is>
      </c>
    </row>
    <row r="163">
      <c r="A163" t="inlineStr">
        <is>
          <t>158</t>
        </is>
      </c>
      <c r="B163" t="inlineStr">
        <is>
          <t>7688689737</t>
        </is>
      </c>
      <c r="C163" t="inlineStr">
        <is>
          <t>2026-01-15 19:22:31</t>
        </is>
      </c>
      <c r="D163" t="inlineStr">
        <is>
          <t>3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458</v>
      </c>
      <c r="P163" t="n">
        <v>3.5</v>
      </c>
      <c r="Q163" t="n">
        <v>0</v>
      </c>
      <c r="R163" t="n">
        <v>75</v>
      </c>
      <c r="S163" t="n">
        <v>0</v>
      </c>
      <c r="T163" t="n">
        <v>0</v>
      </c>
      <c r="U163" t="n">
        <v>0</v>
      </c>
      <c r="V163" t="n">
        <v>19.33</v>
      </c>
      <c r="W163" t="n">
        <v>405.83</v>
      </c>
      <c r="X163" t="n">
        <v>386.5</v>
      </c>
      <c r="Y163" t="n">
        <v>19</v>
      </c>
      <c r="Z163" t="n">
        <v>73.44</v>
      </c>
      <c r="AA163" t="n">
        <v>7.47</v>
      </c>
      <c r="AB163" t="n">
        <v>80.91</v>
      </c>
      <c r="AC163" t="n">
        <v>14.56</v>
      </c>
      <c r="AD163" t="n">
        <v>0</v>
      </c>
      <c r="AE163" t="n">
        <v>386.5</v>
      </c>
      <c r="AF163" t="n">
        <v>0</v>
      </c>
      <c r="AG163" t="n">
        <v>0</v>
      </c>
      <c r="AH163" t="n">
        <v>0.39</v>
      </c>
      <c r="AI163" t="n">
        <v>19.33</v>
      </c>
      <c r="AJ163" t="n">
        <v>0</v>
      </c>
      <c r="AK163" t="n">
        <v>34.28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115.19</v>
      </c>
      <c r="AV163" t="n">
        <v>0</v>
      </c>
      <c r="AW163" t="n">
        <v>290.64</v>
      </c>
      <c r="AX163" t="inlineStr">
        <is>
          <t>settled</t>
        </is>
      </c>
      <c r="AY163" t="inlineStr">
        <is>
          <t>2026-01-21 05:30:00</t>
        </is>
      </c>
      <c r="AZ163" t="inlineStr">
        <is>
          <t>CITIN26608218588</t>
        </is>
      </c>
      <c r="BA163" t="n">
        <v>0</v>
      </c>
      <c r="BB163" t="inlineStr">
        <is>
          <t>43da8b16bed635b49f09720e656f64924c9ababbaa565a93bc3fe4852d2e928e</t>
        </is>
      </c>
    </row>
    <row r="164">
      <c r="A164" t="inlineStr">
        <is>
          <t>159</t>
        </is>
      </c>
      <c r="B164" t="inlineStr">
        <is>
          <t>7693043628</t>
        </is>
      </c>
      <c r="C164" t="inlineStr">
        <is>
          <t>2026-01-15 20:03:36</t>
        </is>
      </c>
      <c r="D164" t="inlineStr">
        <is>
          <t>3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NA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199</v>
      </c>
      <c r="P164" t="n">
        <v>3.5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10.13</v>
      </c>
      <c r="W164" t="n">
        <v>212.63</v>
      </c>
      <c r="X164" t="n">
        <v>202.5</v>
      </c>
      <c r="Y164" t="n">
        <v>19</v>
      </c>
      <c r="Z164" t="n">
        <v>38.48</v>
      </c>
      <c r="AA164" t="n">
        <v>3.91</v>
      </c>
      <c r="AB164" t="n">
        <v>42.39</v>
      </c>
      <c r="AC164" t="n">
        <v>7.63</v>
      </c>
      <c r="AD164" t="n">
        <v>0</v>
      </c>
      <c r="AE164" t="n">
        <v>202.5</v>
      </c>
      <c r="AF164" t="n">
        <v>0</v>
      </c>
      <c r="AG164" t="n">
        <v>0</v>
      </c>
      <c r="AH164" t="n">
        <v>0.2</v>
      </c>
      <c r="AI164" t="n">
        <v>10.13</v>
      </c>
      <c r="AJ164" t="n">
        <v>0</v>
      </c>
      <c r="AK164" t="n">
        <v>17.96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60.35</v>
      </c>
      <c r="AV164" t="n">
        <v>0</v>
      </c>
      <c r="AW164" t="n">
        <v>152.28</v>
      </c>
      <c r="AX164" t="inlineStr">
        <is>
          <t>settled</t>
        </is>
      </c>
      <c r="AY164" t="inlineStr">
        <is>
          <t>2026-01-21 05:30:00</t>
        </is>
      </c>
      <c r="AZ164" t="inlineStr">
        <is>
          <t>CITIN26608218588</t>
        </is>
      </c>
      <c r="BA164" t="n">
        <v>0</v>
      </c>
      <c r="BB164" t="inlineStr">
        <is>
          <t>175ce4eada320658d1b950829802fde3aa040082a95df3bd6c8136ee668ffd65</t>
        </is>
      </c>
    </row>
    <row r="165">
      <c r="A165" t="inlineStr">
        <is>
          <t>160</t>
        </is>
      </c>
      <c r="B165" t="inlineStr">
        <is>
          <t>7693701785</t>
        </is>
      </c>
      <c r="C165" t="inlineStr">
        <is>
          <t>2026-01-15 20:13:26</t>
        </is>
      </c>
      <c r="D165" t="inlineStr">
        <is>
          <t>3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229</v>
      </c>
      <c r="P165" t="n">
        <v>3.5</v>
      </c>
      <c r="Q165" t="n">
        <v>0</v>
      </c>
      <c r="R165" t="n">
        <v>68.7</v>
      </c>
      <c r="S165" t="n">
        <v>0</v>
      </c>
      <c r="T165" t="n">
        <v>0</v>
      </c>
      <c r="U165" t="n">
        <v>0</v>
      </c>
      <c r="V165" t="n">
        <v>8.19</v>
      </c>
      <c r="W165" t="n">
        <v>171.99</v>
      </c>
      <c r="X165" t="n">
        <v>163.8</v>
      </c>
      <c r="Y165" t="n">
        <v>19</v>
      </c>
      <c r="Z165" t="n">
        <v>31.12</v>
      </c>
      <c r="AA165" t="n">
        <v>3.16</v>
      </c>
      <c r="AB165" t="n">
        <v>34.28</v>
      </c>
      <c r="AC165" t="n">
        <v>6.17</v>
      </c>
      <c r="AD165" t="n">
        <v>0</v>
      </c>
      <c r="AE165" t="n">
        <v>163.8</v>
      </c>
      <c r="AF165" t="n">
        <v>0</v>
      </c>
      <c r="AG165" t="n">
        <v>0</v>
      </c>
      <c r="AH165" t="n">
        <v>0.16</v>
      </c>
      <c r="AI165" t="n">
        <v>8.199999999999999</v>
      </c>
      <c r="AJ165" t="n">
        <v>-0.01</v>
      </c>
      <c r="AK165" t="n">
        <v>14.53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48.81</v>
      </c>
      <c r="AV165" t="n">
        <v>0</v>
      </c>
      <c r="AW165" t="n">
        <v>123.18</v>
      </c>
      <c r="AX165" t="inlineStr">
        <is>
          <t>settled</t>
        </is>
      </c>
      <c r="AY165" t="inlineStr">
        <is>
          <t>2026-01-21 05:30:00</t>
        </is>
      </c>
      <c r="AZ165" t="inlineStr">
        <is>
          <t>CITIN26608218588</t>
        </is>
      </c>
      <c r="BA165" t="n">
        <v>0</v>
      </c>
      <c r="BB165" t="inlineStr">
        <is>
          <t>4cb4fff88426974c678b9c5acb83b7f3b4d457beb9c421bb89e6385fc6ec39e3</t>
        </is>
      </c>
    </row>
    <row r="166">
      <c r="A166" t="inlineStr">
        <is>
          <t>161</t>
        </is>
      </c>
      <c r="B166" t="inlineStr">
        <is>
          <t>7693587339</t>
        </is>
      </c>
      <c r="C166" t="inlineStr">
        <is>
          <t>2026-01-15 20:26:56</t>
        </is>
      </c>
      <c r="D166" t="inlineStr">
        <is>
          <t>3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229</v>
      </c>
      <c r="P166" t="n">
        <v>3.5</v>
      </c>
      <c r="Q166" t="n">
        <v>0</v>
      </c>
      <c r="R166" t="n">
        <v>68.7</v>
      </c>
      <c r="S166" t="n">
        <v>0</v>
      </c>
      <c r="T166" t="n">
        <v>0</v>
      </c>
      <c r="U166" t="n">
        <v>0</v>
      </c>
      <c r="V166" t="n">
        <v>8.19</v>
      </c>
      <c r="W166" t="n">
        <v>171.99</v>
      </c>
      <c r="X166" t="n">
        <v>163.8</v>
      </c>
      <c r="Y166" t="n">
        <v>19</v>
      </c>
      <c r="Z166" t="n">
        <v>31.12</v>
      </c>
      <c r="AA166" t="n">
        <v>3.16</v>
      </c>
      <c r="AB166" t="n">
        <v>34.28</v>
      </c>
      <c r="AC166" t="n">
        <v>6.17</v>
      </c>
      <c r="AD166" t="n">
        <v>0</v>
      </c>
      <c r="AE166" t="n">
        <v>163.8</v>
      </c>
      <c r="AF166" t="n">
        <v>0</v>
      </c>
      <c r="AG166" t="n">
        <v>0</v>
      </c>
      <c r="AH166" t="n">
        <v>0.16</v>
      </c>
      <c r="AI166" t="n">
        <v>8.199999999999999</v>
      </c>
      <c r="AJ166" t="n">
        <v>-0.01</v>
      </c>
      <c r="AK166" t="n">
        <v>14.53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48.81</v>
      </c>
      <c r="AV166" t="n">
        <v>0</v>
      </c>
      <c r="AW166" t="n">
        <v>123.18</v>
      </c>
      <c r="AX166" t="inlineStr">
        <is>
          <t>settled</t>
        </is>
      </c>
      <c r="AY166" t="inlineStr">
        <is>
          <t>2026-01-21 05:30:00</t>
        </is>
      </c>
      <c r="AZ166" t="inlineStr">
        <is>
          <t>CITIN26608218588</t>
        </is>
      </c>
      <c r="BA166" t="n">
        <v>0</v>
      </c>
      <c r="BB166" t="inlineStr">
        <is>
          <t>5bbf14df8938f95d3b7c17a99beb70d7782f65008db9840edde8a35ba5e8e65f</t>
        </is>
      </c>
    </row>
    <row r="167">
      <c r="A167" t="inlineStr">
        <is>
          <t>162</t>
        </is>
      </c>
      <c r="B167" t="inlineStr">
        <is>
          <t>7693936281</t>
        </is>
      </c>
      <c r="C167" t="inlineStr">
        <is>
          <t>2026-01-15 20:47:17</t>
        </is>
      </c>
      <c r="D167" t="inlineStr">
        <is>
          <t>3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68.7</v>
      </c>
      <c r="S167" t="n">
        <v>0</v>
      </c>
      <c r="T167" t="n">
        <v>0</v>
      </c>
      <c r="U167" t="n">
        <v>0</v>
      </c>
      <c r="V167" t="n">
        <v>8.19</v>
      </c>
      <c r="W167" t="n">
        <v>171.99</v>
      </c>
      <c r="X167" t="n">
        <v>163.8</v>
      </c>
      <c r="Y167" t="n">
        <v>19</v>
      </c>
      <c r="Z167" t="n">
        <v>31.12</v>
      </c>
      <c r="AA167" t="n">
        <v>3.16</v>
      </c>
      <c r="AB167" t="n">
        <v>34.28</v>
      </c>
      <c r="AC167" t="n">
        <v>6.17</v>
      </c>
      <c r="AD167" t="n">
        <v>0</v>
      </c>
      <c r="AE167" t="n">
        <v>163.8</v>
      </c>
      <c r="AF167" t="n">
        <v>0</v>
      </c>
      <c r="AG167" t="n">
        <v>0</v>
      </c>
      <c r="AH167" t="n">
        <v>0.16</v>
      </c>
      <c r="AI167" t="n">
        <v>8.199999999999999</v>
      </c>
      <c r="AJ167" t="n">
        <v>-0.01</v>
      </c>
      <c r="AK167" t="n">
        <v>14.53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48.81</v>
      </c>
      <c r="AV167" t="n">
        <v>0</v>
      </c>
      <c r="AW167" t="n">
        <v>123.18</v>
      </c>
      <c r="AX167" t="inlineStr">
        <is>
          <t>settled</t>
        </is>
      </c>
      <c r="AY167" t="inlineStr">
        <is>
          <t>2026-01-21 05:30:00</t>
        </is>
      </c>
      <c r="AZ167" t="inlineStr">
        <is>
          <t>CITIN26608218588</t>
        </is>
      </c>
      <c r="BA167" t="n">
        <v>0</v>
      </c>
      <c r="BB167" t="inlineStr">
        <is>
          <t>6bc11850a83e9f9149515528244e4cab7766284978933d4553c27e78d99324cf</t>
        </is>
      </c>
    </row>
    <row r="168">
      <c r="A168" t="inlineStr">
        <is>
          <t>163</t>
        </is>
      </c>
      <c r="B168" t="inlineStr">
        <is>
          <t>7691614162</t>
        </is>
      </c>
      <c r="C168" t="inlineStr">
        <is>
          <t>2026-01-15 20:56:07</t>
        </is>
      </c>
      <c r="D168" t="inlineStr">
        <is>
          <t>3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30% off upto ₹75 (2025-06-25 - 2031-01-01)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199</v>
      </c>
      <c r="P168" t="n">
        <v>3.5</v>
      </c>
      <c r="Q168" t="n">
        <v>0</v>
      </c>
      <c r="R168" t="n">
        <v>59.7</v>
      </c>
      <c r="S168" t="n">
        <v>0</v>
      </c>
      <c r="T168" t="n">
        <v>0</v>
      </c>
      <c r="U168" t="n">
        <v>0</v>
      </c>
      <c r="V168" t="n">
        <v>7.14</v>
      </c>
      <c r="W168" t="n">
        <v>149.94</v>
      </c>
      <c r="X168" t="n">
        <v>142.8</v>
      </c>
      <c r="Y168" t="n">
        <v>19</v>
      </c>
      <c r="Z168" t="n">
        <v>27.13</v>
      </c>
      <c r="AA168" t="n">
        <v>2.76</v>
      </c>
      <c r="AB168" t="n">
        <v>29.89</v>
      </c>
      <c r="AC168" t="n">
        <v>5.38</v>
      </c>
      <c r="AD168" t="n">
        <v>0</v>
      </c>
      <c r="AE168" t="n">
        <v>142.8</v>
      </c>
      <c r="AF168" t="n">
        <v>0</v>
      </c>
      <c r="AG168" t="n">
        <v>0</v>
      </c>
      <c r="AH168" t="n">
        <v>0.14</v>
      </c>
      <c r="AI168" t="n">
        <v>7.15</v>
      </c>
      <c r="AJ168" t="n">
        <v>-0.01</v>
      </c>
      <c r="AK168" t="n">
        <v>12.67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42.56</v>
      </c>
      <c r="AV168" t="n">
        <v>0</v>
      </c>
      <c r="AW168" t="n">
        <v>107.38</v>
      </c>
      <c r="AX168" t="inlineStr">
        <is>
          <t>settled</t>
        </is>
      </c>
      <c r="AY168" t="inlineStr">
        <is>
          <t>2026-01-21 05:30:00</t>
        </is>
      </c>
      <c r="AZ168" t="inlineStr">
        <is>
          <t>CITIN26608218588</t>
        </is>
      </c>
      <c r="BA168" t="n">
        <v>0</v>
      </c>
      <c r="BB168" t="inlineStr">
        <is>
          <t>eb446abdfe0a8d32ccfa1794a75686996c0c55a44edeee294941c98649651896</t>
        </is>
      </c>
    </row>
    <row r="169">
      <c r="A169" t="inlineStr">
        <is>
          <t>164</t>
        </is>
      </c>
      <c r="B169" t="inlineStr">
        <is>
          <t>7692243493</t>
        </is>
      </c>
      <c r="C169" t="inlineStr">
        <is>
          <t>2026-01-15 21:08:42</t>
        </is>
      </c>
      <c r="D169" t="inlineStr">
        <is>
          <t>3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667</v>
      </c>
      <c r="P169" t="n">
        <v>3.5</v>
      </c>
      <c r="Q169" t="n">
        <v>0</v>
      </c>
      <c r="R169" t="n">
        <v>75</v>
      </c>
      <c r="S169" t="n">
        <v>0</v>
      </c>
      <c r="T169" t="n">
        <v>0</v>
      </c>
      <c r="U169" t="n">
        <v>0</v>
      </c>
      <c r="V169" t="n">
        <v>29.78</v>
      </c>
      <c r="W169" t="n">
        <v>625.28</v>
      </c>
      <c r="X169" t="n">
        <v>595.5</v>
      </c>
      <c r="Y169" t="n">
        <v>19</v>
      </c>
      <c r="Z169" t="n">
        <v>113.14</v>
      </c>
      <c r="AA169" t="n">
        <v>11.51</v>
      </c>
      <c r="AB169" t="n">
        <v>124.65</v>
      </c>
      <c r="AC169" t="n">
        <v>22.44</v>
      </c>
      <c r="AD169" t="n">
        <v>0</v>
      </c>
      <c r="AE169" t="n">
        <v>595.5</v>
      </c>
      <c r="AF169" t="n">
        <v>0</v>
      </c>
      <c r="AG169" t="n">
        <v>0</v>
      </c>
      <c r="AH169" t="n">
        <v>0.6</v>
      </c>
      <c r="AI169" t="n">
        <v>29.78</v>
      </c>
      <c r="AJ169" t="n">
        <v>0</v>
      </c>
      <c r="AK169" t="n">
        <v>52.82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177.47</v>
      </c>
      <c r="AV169" t="n">
        <v>0</v>
      </c>
      <c r="AW169" t="n">
        <v>447.81</v>
      </c>
      <c r="AX169" t="inlineStr">
        <is>
          <t>settled</t>
        </is>
      </c>
      <c r="AY169" t="inlineStr">
        <is>
          <t>2026-01-21 05:30:00</t>
        </is>
      </c>
      <c r="AZ169" t="inlineStr">
        <is>
          <t>CITIN26608218588</t>
        </is>
      </c>
      <c r="BA169" t="n">
        <v>0</v>
      </c>
      <c r="BB169" t="inlineStr">
        <is>
          <t>4f1a905ad050a6acb89975bd30dae28dc44f07645f9259b3a4ba251e40a4b4b9</t>
        </is>
      </c>
    </row>
    <row r="170">
      <c r="A170" t="inlineStr">
        <is>
          <t>165</t>
        </is>
      </c>
      <c r="B170" t="inlineStr">
        <is>
          <t>7689831372</t>
        </is>
      </c>
      <c r="C170" t="inlineStr">
        <is>
          <t>2026-01-15 21:40:15</t>
        </is>
      </c>
      <c r="D170" t="inlineStr">
        <is>
          <t>3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229</v>
      </c>
      <c r="P170" t="n">
        <v>3.5</v>
      </c>
      <c r="Q170" t="n">
        <v>0</v>
      </c>
      <c r="R170" t="n">
        <v>68.7</v>
      </c>
      <c r="S170" t="n">
        <v>0</v>
      </c>
      <c r="T170" t="n">
        <v>0</v>
      </c>
      <c r="U170" t="n">
        <v>0</v>
      </c>
      <c r="V170" t="n">
        <v>8.19</v>
      </c>
      <c r="W170" t="n">
        <v>171.99</v>
      </c>
      <c r="X170" t="n">
        <v>163.8</v>
      </c>
      <c r="Y170" t="n">
        <v>19</v>
      </c>
      <c r="Z170" t="n">
        <v>31.12</v>
      </c>
      <c r="AA170" t="n">
        <v>3.16</v>
      </c>
      <c r="AB170" t="n">
        <v>34.28</v>
      </c>
      <c r="AC170" t="n">
        <v>6.17</v>
      </c>
      <c r="AD170" t="n">
        <v>0</v>
      </c>
      <c r="AE170" t="n">
        <v>163.8</v>
      </c>
      <c r="AF170" t="n">
        <v>0</v>
      </c>
      <c r="AG170" t="n">
        <v>0</v>
      </c>
      <c r="AH170" t="n">
        <v>0.16</v>
      </c>
      <c r="AI170" t="n">
        <v>8.199999999999999</v>
      </c>
      <c r="AJ170" t="n">
        <v>-0.01</v>
      </c>
      <c r="AK170" t="n">
        <v>14.53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48.81</v>
      </c>
      <c r="AV170" t="n">
        <v>0</v>
      </c>
      <c r="AW170" t="n">
        <v>123.18</v>
      </c>
      <c r="AX170" t="inlineStr">
        <is>
          <t>settled</t>
        </is>
      </c>
      <c r="AY170" t="inlineStr">
        <is>
          <t>2026-01-21 05:30:00</t>
        </is>
      </c>
      <c r="AZ170" t="inlineStr">
        <is>
          <t>CITIN26608218588</t>
        </is>
      </c>
      <c r="BA170" t="n">
        <v>0</v>
      </c>
      <c r="BB170" t="inlineStr">
        <is>
          <t>f93f8dd4aa098e10baf12687b2107f2eef616ad1c4d157d0fcb43b2ec97683e6</t>
        </is>
      </c>
    </row>
    <row r="171">
      <c r="A171" t="inlineStr">
        <is>
          <t>166</t>
        </is>
      </c>
      <c r="B171" t="inlineStr">
        <is>
          <t>7688472657</t>
        </is>
      </c>
      <c r="C171" t="inlineStr">
        <is>
          <t>2026-01-15 22:02:26</t>
        </is>
      </c>
      <c r="D171" t="inlineStr">
        <is>
          <t>3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219</v>
      </c>
      <c r="P171" t="n">
        <v>3.5</v>
      </c>
      <c r="Q171" t="n">
        <v>0</v>
      </c>
      <c r="R171" t="n">
        <v>65.7</v>
      </c>
      <c r="S171" t="n">
        <v>0</v>
      </c>
      <c r="T171" t="n">
        <v>0</v>
      </c>
      <c r="U171" t="n">
        <v>0</v>
      </c>
      <c r="V171" t="n">
        <v>7.84</v>
      </c>
      <c r="W171" t="n">
        <v>164.64</v>
      </c>
      <c r="X171" t="n">
        <v>156.8</v>
      </c>
      <c r="Y171" t="n">
        <v>19</v>
      </c>
      <c r="Z171" t="n">
        <v>29.79</v>
      </c>
      <c r="AA171" t="n">
        <v>3.03</v>
      </c>
      <c r="AB171" t="n">
        <v>32.82</v>
      </c>
      <c r="AC171" t="n">
        <v>5.91</v>
      </c>
      <c r="AD171" t="n">
        <v>0</v>
      </c>
      <c r="AE171" t="n">
        <v>156.8</v>
      </c>
      <c r="AF171" t="n">
        <v>0</v>
      </c>
      <c r="AG171" t="n">
        <v>0</v>
      </c>
      <c r="AH171" t="n">
        <v>0.16</v>
      </c>
      <c r="AI171" t="n">
        <v>7.85</v>
      </c>
      <c r="AJ171" t="n">
        <v>-0.01</v>
      </c>
      <c r="AK171" t="n">
        <v>13.92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46.74</v>
      </c>
      <c r="AV171" t="n">
        <v>0</v>
      </c>
      <c r="AW171" t="n">
        <v>117.9</v>
      </c>
      <c r="AX171" t="inlineStr">
        <is>
          <t>settled</t>
        </is>
      </c>
      <c r="AY171" t="inlineStr">
        <is>
          <t>2026-01-21 05:30:00</t>
        </is>
      </c>
      <c r="AZ171" t="inlineStr">
        <is>
          <t>CITIN26608218588</t>
        </is>
      </c>
      <c r="BA171" t="n">
        <v>0</v>
      </c>
      <c r="BB171" t="inlineStr">
        <is>
          <t>cecb68471df65f2571cbae3f04ed9c2674ee89f86b191ca82a01d90e127de26e</t>
        </is>
      </c>
    </row>
    <row r="172">
      <c r="A172" t="inlineStr">
        <is>
          <t>167</t>
        </is>
      </c>
      <c r="B172" t="inlineStr">
        <is>
          <t>7694528430</t>
        </is>
      </c>
      <c r="C172" t="inlineStr">
        <is>
          <t>2026-01-15 23:35:35</t>
        </is>
      </c>
      <c r="D172" t="inlineStr">
        <is>
          <t>3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30% off upto ₹75 (2025-06-25 - 2031-01-01)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229</v>
      </c>
      <c r="P172" t="n">
        <v>3.5</v>
      </c>
      <c r="Q172" t="n">
        <v>0</v>
      </c>
      <c r="R172" t="n">
        <v>68.7</v>
      </c>
      <c r="S172" t="n">
        <v>0</v>
      </c>
      <c r="T172" t="n">
        <v>0</v>
      </c>
      <c r="U172" t="n">
        <v>0</v>
      </c>
      <c r="V172" t="n">
        <v>8.19</v>
      </c>
      <c r="W172" t="n">
        <v>171.99</v>
      </c>
      <c r="X172" t="n">
        <v>163.8</v>
      </c>
      <c r="Y172" t="n">
        <v>19</v>
      </c>
      <c r="Z172" t="n">
        <v>31.12</v>
      </c>
      <c r="AA172" t="n">
        <v>3.16</v>
      </c>
      <c r="AB172" t="n">
        <v>34.28</v>
      </c>
      <c r="AC172" t="n">
        <v>6.17</v>
      </c>
      <c r="AD172" t="n">
        <v>0</v>
      </c>
      <c r="AE172" t="n">
        <v>163.8</v>
      </c>
      <c r="AF172" t="n">
        <v>0</v>
      </c>
      <c r="AG172" t="n">
        <v>0</v>
      </c>
      <c r="AH172" t="n">
        <v>0.16</v>
      </c>
      <c r="AI172" t="n">
        <v>8.199999999999999</v>
      </c>
      <c r="AJ172" t="n">
        <v>-0.01</v>
      </c>
      <c r="AK172" t="n">
        <v>14.53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48.81</v>
      </c>
      <c r="AV172" t="n">
        <v>0</v>
      </c>
      <c r="AW172" t="n">
        <v>123.18</v>
      </c>
      <c r="AX172" t="inlineStr">
        <is>
          <t>settled</t>
        </is>
      </c>
      <c r="AY172" t="inlineStr">
        <is>
          <t>2026-01-21 05:30:00</t>
        </is>
      </c>
      <c r="AZ172" t="inlineStr">
        <is>
          <t>CITIN26608218588</t>
        </is>
      </c>
      <c r="BA172" t="n">
        <v>0</v>
      </c>
      <c r="BB172" t="inlineStr">
        <is>
          <t>aff79f8a6e7cba297a86476ef1e4be1564f00dec2bd565deaeadf002955cd545</t>
        </is>
      </c>
    </row>
    <row r="173">
      <c r="A173" t="inlineStr">
        <is>
          <t>168</t>
        </is>
      </c>
      <c r="B173" t="inlineStr">
        <is>
          <t>7682550932</t>
        </is>
      </c>
      <c r="C173" t="inlineStr">
        <is>
          <t>2026-01-16 00:02:48</t>
        </is>
      </c>
      <c r="D173" t="inlineStr">
        <is>
          <t>3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NA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1185</v>
      </c>
      <c r="P173" t="n">
        <v>3.5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59.43</v>
      </c>
      <c r="W173" t="n">
        <v>1247.93</v>
      </c>
      <c r="X173" t="n">
        <v>1188.5</v>
      </c>
      <c r="Y173" t="n">
        <v>19</v>
      </c>
      <c r="Z173" t="n">
        <v>225.82</v>
      </c>
      <c r="AA173" t="n">
        <v>22.96</v>
      </c>
      <c r="AB173" t="n">
        <v>248.78</v>
      </c>
      <c r="AC173" t="n">
        <v>44.78</v>
      </c>
      <c r="AD173" t="n">
        <v>0</v>
      </c>
      <c r="AE173" t="n">
        <v>1188.5</v>
      </c>
      <c r="AF173" t="n">
        <v>0</v>
      </c>
      <c r="AG173" t="n">
        <v>0</v>
      </c>
      <c r="AH173" t="n">
        <v>1.19</v>
      </c>
      <c r="AI173" t="n">
        <v>59.43</v>
      </c>
      <c r="AJ173" t="n">
        <v>0</v>
      </c>
      <c r="AK173" t="n">
        <v>105.4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354.18</v>
      </c>
      <c r="AV173" t="n">
        <v>0</v>
      </c>
      <c r="AW173" t="n">
        <v>893.75</v>
      </c>
      <c r="AX173" t="inlineStr">
        <is>
          <t>settled</t>
        </is>
      </c>
      <c r="AY173" t="inlineStr">
        <is>
          <t>2026-01-21 05:30:00</t>
        </is>
      </c>
      <c r="AZ173" t="inlineStr">
        <is>
          <t>CITIN26608218588</t>
        </is>
      </c>
      <c r="BA173" t="n">
        <v>0</v>
      </c>
      <c r="BB173" t="inlineStr">
        <is>
          <t>171eca97a4bef782a6e8b6e13d95b22934512c4dc11f35985e20ac379d731819</t>
        </is>
      </c>
    </row>
    <row r="174">
      <c r="A174" t="inlineStr">
        <is>
          <t>169</t>
        </is>
      </c>
      <c r="B174" t="inlineStr">
        <is>
          <t>7694503417</t>
        </is>
      </c>
      <c r="C174" t="inlineStr">
        <is>
          <t>2026-01-16 00:27:38</t>
        </is>
      </c>
      <c r="D174" t="inlineStr">
        <is>
          <t>3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657</v>
      </c>
      <c r="P174" t="n">
        <v>3.5</v>
      </c>
      <c r="Q174" t="n">
        <v>0</v>
      </c>
      <c r="R174" t="n">
        <v>75</v>
      </c>
      <c r="S174" t="n">
        <v>0</v>
      </c>
      <c r="T174" t="n">
        <v>0</v>
      </c>
      <c r="U174" t="n">
        <v>0</v>
      </c>
      <c r="V174" t="n">
        <v>29.28</v>
      </c>
      <c r="W174" t="n">
        <v>614.78</v>
      </c>
      <c r="X174" t="n">
        <v>585.5</v>
      </c>
      <c r="Y174" t="n">
        <v>19</v>
      </c>
      <c r="Z174" t="n">
        <v>111.24</v>
      </c>
      <c r="AA174" t="n">
        <v>11.31</v>
      </c>
      <c r="AB174" t="n">
        <v>122.55</v>
      </c>
      <c r="AC174" t="n">
        <v>22.06</v>
      </c>
      <c r="AD174" t="n">
        <v>0</v>
      </c>
      <c r="AE174" t="n">
        <v>585.5</v>
      </c>
      <c r="AF174" t="n">
        <v>0</v>
      </c>
      <c r="AG174" t="n">
        <v>0</v>
      </c>
      <c r="AH174" t="n">
        <v>0.59</v>
      </c>
      <c r="AI174" t="n">
        <v>29.28</v>
      </c>
      <c r="AJ174" t="n">
        <v>0</v>
      </c>
      <c r="AK174" t="n">
        <v>51.93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174.48</v>
      </c>
      <c r="AV174" t="n">
        <v>0</v>
      </c>
      <c r="AW174" t="n">
        <v>440.3</v>
      </c>
      <c r="AX174" t="inlineStr">
        <is>
          <t>settled</t>
        </is>
      </c>
      <c r="AY174" t="inlineStr">
        <is>
          <t>2026-01-21 05:30:00</t>
        </is>
      </c>
      <c r="AZ174" t="inlineStr">
        <is>
          <t>CITIN26608218588</t>
        </is>
      </c>
      <c r="BA174" t="n">
        <v>0</v>
      </c>
      <c r="BB174" t="inlineStr">
        <is>
          <t>2609855da693018558cbf0eab94dbd6c25e45b41f888b4d46863059d7b256df3</t>
        </is>
      </c>
    </row>
    <row r="175">
      <c r="A175" t="inlineStr">
        <is>
          <t>170</t>
        </is>
      </c>
      <c r="B175" t="inlineStr">
        <is>
          <t>7691433041</t>
        </is>
      </c>
      <c r="C175" t="inlineStr">
        <is>
          <t>2026-01-16 00:37:57</t>
        </is>
      </c>
      <c r="D175" t="inlineStr">
        <is>
          <t>3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289</v>
      </c>
      <c r="P175" t="n">
        <v>3.5</v>
      </c>
      <c r="Q175" t="n">
        <v>0</v>
      </c>
      <c r="R175" t="n">
        <v>75</v>
      </c>
      <c r="S175" t="n">
        <v>0</v>
      </c>
      <c r="T175" t="n">
        <v>0</v>
      </c>
      <c r="U175" t="n">
        <v>0</v>
      </c>
      <c r="V175" t="n">
        <v>10.88</v>
      </c>
      <c r="W175" t="n">
        <v>228.38</v>
      </c>
      <c r="X175" t="n">
        <v>217.5</v>
      </c>
      <c r="Y175" t="n">
        <v>19</v>
      </c>
      <c r="Z175" t="n">
        <v>41.32</v>
      </c>
      <c r="AA175" t="n">
        <v>4.2</v>
      </c>
      <c r="AB175" t="n">
        <v>45.52</v>
      </c>
      <c r="AC175" t="n">
        <v>8.199999999999999</v>
      </c>
      <c r="AD175" t="n">
        <v>0</v>
      </c>
      <c r="AE175" t="n">
        <v>217.5</v>
      </c>
      <c r="AF175" t="n">
        <v>0</v>
      </c>
      <c r="AG175" t="n">
        <v>0</v>
      </c>
      <c r="AH175" t="n">
        <v>0.22</v>
      </c>
      <c r="AI175" t="n">
        <v>10.88</v>
      </c>
      <c r="AJ175" t="n">
        <v>0</v>
      </c>
      <c r="AK175" t="n">
        <v>19.3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64.81999999999999</v>
      </c>
      <c r="AV175" t="n">
        <v>0</v>
      </c>
      <c r="AW175" t="n">
        <v>163.56</v>
      </c>
      <c r="AX175" t="inlineStr">
        <is>
          <t>settled</t>
        </is>
      </c>
      <c r="AY175" t="inlineStr">
        <is>
          <t>2026-01-21 05:30:00</t>
        </is>
      </c>
      <c r="AZ175" t="inlineStr">
        <is>
          <t>CITIN26608218588</t>
        </is>
      </c>
      <c r="BA175" t="n">
        <v>0</v>
      </c>
      <c r="BB175" t="inlineStr">
        <is>
          <t>6199b5298e9fd0c5d2e367552c176ba4e9c435bd3901fdd1a57c8a3bd6f51d72</t>
        </is>
      </c>
    </row>
    <row r="176">
      <c r="A176" t="inlineStr">
        <is>
          <t>171</t>
        </is>
      </c>
      <c r="B176" t="inlineStr">
        <is>
          <t>7690983772</t>
        </is>
      </c>
      <c r="C176" t="inlineStr">
        <is>
          <t>2026-01-16 01:24:40</t>
        </is>
      </c>
      <c r="D176" t="inlineStr">
        <is>
          <t>3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30% off upto ₹75 (2025-06-25 - 2031-01-01)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229</v>
      </c>
      <c r="P176" t="n">
        <v>3.5</v>
      </c>
      <c r="Q176" t="n">
        <v>0</v>
      </c>
      <c r="R176" t="n">
        <v>68.7</v>
      </c>
      <c r="S176" t="n">
        <v>0</v>
      </c>
      <c r="T176" t="n">
        <v>0</v>
      </c>
      <c r="U176" t="n">
        <v>0</v>
      </c>
      <c r="V176" t="n">
        <v>8.19</v>
      </c>
      <c r="W176" t="n">
        <v>171.99</v>
      </c>
      <c r="X176" t="n">
        <v>163.8</v>
      </c>
      <c r="Y176" t="n">
        <v>19</v>
      </c>
      <c r="Z176" t="n">
        <v>31.12</v>
      </c>
      <c r="AA176" t="n">
        <v>3.16</v>
      </c>
      <c r="AB176" t="n">
        <v>34.28</v>
      </c>
      <c r="AC176" t="n">
        <v>6.17</v>
      </c>
      <c r="AD176" t="n">
        <v>0</v>
      </c>
      <c r="AE176" t="n">
        <v>163.8</v>
      </c>
      <c r="AF176" t="n">
        <v>0</v>
      </c>
      <c r="AG176" t="n">
        <v>0</v>
      </c>
      <c r="AH176" t="n">
        <v>0.16</v>
      </c>
      <c r="AI176" t="n">
        <v>8.199999999999999</v>
      </c>
      <c r="AJ176" t="n">
        <v>-0.01</v>
      </c>
      <c r="AK176" t="n">
        <v>14.53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48.81</v>
      </c>
      <c r="AV176" t="n">
        <v>0</v>
      </c>
      <c r="AW176" t="n">
        <v>123.18</v>
      </c>
      <c r="AX176" t="inlineStr">
        <is>
          <t>settled</t>
        </is>
      </c>
      <c r="AY176" t="inlineStr">
        <is>
          <t>2026-01-21 05:30:00</t>
        </is>
      </c>
      <c r="AZ176" t="inlineStr">
        <is>
          <t>CITIN26608218588</t>
        </is>
      </c>
      <c r="BA176" t="n">
        <v>0</v>
      </c>
      <c r="BB176" t="inlineStr">
        <is>
          <t>94690a3a76d1cac1768787179c0e997728f7e34798539d1f8d042c10183a1a5e</t>
        </is>
      </c>
    </row>
    <row r="177">
      <c r="A177" t="inlineStr">
        <is>
          <t>172</t>
        </is>
      </c>
      <c r="B177" t="inlineStr">
        <is>
          <t>7693785121</t>
        </is>
      </c>
      <c r="C177" t="inlineStr">
        <is>
          <t>2026-01-16 02:37:33</t>
        </is>
      </c>
      <c r="D177" t="inlineStr">
        <is>
          <t>3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448</v>
      </c>
      <c r="P177" t="n">
        <v>3.5</v>
      </c>
      <c r="Q177" t="n">
        <v>0</v>
      </c>
      <c r="R177" t="n">
        <v>75</v>
      </c>
      <c r="S177" t="n">
        <v>0</v>
      </c>
      <c r="T177" t="n">
        <v>0</v>
      </c>
      <c r="U177" t="n">
        <v>0</v>
      </c>
      <c r="V177" t="n">
        <v>18.83</v>
      </c>
      <c r="W177" t="n">
        <v>395.33</v>
      </c>
      <c r="X177" t="n">
        <v>376.5</v>
      </c>
      <c r="Y177" t="n">
        <v>19</v>
      </c>
      <c r="Z177" t="n">
        <v>71.54000000000001</v>
      </c>
      <c r="AA177" t="n">
        <v>7.27</v>
      </c>
      <c r="AB177" t="n">
        <v>78.81</v>
      </c>
      <c r="AC177" t="n">
        <v>14.19</v>
      </c>
      <c r="AD177" t="n">
        <v>0</v>
      </c>
      <c r="AE177" t="n">
        <v>376.5</v>
      </c>
      <c r="AF177" t="n">
        <v>0</v>
      </c>
      <c r="AG177" t="n">
        <v>0</v>
      </c>
      <c r="AH177" t="n">
        <v>0.38</v>
      </c>
      <c r="AI177" t="n">
        <v>18.83</v>
      </c>
      <c r="AJ177" t="n">
        <v>0</v>
      </c>
      <c r="AK177" t="n">
        <v>33.4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112.21</v>
      </c>
      <c r="AV177" t="n">
        <v>0</v>
      </c>
      <c r="AW177" t="n">
        <v>283.12</v>
      </c>
      <c r="AX177" t="inlineStr">
        <is>
          <t>settled</t>
        </is>
      </c>
      <c r="AY177" t="inlineStr">
        <is>
          <t>2026-01-21 05:30:00</t>
        </is>
      </c>
      <c r="AZ177" t="inlineStr">
        <is>
          <t>CITIN26608218588</t>
        </is>
      </c>
      <c r="BA177" t="n">
        <v>0</v>
      </c>
      <c r="BB177" t="inlineStr">
        <is>
          <t>a067cf7fc67d4293595ff4a3f0e9bfd831b1b929df922cd61e6851e7069d47b6</t>
        </is>
      </c>
    </row>
    <row r="178">
      <c r="A178" t="inlineStr">
        <is>
          <t>173</t>
        </is>
      </c>
      <c r="B178" t="inlineStr">
        <is>
          <t>7695229257</t>
        </is>
      </c>
      <c r="C178" t="inlineStr">
        <is>
          <t>2026-01-16 02:48:15</t>
        </is>
      </c>
      <c r="D178" t="inlineStr">
        <is>
          <t>3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218</v>
      </c>
      <c r="P178" t="n">
        <v>3.5</v>
      </c>
      <c r="Q178" t="n">
        <v>0</v>
      </c>
      <c r="R178" t="n">
        <v>65.40000000000001</v>
      </c>
      <c r="S178" t="n">
        <v>0</v>
      </c>
      <c r="T178" t="n">
        <v>0</v>
      </c>
      <c r="U178" t="n">
        <v>0</v>
      </c>
      <c r="V178" t="n">
        <v>7.81</v>
      </c>
      <c r="W178" t="n">
        <v>163.91</v>
      </c>
      <c r="X178" t="n">
        <v>156.1</v>
      </c>
      <c r="Y178" t="n">
        <v>19</v>
      </c>
      <c r="Z178" t="n">
        <v>29.66</v>
      </c>
      <c r="AA178" t="n">
        <v>3.02</v>
      </c>
      <c r="AB178" t="n">
        <v>32.68</v>
      </c>
      <c r="AC178" t="n">
        <v>5.88</v>
      </c>
      <c r="AD178" t="n">
        <v>0</v>
      </c>
      <c r="AE178" t="n">
        <v>156.1</v>
      </c>
      <c r="AF178" t="n">
        <v>0</v>
      </c>
      <c r="AG178" t="n">
        <v>0</v>
      </c>
      <c r="AH178" t="n">
        <v>0.16</v>
      </c>
      <c r="AI178" t="n">
        <v>7.81</v>
      </c>
      <c r="AJ178" t="n">
        <v>0</v>
      </c>
      <c r="AK178" t="n">
        <v>13.85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46.53</v>
      </c>
      <c r="AV178" t="n">
        <v>0</v>
      </c>
      <c r="AW178" t="n">
        <v>117.38</v>
      </c>
      <c r="AX178" t="inlineStr">
        <is>
          <t>settled</t>
        </is>
      </c>
      <c r="AY178" t="inlineStr">
        <is>
          <t>2026-01-21 05:30:00</t>
        </is>
      </c>
      <c r="AZ178" t="inlineStr">
        <is>
          <t>CITIN26608218588</t>
        </is>
      </c>
      <c r="BA178" t="n">
        <v>0</v>
      </c>
      <c r="BB178" t="inlineStr">
        <is>
          <t>afa145505b8926415a8972c1675fffb2c16ac55e66f5c6e6891883e994fa4b18</t>
        </is>
      </c>
    </row>
    <row r="179">
      <c r="A179" t="inlineStr">
        <is>
          <t>174</t>
        </is>
      </c>
      <c r="B179" t="inlineStr">
        <is>
          <t>7693992991</t>
        </is>
      </c>
      <c r="C179" t="inlineStr">
        <is>
          <t>2026-01-16 03:02:59</t>
        </is>
      </c>
      <c r="D179" t="inlineStr">
        <is>
          <t>3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438</v>
      </c>
      <c r="P179" t="n">
        <v>3.5</v>
      </c>
      <c r="Q179" t="n">
        <v>0</v>
      </c>
      <c r="R179" t="n">
        <v>75</v>
      </c>
      <c r="S179" t="n">
        <v>0</v>
      </c>
      <c r="T179" t="n">
        <v>0</v>
      </c>
      <c r="U179" t="n">
        <v>0</v>
      </c>
      <c r="V179" t="n">
        <v>18.33</v>
      </c>
      <c r="W179" t="n">
        <v>384.83</v>
      </c>
      <c r="X179" t="n">
        <v>366.5</v>
      </c>
      <c r="Y179" t="n">
        <v>19</v>
      </c>
      <c r="Z179" t="n">
        <v>69.64</v>
      </c>
      <c r="AA179" t="n">
        <v>7.08</v>
      </c>
      <c r="AB179" t="n">
        <v>76.72</v>
      </c>
      <c r="AC179" t="n">
        <v>13.81</v>
      </c>
      <c r="AD179" t="n">
        <v>0</v>
      </c>
      <c r="AE179" t="n">
        <v>366.5</v>
      </c>
      <c r="AF179" t="n">
        <v>0</v>
      </c>
      <c r="AG179" t="n">
        <v>0</v>
      </c>
      <c r="AH179" t="n">
        <v>0.37</v>
      </c>
      <c r="AI179" t="n">
        <v>18.33</v>
      </c>
      <c r="AJ179" t="n">
        <v>0</v>
      </c>
      <c r="AK179" t="n">
        <v>32.51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109.23</v>
      </c>
      <c r="AV179" t="n">
        <v>0</v>
      </c>
      <c r="AW179" t="n">
        <v>275.6</v>
      </c>
      <c r="AX179" t="inlineStr">
        <is>
          <t>settled</t>
        </is>
      </c>
      <c r="AY179" t="inlineStr">
        <is>
          <t>2026-01-21 05:30:00</t>
        </is>
      </c>
      <c r="AZ179" t="inlineStr">
        <is>
          <t>CITIN26608218588</t>
        </is>
      </c>
      <c r="BA179" t="n">
        <v>0</v>
      </c>
      <c r="BB179" t="inlineStr">
        <is>
          <t>53b2d8a66e7027e4f4d2a51df5ceb12d19e2537b1c0992e3fd4aa838e38be169</t>
        </is>
      </c>
    </row>
    <row r="180">
      <c r="A180" t="inlineStr">
        <is>
          <t>175</t>
        </is>
      </c>
      <c r="B180" t="inlineStr">
        <is>
          <t>7688052166</t>
        </is>
      </c>
      <c r="C180" t="inlineStr">
        <is>
          <t>2026-01-16 03:51:19</t>
        </is>
      </c>
      <c r="D180" t="inlineStr">
        <is>
          <t>3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2026-01-21 05:30:00</t>
        </is>
      </c>
      <c r="AZ180" t="inlineStr">
        <is>
          <t>CITIN26608218588</t>
        </is>
      </c>
      <c r="BA180" t="n">
        <v>0</v>
      </c>
      <c r="BB180" t="inlineStr">
        <is>
          <t>86f169f55160fff3e933f3b081cd9d79879c5fad6eda34ed15df533fb5975c37</t>
        </is>
      </c>
    </row>
    <row r="181">
      <c r="A181" t="inlineStr">
        <is>
          <t>176</t>
        </is>
      </c>
      <c r="B181" t="inlineStr">
        <is>
          <t>7696117862</t>
        </is>
      </c>
      <c r="C181" t="inlineStr">
        <is>
          <t>2026-01-16 03:55:53</t>
        </is>
      </c>
      <c r="D181" t="inlineStr">
        <is>
          <t>3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219</v>
      </c>
      <c r="P181" t="n">
        <v>3.5</v>
      </c>
      <c r="Q181" t="n">
        <v>0</v>
      </c>
      <c r="R181" t="n">
        <v>65.7</v>
      </c>
      <c r="S181" t="n">
        <v>0</v>
      </c>
      <c r="T181" t="n">
        <v>0</v>
      </c>
      <c r="U181" t="n">
        <v>0</v>
      </c>
      <c r="V181" t="n">
        <v>7.84</v>
      </c>
      <c r="W181" t="n">
        <v>164.64</v>
      </c>
      <c r="X181" t="n">
        <v>156.8</v>
      </c>
      <c r="Y181" t="n">
        <v>19</v>
      </c>
      <c r="Z181" t="n">
        <v>29.79</v>
      </c>
      <c r="AA181" t="n">
        <v>3.03</v>
      </c>
      <c r="AB181" t="n">
        <v>32.82</v>
      </c>
      <c r="AC181" t="n">
        <v>5.91</v>
      </c>
      <c r="AD181" t="n">
        <v>0</v>
      </c>
      <c r="AE181" t="n">
        <v>156.8</v>
      </c>
      <c r="AF181" t="n">
        <v>0</v>
      </c>
      <c r="AG181" t="n">
        <v>0</v>
      </c>
      <c r="AH181" t="n">
        <v>0.16</v>
      </c>
      <c r="AI181" t="n">
        <v>7.85</v>
      </c>
      <c r="AJ181" t="n">
        <v>-0.01</v>
      </c>
      <c r="AK181" t="n">
        <v>13.92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46.74</v>
      </c>
      <c r="AV181" t="n">
        <v>0</v>
      </c>
      <c r="AW181" t="n">
        <v>117.9</v>
      </c>
      <c r="AX181" t="inlineStr">
        <is>
          <t>settled</t>
        </is>
      </c>
      <c r="AY181" t="inlineStr">
        <is>
          <t>2026-01-21 05:30:00</t>
        </is>
      </c>
      <c r="AZ181" t="inlineStr">
        <is>
          <t>CITIN26608218588</t>
        </is>
      </c>
      <c r="BA181" t="n">
        <v>0</v>
      </c>
      <c r="BB181" t="inlineStr">
        <is>
          <t>e7ea10f0018ceccd5c7b62bc2030579d3b9b52129b1923e2feb2b8573862e69c</t>
        </is>
      </c>
    </row>
    <row r="182">
      <c r="A182" t="inlineStr">
        <is>
          <t>177</t>
        </is>
      </c>
      <c r="B182" t="inlineStr">
        <is>
          <t>7693065830</t>
        </is>
      </c>
      <c r="C182" t="inlineStr">
        <is>
          <t>2026-01-16 04:14:47</t>
        </is>
      </c>
      <c r="D182" t="inlineStr">
        <is>
          <t>3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30% off upto ₹75 (2025-06-25 - 2031-01-01)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229</v>
      </c>
      <c r="P182" t="n">
        <v>3.5</v>
      </c>
      <c r="Q182" t="n">
        <v>0</v>
      </c>
      <c r="R182" t="n">
        <v>68.7</v>
      </c>
      <c r="S182" t="n">
        <v>0</v>
      </c>
      <c r="T182" t="n">
        <v>0</v>
      </c>
      <c r="U182" t="n">
        <v>0</v>
      </c>
      <c r="V182" t="n">
        <v>8.19</v>
      </c>
      <c r="W182" t="n">
        <v>171.99</v>
      </c>
      <c r="X182" t="n">
        <v>163.8</v>
      </c>
      <c r="Y182" t="n">
        <v>19</v>
      </c>
      <c r="Z182" t="n">
        <v>31.12</v>
      </c>
      <c r="AA182" t="n">
        <v>3.16</v>
      </c>
      <c r="AB182" t="n">
        <v>34.28</v>
      </c>
      <c r="AC182" t="n">
        <v>6.17</v>
      </c>
      <c r="AD182" t="n">
        <v>0</v>
      </c>
      <c r="AE182" t="n">
        <v>163.8</v>
      </c>
      <c r="AF182" t="n">
        <v>0</v>
      </c>
      <c r="AG182" t="n">
        <v>0</v>
      </c>
      <c r="AH182" t="n">
        <v>0.16</v>
      </c>
      <c r="AI182" t="n">
        <v>8.199999999999999</v>
      </c>
      <c r="AJ182" t="n">
        <v>-0.01</v>
      </c>
      <c r="AK182" t="n">
        <v>14.53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48.81</v>
      </c>
      <c r="AV182" t="n">
        <v>0</v>
      </c>
      <c r="AW182" t="n">
        <v>123.18</v>
      </c>
      <c r="AX182" t="inlineStr">
        <is>
          <t>settled</t>
        </is>
      </c>
      <c r="AY182" t="inlineStr">
        <is>
          <t>2026-01-21 05:30:00</t>
        </is>
      </c>
      <c r="AZ182" t="inlineStr">
        <is>
          <t>CITIN26608218588</t>
        </is>
      </c>
      <c r="BA182" t="n">
        <v>0</v>
      </c>
      <c r="BB182" t="inlineStr">
        <is>
          <t>6e7997d4048a3a535be7f26e1ccbc853863efc0e5279dcc09df41445c61880ce</t>
        </is>
      </c>
    </row>
    <row r="183">
      <c r="A183" t="inlineStr">
        <is>
          <t>178</t>
        </is>
      </c>
      <c r="B183" t="inlineStr">
        <is>
          <t>7687433719</t>
        </is>
      </c>
      <c r="C183" t="inlineStr">
        <is>
          <t>2026-01-16 04:21:31</t>
        </is>
      </c>
      <c r="D183" t="inlineStr">
        <is>
          <t>3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219</v>
      </c>
      <c r="P183" t="n">
        <v>3.5</v>
      </c>
      <c r="Q183" t="n">
        <v>0</v>
      </c>
      <c r="R183" t="n">
        <v>65.7</v>
      </c>
      <c r="S183" t="n">
        <v>0</v>
      </c>
      <c r="T183" t="n">
        <v>0</v>
      </c>
      <c r="U183" t="n">
        <v>0</v>
      </c>
      <c r="V183" t="n">
        <v>7.84</v>
      </c>
      <c r="W183" t="n">
        <v>164.64</v>
      </c>
      <c r="X183" t="n">
        <v>156.8</v>
      </c>
      <c r="Y183" t="n">
        <v>19</v>
      </c>
      <c r="Z183" t="n">
        <v>29.79</v>
      </c>
      <c r="AA183" t="n">
        <v>3.03</v>
      </c>
      <c r="AB183" t="n">
        <v>32.82</v>
      </c>
      <c r="AC183" t="n">
        <v>5.91</v>
      </c>
      <c r="AD183" t="n">
        <v>0</v>
      </c>
      <c r="AE183" t="n">
        <v>156.8</v>
      </c>
      <c r="AF183" t="n">
        <v>0</v>
      </c>
      <c r="AG183" t="n">
        <v>0</v>
      </c>
      <c r="AH183" t="n">
        <v>0.16</v>
      </c>
      <c r="AI183" t="n">
        <v>7.85</v>
      </c>
      <c r="AJ183" t="n">
        <v>-0.01</v>
      </c>
      <c r="AK183" t="n">
        <v>13.92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46.74</v>
      </c>
      <c r="AV183" t="n">
        <v>0</v>
      </c>
      <c r="AW183" t="n">
        <v>117.9</v>
      </c>
      <c r="AX183" t="inlineStr">
        <is>
          <t>settled</t>
        </is>
      </c>
      <c r="AY183" t="inlineStr">
        <is>
          <t>2026-01-21 05:30:00</t>
        </is>
      </c>
      <c r="AZ183" t="inlineStr">
        <is>
          <t>CITIN26608218588</t>
        </is>
      </c>
      <c r="BA183" t="n">
        <v>0</v>
      </c>
      <c r="BB183" t="inlineStr">
        <is>
          <t>95556772fbc4ff4eae6520d4d82815e574bebc62afb59fb23e0d026de468fdf9</t>
        </is>
      </c>
    </row>
    <row r="184">
      <c r="A184" t="inlineStr">
        <is>
          <t>179</t>
        </is>
      </c>
      <c r="B184" t="inlineStr">
        <is>
          <t>7691148386</t>
        </is>
      </c>
      <c r="C184" t="inlineStr">
        <is>
          <t>2026-01-16 04:24:03</t>
        </is>
      </c>
      <c r="D184" t="inlineStr">
        <is>
          <t>3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30% off upto ₹75 (2025-06-25 - 2031-01-01)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229</v>
      </c>
      <c r="P184" t="n">
        <v>3.5</v>
      </c>
      <c r="Q184" t="n">
        <v>0</v>
      </c>
      <c r="R184" t="n">
        <v>68.7</v>
      </c>
      <c r="S184" t="n">
        <v>0</v>
      </c>
      <c r="T184" t="n">
        <v>0</v>
      </c>
      <c r="U184" t="n">
        <v>0</v>
      </c>
      <c r="V184" t="n">
        <v>8.19</v>
      </c>
      <c r="W184" t="n">
        <v>171.99</v>
      </c>
      <c r="X184" t="n">
        <v>163.8</v>
      </c>
      <c r="Y184" t="n">
        <v>19</v>
      </c>
      <c r="Z184" t="n">
        <v>31.12</v>
      </c>
      <c r="AA184" t="n">
        <v>3.16</v>
      </c>
      <c r="AB184" t="n">
        <v>34.28</v>
      </c>
      <c r="AC184" t="n">
        <v>6.17</v>
      </c>
      <c r="AD184" t="n">
        <v>0</v>
      </c>
      <c r="AE184" t="n">
        <v>163.8</v>
      </c>
      <c r="AF184" t="n">
        <v>0</v>
      </c>
      <c r="AG184" t="n">
        <v>0</v>
      </c>
      <c r="AH184" t="n">
        <v>0.16</v>
      </c>
      <c r="AI184" t="n">
        <v>8.199999999999999</v>
      </c>
      <c r="AJ184" t="n">
        <v>-0.01</v>
      </c>
      <c r="AK184" t="n">
        <v>14.53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48.81</v>
      </c>
      <c r="AV184" t="n">
        <v>0</v>
      </c>
      <c r="AW184" t="n">
        <v>123.18</v>
      </c>
      <c r="AX184" t="inlineStr">
        <is>
          <t>settled</t>
        </is>
      </c>
      <c r="AY184" t="inlineStr">
        <is>
          <t>2026-01-21 05:30:00</t>
        </is>
      </c>
      <c r="AZ184" t="inlineStr">
        <is>
          <t>CITIN26608218588</t>
        </is>
      </c>
      <c r="BA184" t="n">
        <v>0</v>
      </c>
      <c r="BB184" t="inlineStr">
        <is>
          <t>a55b1d2f06e0d3507decef4c9ac84f90c8c233f589c887a8890bbfa819d9c319</t>
        </is>
      </c>
    </row>
    <row r="185">
      <c r="A185" t="inlineStr">
        <is>
          <t>180</t>
        </is>
      </c>
      <c r="B185" t="inlineStr">
        <is>
          <t>7695979240</t>
        </is>
      </c>
      <c r="C185" t="inlineStr">
        <is>
          <t>2026-01-16 04:36:25</t>
        </is>
      </c>
      <c r="D185" t="inlineStr">
        <is>
          <t>3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458</v>
      </c>
      <c r="P185" t="n">
        <v>3.5</v>
      </c>
      <c r="Q185" t="n">
        <v>0</v>
      </c>
      <c r="R185" t="n">
        <v>75</v>
      </c>
      <c r="S185" t="n">
        <v>0</v>
      </c>
      <c r="T185" t="n">
        <v>0</v>
      </c>
      <c r="U185" t="n">
        <v>0</v>
      </c>
      <c r="V185" t="n">
        <v>19.33</v>
      </c>
      <c r="W185" t="n">
        <v>405.83</v>
      </c>
      <c r="X185" t="n">
        <v>386.5</v>
      </c>
      <c r="Y185" t="n">
        <v>19</v>
      </c>
      <c r="Z185" t="n">
        <v>73.44</v>
      </c>
      <c r="AA185" t="n">
        <v>7.47</v>
      </c>
      <c r="AB185" t="n">
        <v>80.91</v>
      </c>
      <c r="AC185" t="n">
        <v>14.56</v>
      </c>
      <c r="AD185" t="n">
        <v>0</v>
      </c>
      <c r="AE185" t="n">
        <v>386.5</v>
      </c>
      <c r="AF185" t="n">
        <v>0</v>
      </c>
      <c r="AG185" t="n">
        <v>0</v>
      </c>
      <c r="AH185" t="n">
        <v>0.39</v>
      </c>
      <c r="AI185" t="n">
        <v>19.33</v>
      </c>
      <c r="AJ185" t="n">
        <v>0</v>
      </c>
      <c r="AK185" t="n">
        <v>34.28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115.19</v>
      </c>
      <c r="AV185" t="n">
        <v>0</v>
      </c>
      <c r="AW185" t="n">
        <v>290.64</v>
      </c>
      <c r="AX185" t="inlineStr">
        <is>
          <t>settled</t>
        </is>
      </c>
      <c r="AY185" t="inlineStr">
        <is>
          <t>2026-01-21 05:30:00</t>
        </is>
      </c>
      <c r="AZ185" t="inlineStr">
        <is>
          <t>CITIN26608218588</t>
        </is>
      </c>
      <c r="BA185" t="n">
        <v>0</v>
      </c>
      <c r="BB185" t="inlineStr">
        <is>
          <t>96cc48a91d9719bfae1643bf98c82813e7b3e4fe1f3d2fb58e2269f9c71bfe20</t>
        </is>
      </c>
    </row>
    <row r="186">
      <c r="A186" t="inlineStr">
        <is>
          <t>181</t>
        </is>
      </c>
      <c r="B186" t="inlineStr">
        <is>
          <t>7696251005</t>
        </is>
      </c>
      <c r="C186" t="inlineStr">
        <is>
          <t>2026-01-16 14:14:21</t>
        </is>
      </c>
      <c r="D186" t="inlineStr">
        <is>
          <t>3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NA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219</v>
      </c>
      <c r="P186" t="n">
        <v>3.5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11.13</v>
      </c>
      <c r="W186" t="n">
        <v>233.63</v>
      </c>
      <c r="X186" t="n">
        <v>222.5</v>
      </c>
      <c r="Y186" t="n">
        <v>19</v>
      </c>
      <c r="Z186" t="n">
        <v>42.28</v>
      </c>
      <c r="AA186" t="n">
        <v>4.3</v>
      </c>
      <c r="AB186" t="n">
        <v>46.58</v>
      </c>
      <c r="AC186" t="n">
        <v>8.380000000000001</v>
      </c>
      <c r="AD186" t="n">
        <v>0</v>
      </c>
      <c r="AE186" t="n">
        <v>222.5</v>
      </c>
      <c r="AF186" t="n">
        <v>0</v>
      </c>
      <c r="AG186" t="n">
        <v>0</v>
      </c>
      <c r="AH186" t="n">
        <v>0.22</v>
      </c>
      <c r="AI186" t="n">
        <v>11.13</v>
      </c>
      <c r="AJ186" t="n">
        <v>0</v>
      </c>
      <c r="AK186" t="n">
        <v>19.73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66.31</v>
      </c>
      <c r="AV186" t="n">
        <v>0</v>
      </c>
      <c r="AW186" t="n">
        <v>167.32</v>
      </c>
      <c r="AX186" t="inlineStr">
        <is>
          <t>settled</t>
        </is>
      </c>
      <c r="AY186" t="inlineStr">
        <is>
          <t>2026-01-21 05:30:00</t>
        </is>
      </c>
      <c r="AZ186" t="inlineStr">
        <is>
          <t>CITIN26608218588</t>
        </is>
      </c>
      <c r="BA186" t="n">
        <v>0</v>
      </c>
      <c r="BB186" t="inlineStr">
        <is>
          <t>57bde27ef7b11fbe07e274b1e9247547630796a102cd8192c9179a565a95b2ee</t>
        </is>
      </c>
    </row>
    <row r="187">
      <c r="A187" t="inlineStr">
        <is>
          <t>182</t>
        </is>
      </c>
      <c r="B187" t="inlineStr">
        <is>
          <t>7690514101</t>
        </is>
      </c>
      <c r="C187" t="inlineStr">
        <is>
          <t>2026-01-16 14:33:44</t>
        </is>
      </c>
      <c r="D187" t="inlineStr">
        <is>
          <t>3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NA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219</v>
      </c>
      <c r="P187" t="n">
        <v>3.5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11.13</v>
      </c>
      <c r="W187" t="n">
        <v>233.63</v>
      </c>
      <c r="X187" t="n">
        <v>222.5</v>
      </c>
      <c r="Y187" t="n">
        <v>19</v>
      </c>
      <c r="Z187" t="n">
        <v>42.28</v>
      </c>
      <c r="AA187" t="n">
        <v>4.3</v>
      </c>
      <c r="AB187" t="n">
        <v>46.58</v>
      </c>
      <c r="AC187" t="n">
        <v>8.380000000000001</v>
      </c>
      <c r="AD187" t="n">
        <v>0</v>
      </c>
      <c r="AE187" t="n">
        <v>222.5</v>
      </c>
      <c r="AF187" t="n">
        <v>0</v>
      </c>
      <c r="AG187" t="n">
        <v>0</v>
      </c>
      <c r="AH187" t="n">
        <v>0.22</v>
      </c>
      <c r="AI187" t="n">
        <v>11.13</v>
      </c>
      <c r="AJ187" t="n">
        <v>0</v>
      </c>
      <c r="AK187" t="n">
        <v>19.73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66.31</v>
      </c>
      <c r="AV187" t="n">
        <v>0</v>
      </c>
      <c r="AW187" t="n">
        <v>167.32</v>
      </c>
      <c r="AX187" t="inlineStr">
        <is>
          <t>settled</t>
        </is>
      </c>
      <c r="AY187" t="inlineStr">
        <is>
          <t>2026-01-21 05:30:00</t>
        </is>
      </c>
      <c r="AZ187" t="inlineStr">
        <is>
          <t>CITIN26608218588</t>
        </is>
      </c>
      <c r="BA187" t="n">
        <v>0</v>
      </c>
      <c r="BB187" t="inlineStr">
        <is>
          <t>0ac45f315386e629a961a941bdbccc0d29158d0df9b5d17002412f8aa1f212cc</t>
        </is>
      </c>
    </row>
    <row r="188">
      <c r="A188" t="inlineStr">
        <is>
          <t>183</t>
        </is>
      </c>
      <c r="B188" t="inlineStr">
        <is>
          <t>7696658829</t>
        </is>
      </c>
      <c r="C188" t="inlineStr">
        <is>
          <t>2026-01-16 15:31:55</t>
        </is>
      </c>
      <c r="D188" t="inlineStr">
        <is>
          <t>3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229</v>
      </c>
      <c r="P188" t="n">
        <v>3.5</v>
      </c>
      <c r="Q188" t="n">
        <v>0</v>
      </c>
      <c r="R188" t="n">
        <v>68.7</v>
      </c>
      <c r="S188" t="n">
        <v>0</v>
      </c>
      <c r="T188" t="n">
        <v>0</v>
      </c>
      <c r="U188" t="n">
        <v>0</v>
      </c>
      <c r="V188" t="n">
        <v>8.19</v>
      </c>
      <c r="W188" t="n">
        <v>171.99</v>
      </c>
      <c r="X188" t="n">
        <v>163.8</v>
      </c>
      <c r="Y188" t="n">
        <v>19</v>
      </c>
      <c r="Z188" t="n">
        <v>31.12</v>
      </c>
      <c r="AA188" t="n">
        <v>3.16</v>
      </c>
      <c r="AB188" t="n">
        <v>34.28</v>
      </c>
      <c r="AC188" t="n">
        <v>6.17</v>
      </c>
      <c r="AD188" t="n">
        <v>0</v>
      </c>
      <c r="AE188" t="n">
        <v>163.8</v>
      </c>
      <c r="AF188" t="n">
        <v>0</v>
      </c>
      <c r="AG188" t="n">
        <v>0</v>
      </c>
      <c r="AH188" t="n">
        <v>0.16</v>
      </c>
      <c r="AI188" t="n">
        <v>8.199999999999999</v>
      </c>
      <c r="AJ188" t="n">
        <v>-0.01</v>
      </c>
      <c r="AK188" t="n">
        <v>14.53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48.81</v>
      </c>
      <c r="AV188" t="n">
        <v>0</v>
      </c>
      <c r="AW188" t="n">
        <v>123.18</v>
      </c>
      <c r="AX188" t="inlineStr">
        <is>
          <t>settled</t>
        </is>
      </c>
      <c r="AY188" t="inlineStr">
        <is>
          <t>2026-01-21 05:30:00</t>
        </is>
      </c>
      <c r="AZ188" t="inlineStr">
        <is>
          <t>CITIN26608218588</t>
        </is>
      </c>
      <c r="BA188" t="n">
        <v>0</v>
      </c>
      <c r="BB188" t="inlineStr">
        <is>
          <t>c4dff04fd6b3939e49ea087fb7e4002ef8f0d1514fe4ab454349e7a717f63c9d</t>
        </is>
      </c>
    </row>
    <row r="189">
      <c r="A189" t="inlineStr">
        <is>
          <t>184</t>
        </is>
      </c>
      <c r="B189" t="inlineStr">
        <is>
          <t>7690928650</t>
        </is>
      </c>
      <c r="C189" t="inlineStr">
        <is>
          <t>2026-01-16 15:54:52</t>
        </is>
      </c>
      <c r="D189" t="inlineStr">
        <is>
          <t>3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219</v>
      </c>
      <c r="P189" t="n">
        <v>3.5</v>
      </c>
      <c r="Q189" t="n">
        <v>0</v>
      </c>
      <c r="R189" t="n">
        <v>65.7</v>
      </c>
      <c r="S189" t="n">
        <v>0</v>
      </c>
      <c r="T189" t="n">
        <v>0</v>
      </c>
      <c r="U189" t="n">
        <v>0</v>
      </c>
      <c r="V189" t="n">
        <v>7.84</v>
      </c>
      <c r="W189" t="n">
        <v>164.64</v>
      </c>
      <c r="X189" t="n">
        <v>156.8</v>
      </c>
      <c r="Y189" t="n">
        <v>19</v>
      </c>
      <c r="Z189" t="n">
        <v>29.79</v>
      </c>
      <c r="AA189" t="n">
        <v>3.03</v>
      </c>
      <c r="AB189" t="n">
        <v>32.82</v>
      </c>
      <c r="AC189" t="n">
        <v>5.91</v>
      </c>
      <c r="AD189" t="n">
        <v>0</v>
      </c>
      <c r="AE189" t="n">
        <v>156.8</v>
      </c>
      <c r="AF189" t="n">
        <v>0</v>
      </c>
      <c r="AG189" t="n">
        <v>0</v>
      </c>
      <c r="AH189" t="n">
        <v>0.16</v>
      </c>
      <c r="AI189" t="n">
        <v>7.85</v>
      </c>
      <c r="AJ189" t="n">
        <v>-0.01</v>
      </c>
      <c r="AK189" t="n">
        <v>13.92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46.74</v>
      </c>
      <c r="AV189" t="n">
        <v>0</v>
      </c>
      <c r="AW189" t="n">
        <v>117.9</v>
      </c>
      <c r="AX189" t="inlineStr">
        <is>
          <t>settled</t>
        </is>
      </c>
      <c r="AY189" t="inlineStr">
        <is>
          <t>2026-01-21 05:30:00</t>
        </is>
      </c>
      <c r="AZ189" t="inlineStr">
        <is>
          <t>CITIN26608218588</t>
        </is>
      </c>
      <c r="BA189" t="n">
        <v>0</v>
      </c>
      <c r="BB189" t="inlineStr">
        <is>
          <t>c6f9fce3987ede74f0ab5f2d7cf2e11cbb866afebdbc21a75068602867042869</t>
        </is>
      </c>
    </row>
    <row r="190">
      <c r="A190" t="inlineStr">
        <is>
          <t>185</t>
        </is>
      </c>
      <c r="B190" t="inlineStr">
        <is>
          <t>7696847539</t>
        </is>
      </c>
      <c r="C190" t="inlineStr">
        <is>
          <t>2026-01-16 15:59:25</t>
        </is>
      </c>
      <c r="D190" t="inlineStr">
        <is>
          <t>3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229</v>
      </c>
      <c r="P190" t="n">
        <v>3.5</v>
      </c>
      <c r="Q190" t="n">
        <v>0</v>
      </c>
      <c r="R190" t="n">
        <v>68.7</v>
      </c>
      <c r="S190" t="n">
        <v>0</v>
      </c>
      <c r="T190" t="n">
        <v>0</v>
      </c>
      <c r="U190" t="n">
        <v>0</v>
      </c>
      <c r="V190" t="n">
        <v>8.19</v>
      </c>
      <c r="W190" t="n">
        <v>171.99</v>
      </c>
      <c r="X190" t="n">
        <v>163.8</v>
      </c>
      <c r="Y190" t="n">
        <v>19</v>
      </c>
      <c r="Z190" t="n">
        <v>31.12</v>
      </c>
      <c r="AA190" t="n">
        <v>3.16</v>
      </c>
      <c r="AB190" t="n">
        <v>34.28</v>
      </c>
      <c r="AC190" t="n">
        <v>6.17</v>
      </c>
      <c r="AD190" t="n">
        <v>0</v>
      </c>
      <c r="AE190" t="n">
        <v>163.8</v>
      </c>
      <c r="AF190" t="n">
        <v>0</v>
      </c>
      <c r="AG190" t="n">
        <v>0</v>
      </c>
      <c r="AH190" t="n">
        <v>0.16</v>
      </c>
      <c r="AI190" t="n">
        <v>8.199999999999999</v>
      </c>
      <c r="AJ190" t="n">
        <v>-0.01</v>
      </c>
      <c r="AK190" t="n">
        <v>14.53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48.81</v>
      </c>
      <c r="AV190" t="n">
        <v>0</v>
      </c>
      <c r="AW190" t="n">
        <v>123.18</v>
      </c>
      <c r="AX190" t="inlineStr">
        <is>
          <t>settled</t>
        </is>
      </c>
      <c r="AY190" t="inlineStr">
        <is>
          <t>2026-01-21 05:30:00</t>
        </is>
      </c>
      <c r="AZ190" t="inlineStr">
        <is>
          <t>CITIN26608218588</t>
        </is>
      </c>
      <c r="BA190" t="n">
        <v>0</v>
      </c>
      <c r="BB190" t="inlineStr">
        <is>
          <t>64295d7b89d26ecc4ff06b083fbb84ec88770b25f976dc215aff5da405c42ab5</t>
        </is>
      </c>
    </row>
    <row r="191">
      <c r="A191" t="inlineStr">
        <is>
          <t>186</t>
        </is>
      </c>
      <c r="B191" t="inlineStr">
        <is>
          <t>7687380202</t>
        </is>
      </c>
      <c r="C191" t="inlineStr">
        <is>
          <t>2026-01-16 16:29:46</t>
        </is>
      </c>
      <c r="D191" t="inlineStr">
        <is>
          <t>3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68.7</v>
      </c>
      <c r="S191" t="n">
        <v>0</v>
      </c>
      <c r="T191" t="n">
        <v>0</v>
      </c>
      <c r="U191" t="n">
        <v>0</v>
      </c>
      <c r="V191" t="n">
        <v>8.19</v>
      </c>
      <c r="W191" t="n">
        <v>171.99</v>
      </c>
      <c r="X191" t="n">
        <v>163.8</v>
      </c>
      <c r="Y191" t="n">
        <v>19</v>
      </c>
      <c r="Z191" t="n">
        <v>31.12</v>
      </c>
      <c r="AA191" t="n">
        <v>3.16</v>
      </c>
      <c r="AB191" t="n">
        <v>34.28</v>
      </c>
      <c r="AC191" t="n">
        <v>6.17</v>
      </c>
      <c r="AD191" t="n">
        <v>0</v>
      </c>
      <c r="AE191" t="n">
        <v>163.8</v>
      </c>
      <c r="AF191" t="n">
        <v>0</v>
      </c>
      <c r="AG191" t="n">
        <v>0</v>
      </c>
      <c r="AH191" t="n">
        <v>0.16</v>
      </c>
      <c r="AI191" t="n">
        <v>8.199999999999999</v>
      </c>
      <c r="AJ191" t="n">
        <v>-0.01</v>
      </c>
      <c r="AK191" t="n">
        <v>14.53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48.81</v>
      </c>
      <c r="AV191" t="n">
        <v>0</v>
      </c>
      <c r="AW191" t="n">
        <v>123.18</v>
      </c>
      <c r="AX191" t="inlineStr">
        <is>
          <t>settled</t>
        </is>
      </c>
      <c r="AY191" t="inlineStr">
        <is>
          <t>2026-01-21 05:30:00</t>
        </is>
      </c>
      <c r="AZ191" t="inlineStr">
        <is>
          <t>CITIN26608218588</t>
        </is>
      </c>
      <c r="BA191" t="n">
        <v>0</v>
      </c>
      <c r="BB191" t="inlineStr">
        <is>
          <t>bf44bb1dc0bb69706669b4ee11ce63a77a182c4191694e9aeaf0b6ff19ed26f9</t>
        </is>
      </c>
    </row>
    <row r="192">
      <c r="A192" t="inlineStr">
        <is>
          <t>187</t>
        </is>
      </c>
      <c r="B192" t="inlineStr">
        <is>
          <t>7689225105</t>
        </is>
      </c>
      <c r="C192" t="inlineStr">
        <is>
          <t>2026-01-16 16:47:02</t>
        </is>
      </c>
      <c r="D192" t="inlineStr">
        <is>
          <t>3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229</v>
      </c>
      <c r="P192" t="n">
        <v>3.5</v>
      </c>
      <c r="Q192" t="n">
        <v>0</v>
      </c>
      <c r="R192" t="n">
        <v>68.7</v>
      </c>
      <c r="S192" t="n">
        <v>0</v>
      </c>
      <c r="T192" t="n">
        <v>0</v>
      </c>
      <c r="U192" t="n">
        <v>0</v>
      </c>
      <c r="V192" t="n">
        <v>8.19</v>
      </c>
      <c r="W192" t="n">
        <v>171.99</v>
      </c>
      <c r="X192" t="n">
        <v>163.8</v>
      </c>
      <c r="Y192" t="n">
        <v>19</v>
      </c>
      <c r="Z192" t="n">
        <v>31.12</v>
      </c>
      <c r="AA192" t="n">
        <v>3.16</v>
      </c>
      <c r="AB192" t="n">
        <v>34.28</v>
      </c>
      <c r="AC192" t="n">
        <v>6.17</v>
      </c>
      <c r="AD192" t="n">
        <v>0</v>
      </c>
      <c r="AE192" t="n">
        <v>163.8</v>
      </c>
      <c r="AF192" t="n">
        <v>0</v>
      </c>
      <c r="AG192" t="n">
        <v>0</v>
      </c>
      <c r="AH192" t="n">
        <v>0.16</v>
      </c>
      <c r="AI192" t="n">
        <v>8.199999999999999</v>
      </c>
      <c r="AJ192" t="n">
        <v>-0.01</v>
      </c>
      <c r="AK192" t="n">
        <v>14.53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48.81</v>
      </c>
      <c r="AV192" t="n">
        <v>0</v>
      </c>
      <c r="AW192" t="n">
        <v>123.18</v>
      </c>
      <c r="AX192" t="inlineStr">
        <is>
          <t>settled</t>
        </is>
      </c>
      <c r="AY192" t="inlineStr">
        <is>
          <t>2026-01-21 05:30:00</t>
        </is>
      </c>
      <c r="AZ192" t="inlineStr">
        <is>
          <t>CITIN26608218588</t>
        </is>
      </c>
      <c r="BA192" t="n">
        <v>0</v>
      </c>
      <c r="BB192" t="inlineStr">
        <is>
          <t>5cfa0ff977e56ecba895bd15bee8aa7607337afeff90aba9504111835c123d16</t>
        </is>
      </c>
    </row>
    <row r="193">
      <c r="A193" t="inlineStr">
        <is>
          <t>188</t>
        </is>
      </c>
      <c r="B193" t="inlineStr">
        <is>
          <t>7697463752</t>
        </is>
      </c>
      <c r="C193" t="inlineStr">
        <is>
          <t>2026-01-16 16:54:01</t>
        </is>
      </c>
      <c r="D193" t="inlineStr">
        <is>
          <t>3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229</v>
      </c>
      <c r="P193" t="n">
        <v>3.5</v>
      </c>
      <c r="Q193" t="n">
        <v>0</v>
      </c>
      <c r="R193" t="n">
        <v>68.7</v>
      </c>
      <c r="S193" t="n">
        <v>0</v>
      </c>
      <c r="T193" t="n">
        <v>0</v>
      </c>
      <c r="U193" t="n">
        <v>0</v>
      </c>
      <c r="V193" t="n">
        <v>8.19</v>
      </c>
      <c r="W193" t="n">
        <v>171.99</v>
      </c>
      <c r="X193" t="n">
        <v>163.8</v>
      </c>
      <c r="Y193" t="n">
        <v>19</v>
      </c>
      <c r="Z193" t="n">
        <v>31.12</v>
      </c>
      <c r="AA193" t="n">
        <v>3.16</v>
      </c>
      <c r="AB193" t="n">
        <v>34.28</v>
      </c>
      <c r="AC193" t="n">
        <v>6.17</v>
      </c>
      <c r="AD193" t="n">
        <v>0</v>
      </c>
      <c r="AE193" t="n">
        <v>163.8</v>
      </c>
      <c r="AF193" t="n">
        <v>0</v>
      </c>
      <c r="AG193" t="n">
        <v>0</v>
      </c>
      <c r="AH193" t="n">
        <v>0.16</v>
      </c>
      <c r="AI193" t="n">
        <v>8.199999999999999</v>
      </c>
      <c r="AJ193" t="n">
        <v>-0.01</v>
      </c>
      <c r="AK193" t="n">
        <v>14.53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48.81</v>
      </c>
      <c r="AV193" t="n">
        <v>0</v>
      </c>
      <c r="AW193" t="n">
        <v>123.18</v>
      </c>
      <c r="AX193" t="inlineStr">
        <is>
          <t>settled</t>
        </is>
      </c>
      <c r="AY193" t="inlineStr">
        <is>
          <t>2026-01-21 05:30:00</t>
        </is>
      </c>
      <c r="AZ193" t="inlineStr">
        <is>
          <t>CITIN26608218588</t>
        </is>
      </c>
      <c r="BA193" t="n">
        <v>0</v>
      </c>
      <c r="BB193" t="inlineStr">
        <is>
          <t>e0de046eec611107b81147c8aa6567d017a853550106e659370e352e01c78bcc</t>
        </is>
      </c>
    </row>
    <row r="194">
      <c r="A194" t="inlineStr">
        <is>
          <t>189</t>
        </is>
      </c>
      <c r="B194" t="inlineStr">
        <is>
          <t>7697302396</t>
        </is>
      </c>
      <c r="C194" t="inlineStr">
        <is>
          <t>2026-01-16 17:28:46</t>
        </is>
      </c>
      <c r="D194" t="inlineStr">
        <is>
          <t>3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219</v>
      </c>
      <c r="P194" t="n">
        <v>3.5</v>
      </c>
      <c r="Q194" t="n">
        <v>0</v>
      </c>
      <c r="R194" t="n">
        <v>65.7</v>
      </c>
      <c r="S194" t="n">
        <v>0</v>
      </c>
      <c r="T194" t="n">
        <v>0</v>
      </c>
      <c r="U194" t="n">
        <v>0</v>
      </c>
      <c r="V194" t="n">
        <v>7.84</v>
      </c>
      <c r="W194" t="n">
        <v>164.64</v>
      </c>
      <c r="X194" t="n">
        <v>156.8</v>
      </c>
      <c r="Y194" t="n">
        <v>19</v>
      </c>
      <c r="Z194" t="n">
        <v>29.79</v>
      </c>
      <c r="AA194" t="n">
        <v>3.03</v>
      </c>
      <c r="AB194" t="n">
        <v>32.82</v>
      </c>
      <c r="AC194" t="n">
        <v>5.91</v>
      </c>
      <c r="AD194" t="n">
        <v>0</v>
      </c>
      <c r="AE194" t="n">
        <v>156.8</v>
      </c>
      <c r="AF194" t="n">
        <v>0</v>
      </c>
      <c r="AG194" t="n">
        <v>0</v>
      </c>
      <c r="AH194" t="n">
        <v>0.16</v>
      </c>
      <c r="AI194" t="n">
        <v>7.85</v>
      </c>
      <c r="AJ194" t="n">
        <v>-0.01</v>
      </c>
      <c r="AK194" t="n">
        <v>13.92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46.74</v>
      </c>
      <c r="AV194" t="n">
        <v>0</v>
      </c>
      <c r="AW194" t="n">
        <v>117.9</v>
      </c>
      <c r="AX194" t="inlineStr">
        <is>
          <t>settled</t>
        </is>
      </c>
      <c r="AY194" t="inlineStr">
        <is>
          <t>2026-01-21 05:30:00</t>
        </is>
      </c>
      <c r="AZ194" t="inlineStr">
        <is>
          <t>CITIN26608218588</t>
        </is>
      </c>
      <c r="BA194" t="n">
        <v>0</v>
      </c>
      <c r="BB194" t="inlineStr">
        <is>
          <t>cc5da39cdfaed2404b762f1f0fe3b3e658de3fa532329e2df5c4ce982a639696</t>
        </is>
      </c>
    </row>
    <row r="195">
      <c r="A195" t="inlineStr">
        <is>
          <t>190</t>
        </is>
      </c>
      <c r="B195" t="inlineStr">
        <is>
          <t>7697038362</t>
        </is>
      </c>
      <c r="C195" t="inlineStr">
        <is>
          <t>2026-01-16 18:58:05</t>
        </is>
      </c>
      <c r="D195" t="inlineStr">
        <is>
          <t>3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229</v>
      </c>
      <c r="P195" t="n">
        <v>3.5</v>
      </c>
      <c r="Q195" t="n">
        <v>0</v>
      </c>
      <c r="R195" t="n">
        <v>68.7</v>
      </c>
      <c r="S195" t="n">
        <v>0</v>
      </c>
      <c r="T195" t="n">
        <v>0</v>
      </c>
      <c r="U195" t="n">
        <v>0</v>
      </c>
      <c r="V195" t="n">
        <v>8.19</v>
      </c>
      <c r="W195" t="n">
        <v>171.99</v>
      </c>
      <c r="X195" t="n">
        <v>163.8</v>
      </c>
      <c r="Y195" t="n">
        <v>19</v>
      </c>
      <c r="Z195" t="n">
        <v>31.12</v>
      </c>
      <c r="AA195" t="n">
        <v>3.16</v>
      </c>
      <c r="AB195" t="n">
        <v>34.28</v>
      </c>
      <c r="AC195" t="n">
        <v>6.17</v>
      </c>
      <c r="AD195" t="n">
        <v>0</v>
      </c>
      <c r="AE195" t="n">
        <v>163.8</v>
      </c>
      <c r="AF195" t="n">
        <v>0</v>
      </c>
      <c r="AG195" t="n">
        <v>0</v>
      </c>
      <c r="AH195" t="n">
        <v>0.16</v>
      </c>
      <c r="AI195" t="n">
        <v>8.199999999999999</v>
      </c>
      <c r="AJ195" t="n">
        <v>-0.01</v>
      </c>
      <c r="AK195" t="n">
        <v>14.53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48.81</v>
      </c>
      <c r="AV195" t="n">
        <v>0</v>
      </c>
      <c r="AW195" t="n">
        <v>123.18</v>
      </c>
      <c r="AX195" t="inlineStr">
        <is>
          <t>settled</t>
        </is>
      </c>
      <c r="AY195" t="inlineStr">
        <is>
          <t>2026-01-21 05:30:00</t>
        </is>
      </c>
      <c r="AZ195" t="inlineStr">
        <is>
          <t>CITIN26608218588</t>
        </is>
      </c>
      <c r="BA195" t="n">
        <v>0</v>
      </c>
      <c r="BB195" t="inlineStr">
        <is>
          <t>c7a5dca5defa3545caeff0d3c28f983f6bd1254d6c0003756c957bf3d05c663f</t>
        </is>
      </c>
    </row>
    <row r="196">
      <c r="A196" t="inlineStr">
        <is>
          <t>191</t>
        </is>
      </c>
      <c r="B196" t="inlineStr">
        <is>
          <t>7694449972</t>
        </is>
      </c>
      <c r="C196" t="inlineStr">
        <is>
          <t>2026-01-16 18:59:55</t>
        </is>
      </c>
      <c r="D196" t="inlineStr">
        <is>
          <t>3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NA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345</v>
      </c>
      <c r="P196" t="n">
        <v>3.5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17.43</v>
      </c>
      <c r="W196" t="n">
        <v>365.93</v>
      </c>
      <c r="X196" t="n">
        <v>348.5</v>
      </c>
      <c r="Y196" t="n">
        <v>19</v>
      </c>
      <c r="Z196" t="n">
        <v>66.22</v>
      </c>
      <c r="AA196" t="n">
        <v>6.73</v>
      </c>
      <c r="AB196" t="n">
        <v>72.95</v>
      </c>
      <c r="AC196" t="n">
        <v>13.13</v>
      </c>
      <c r="AD196" t="n">
        <v>0</v>
      </c>
      <c r="AE196" t="n">
        <v>348.5</v>
      </c>
      <c r="AF196" t="n">
        <v>0</v>
      </c>
      <c r="AG196" t="n">
        <v>0</v>
      </c>
      <c r="AH196" t="n">
        <v>0.35</v>
      </c>
      <c r="AI196" t="n">
        <v>17.43</v>
      </c>
      <c r="AJ196" t="n">
        <v>0</v>
      </c>
      <c r="AK196" t="n">
        <v>30.91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103.86</v>
      </c>
      <c r="AV196" t="n">
        <v>0</v>
      </c>
      <c r="AW196" t="n">
        <v>262.07</v>
      </c>
      <c r="AX196" t="inlineStr">
        <is>
          <t>settled</t>
        </is>
      </c>
      <c r="AY196" t="inlineStr">
        <is>
          <t>2026-01-21 05:30:00</t>
        </is>
      </c>
      <c r="AZ196" t="inlineStr">
        <is>
          <t>CITIN26608218588</t>
        </is>
      </c>
      <c r="BA196" t="n">
        <v>0</v>
      </c>
      <c r="BB196" t="inlineStr">
        <is>
          <t>3bd0f569f2401057434ced49a1f22499e7df375faf34ac1ffeb561fbeaac57e1</t>
        </is>
      </c>
    </row>
    <row r="197">
      <c r="A197" t="inlineStr">
        <is>
          <t>192</t>
        </is>
      </c>
      <c r="B197" t="inlineStr">
        <is>
          <t>7691643863</t>
        </is>
      </c>
      <c r="C197" t="inlineStr">
        <is>
          <t>2026-01-16 20:15:21</t>
        </is>
      </c>
      <c r="D197" t="inlineStr">
        <is>
          <t>3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30% off upto ₹75 (2025-06-25 - 2031-01-01)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508</v>
      </c>
      <c r="P197" t="n">
        <v>3.5</v>
      </c>
      <c r="Q197" t="n">
        <v>0</v>
      </c>
      <c r="R197" t="n">
        <v>75</v>
      </c>
      <c r="S197" t="n">
        <v>0</v>
      </c>
      <c r="T197" t="n">
        <v>0</v>
      </c>
      <c r="U197" t="n">
        <v>0</v>
      </c>
      <c r="V197" t="n">
        <v>21.83</v>
      </c>
      <c r="W197" t="n">
        <v>458.33</v>
      </c>
      <c r="X197" t="n">
        <v>436.5</v>
      </c>
      <c r="Y197" t="n">
        <v>19</v>
      </c>
      <c r="Z197" t="n">
        <v>82.94</v>
      </c>
      <c r="AA197" t="n">
        <v>8.43</v>
      </c>
      <c r="AB197" t="n">
        <v>91.37</v>
      </c>
      <c r="AC197" t="n">
        <v>16.45</v>
      </c>
      <c r="AD197" t="n">
        <v>0</v>
      </c>
      <c r="AE197" t="n">
        <v>436.5</v>
      </c>
      <c r="AF197" t="n">
        <v>0</v>
      </c>
      <c r="AG197" t="n">
        <v>0</v>
      </c>
      <c r="AH197" t="n">
        <v>0.44</v>
      </c>
      <c r="AI197" t="n">
        <v>21.83</v>
      </c>
      <c r="AJ197" t="n">
        <v>0</v>
      </c>
      <c r="AK197" t="n">
        <v>38.72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130.09</v>
      </c>
      <c r="AV197" t="n">
        <v>0</v>
      </c>
      <c r="AW197" t="n">
        <v>328.24</v>
      </c>
      <c r="AX197" t="inlineStr">
        <is>
          <t>settled</t>
        </is>
      </c>
      <c r="AY197" t="inlineStr">
        <is>
          <t>2026-01-21 05:30:00</t>
        </is>
      </c>
      <c r="AZ197" t="inlineStr">
        <is>
          <t>CITIN26608218588</t>
        </is>
      </c>
      <c r="BA197" t="n">
        <v>0</v>
      </c>
      <c r="BB197" t="inlineStr">
        <is>
          <t>c6a5e5d60c07059560a4d379424f75ee663215dcbd06b63f13c42ebf6fd67e02</t>
        </is>
      </c>
    </row>
    <row r="198">
      <c r="A198" t="inlineStr">
        <is>
          <t>193</t>
        </is>
      </c>
      <c r="B198" t="inlineStr">
        <is>
          <t>7695653251</t>
        </is>
      </c>
      <c r="C198" t="inlineStr">
        <is>
          <t>2026-01-16 21:16:02</t>
        </is>
      </c>
      <c r="D198" t="inlineStr">
        <is>
          <t>3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NA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219</v>
      </c>
      <c r="P198" t="n">
        <v>3.5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11.13</v>
      </c>
      <c r="W198" t="n">
        <v>233.63</v>
      </c>
      <c r="X198" t="n">
        <v>222.5</v>
      </c>
      <c r="Y198" t="n">
        <v>19</v>
      </c>
      <c r="Z198" t="n">
        <v>42.28</v>
      </c>
      <c r="AA198" t="n">
        <v>4.3</v>
      </c>
      <c r="AB198" t="n">
        <v>46.58</v>
      </c>
      <c r="AC198" t="n">
        <v>8.380000000000001</v>
      </c>
      <c r="AD198" t="n">
        <v>0</v>
      </c>
      <c r="AE198" t="n">
        <v>222.5</v>
      </c>
      <c r="AF198" t="n">
        <v>0</v>
      </c>
      <c r="AG198" t="n">
        <v>0</v>
      </c>
      <c r="AH198" t="n">
        <v>0.22</v>
      </c>
      <c r="AI198" t="n">
        <v>11.13</v>
      </c>
      <c r="AJ198" t="n">
        <v>0</v>
      </c>
      <c r="AK198" t="n">
        <v>19.73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66.31</v>
      </c>
      <c r="AV198" t="n">
        <v>0</v>
      </c>
      <c r="AW198" t="n">
        <v>167.32</v>
      </c>
      <c r="AX198" t="inlineStr">
        <is>
          <t>settled</t>
        </is>
      </c>
      <c r="AY198" t="inlineStr">
        <is>
          <t>2026-01-21 05:30:00</t>
        </is>
      </c>
      <c r="AZ198" t="inlineStr">
        <is>
          <t>CITIN26608218588</t>
        </is>
      </c>
      <c r="BA198" t="n">
        <v>0</v>
      </c>
      <c r="BB198" t="inlineStr">
        <is>
          <t>1eb19c1f201355b42f0ec70378920ec0821ae6d1491397e7e25981243522333f</t>
        </is>
      </c>
    </row>
    <row r="199">
      <c r="A199" t="inlineStr">
        <is>
          <t>194</t>
        </is>
      </c>
      <c r="B199" t="inlineStr">
        <is>
          <t>7687550283</t>
        </is>
      </c>
      <c r="C199" t="inlineStr">
        <is>
          <t>2026-01-16 21:24:00</t>
        </is>
      </c>
      <c r="D199" t="inlineStr">
        <is>
          <t>3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30% off upto ₹75 (2025-06-25 - 2031-01-01)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229</v>
      </c>
      <c r="P199" t="n">
        <v>3.5</v>
      </c>
      <c r="Q199" t="n">
        <v>0</v>
      </c>
      <c r="R199" t="n">
        <v>68.7</v>
      </c>
      <c r="S199" t="n">
        <v>0</v>
      </c>
      <c r="T199" t="n">
        <v>0</v>
      </c>
      <c r="U199" t="n">
        <v>0</v>
      </c>
      <c r="V199" t="n">
        <v>8.19</v>
      </c>
      <c r="W199" t="n">
        <v>171.99</v>
      </c>
      <c r="X199" t="n">
        <v>163.8</v>
      </c>
      <c r="Y199" t="n">
        <v>19</v>
      </c>
      <c r="Z199" t="n">
        <v>31.12</v>
      </c>
      <c r="AA199" t="n">
        <v>3.16</v>
      </c>
      <c r="AB199" t="n">
        <v>34.28</v>
      </c>
      <c r="AC199" t="n">
        <v>6.17</v>
      </c>
      <c r="AD199" t="n">
        <v>0</v>
      </c>
      <c r="AE199" t="n">
        <v>163.8</v>
      </c>
      <c r="AF199" t="n">
        <v>0</v>
      </c>
      <c r="AG199" t="n">
        <v>0</v>
      </c>
      <c r="AH199" t="n">
        <v>0.16</v>
      </c>
      <c r="AI199" t="n">
        <v>8.199999999999999</v>
      </c>
      <c r="AJ199" t="n">
        <v>-0.01</v>
      </c>
      <c r="AK199" t="n">
        <v>14.53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48.81</v>
      </c>
      <c r="AV199" t="n">
        <v>0</v>
      </c>
      <c r="AW199" t="n">
        <v>123.18</v>
      </c>
      <c r="AX199" t="inlineStr">
        <is>
          <t>settled</t>
        </is>
      </c>
      <c r="AY199" t="inlineStr">
        <is>
          <t>2026-01-21 05:30:00</t>
        </is>
      </c>
      <c r="AZ199" t="inlineStr">
        <is>
          <t>CITIN26608218588</t>
        </is>
      </c>
      <c r="BA199" t="n">
        <v>0</v>
      </c>
      <c r="BB199" t="inlineStr">
        <is>
          <t>19c169837356dda29ad2098f97811adc3df979375d0883a8c58c45f35caaeeae</t>
        </is>
      </c>
    </row>
    <row r="200">
      <c r="A200" t="inlineStr">
        <is>
          <t>195</t>
        </is>
      </c>
      <c r="B200" t="inlineStr">
        <is>
          <t>7689176756</t>
        </is>
      </c>
      <c r="C200" t="inlineStr">
        <is>
          <t>2026-01-16 21:26:56</t>
        </is>
      </c>
      <c r="D200" t="inlineStr">
        <is>
          <t>3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289</v>
      </c>
      <c r="P200" t="n">
        <v>3.5</v>
      </c>
      <c r="Q200" t="n">
        <v>0</v>
      </c>
      <c r="R200" t="n">
        <v>75</v>
      </c>
      <c r="S200" t="n">
        <v>0</v>
      </c>
      <c r="T200" t="n">
        <v>0</v>
      </c>
      <c r="U200" t="n">
        <v>0</v>
      </c>
      <c r="V200" t="n">
        <v>10.88</v>
      </c>
      <c r="W200" t="n">
        <v>228.38</v>
      </c>
      <c r="X200" t="n">
        <v>217.5</v>
      </c>
      <c r="Y200" t="n">
        <v>19</v>
      </c>
      <c r="Z200" t="n">
        <v>41.32</v>
      </c>
      <c r="AA200" t="n">
        <v>4.2</v>
      </c>
      <c r="AB200" t="n">
        <v>45.52</v>
      </c>
      <c r="AC200" t="n">
        <v>8.199999999999999</v>
      </c>
      <c r="AD200" t="n">
        <v>0</v>
      </c>
      <c r="AE200" t="n">
        <v>217.5</v>
      </c>
      <c r="AF200" t="n">
        <v>0</v>
      </c>
      <c r="AG200" t="n">
        <v>0</v>
      </c>
      <c r="AH200" t="n">
        <v>0.22</v>
      </c>
      <c r="AI200" t="n">
        <v>10.88</v>
      </c>
      <c r="AJ200" t="n">
        <v>0</v>
      </c>
      <c r="AK200" t="n">
        <v>19.3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64.81999999999999</v>
      </c>
      <c r="AV200" t="n">
        <v>0</v>
      </c>
      <c r="AW200" t="n">
        <v>163.56</v>
      </c>
      <c r="AX200" t="inlineStr">
        <is>
          <t>settled</t>
        </is>
      </c>
      <c r="AY200" t="inlineStr">
        <is>
          <t>2026-01-21 05:30:00</t>
        </is>
      </c>
      <c r="AZ200" t="inlineStr">
        <is>
          <t>CITIN26608218588</t>
        </is>
      </c>
      <c r="BA200" t="n">
        <v>0</v>
      </c>
      <c r="BB200" t="inlineStr">
        <is>
          <t>f48998bdc66570da43cbba858e223c0c626a9a05bd33e8e163cfbcaff06d7ed9</t>
        </is>
      </c>
    </row>
    <row r="201">
      <c r="A201" t="inlineStr">
        <is>
          <t>196</t>
        </is>
      </c>
      <c r="B201" t="inlineStr">
        <is>
          <t>7696558455</t>
        </is>
      </c>
      <c r="C201" t="inlineStr">
        <is>
          <t>2026-01-16 21:27:22</t>
        </is>
      </c>
      <c r="D201" t="inlineStr">
        <is>
          <t>3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219</v>
      </c>
      <c r="P201" t="n">
        <v>3.5</v>
      </c>
      <c r="Q201" t="n">
        <v>0</v>
      </c>
      <c r="R201" t="n">
        <v>65.7</v>
      </c>
      <c r="S201" t="n">
        <v>0</v>
      </c>
      <c r="T201" t="n">
        <v>0</v>
      </c>
      <c r="U201" t="n">
        <v>0</v>
      </c>
      <c r="V201" t="n">
        <v>7.84</v>
      </c>
      <c r="W201" t="n">
        <v>164.64</v>
      </c>
      <c r="X201" t="n">
        <v>156.8</v>
      </c>
      <c r="Y201" t="n">
        <v>19</v>
      </c>
      <c r="Z201" t="n">
        <v>29.79</v>
      </c>
      <c r="AA201" t="n">
        <v>3.03</v>
      </c>
      <c r="AB201" t="n">
        <v>32.82</v>
      </c>
      <c r="AC201" t="n">
        <v>5.91</v>
      </c>
      <c r="AD201" t="n">
        <v>0</v>
      </c>
      <c r="AE201" t="n">
        <v>156.8</v>
      </c>
      <c r="AF201" t="n">
        <v>0</v>
      </c>
      <c r="AG201" t="n">
        <v>0</v>
      </c>
      <c r="AH201" t="n">
        <v>0.16</v>
      </c>
      <c r="AI201" t="n">
        <v>7.85</v>
      </c>
      <c r="AJ201" t="n">
        <v>-0.01</v>
      </c>
      <c r="AK201" t="n">
        <v>13.92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46.74</v>
      </c>
      <c r="AV201" t="n">
        <v>0</v>
      </c>
      <c r="AW201" t="n">
        <v>117.9</v>
      </c>
      <c r="AX201" t="inlineStr">
        <is>
          <t>settled</t>
        </is>
      </c>
      <c r="AY201" t="inlineStr">
        <is>
          <t>2026-01-21 05:30:00</t>
        </is>
      </c>
      <c r="AZ201" t="inlineStr">
        <is>
          <t>CITIN26608218588</t>
        </is>
      </c>
      <c r="BA201" t="n">
        <v>0</v>
      </c>
      <c r="BB201" t="inlineStr">
        <is>
          <t>d6c86b705f742150910b7687ebba09751a767b8a916a43372d0a65b4a109dab1</t>
        </is>
      </c>
    </row>
    <row r="202">
      <c r="A202" t="inlineStr">
        <is>
          <t>197</t>
        </is>
      </c>
      <c r="B202" t="inlineStr">
        <is>
          <t>7689759386</t>
        </is>
      </c>
      <c r="C202" t="inlineStr">
        <is>
          <t>2026-01-16 21:45:22</t>
        </is>
      </c>
      <c r="D202" t="inlineStr">
        <is>
          <t>3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30% off upto ₹75 (2025-06-25 - 2031-01-01)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219</v>
      </c>
      <c r="P202" t="n">
        <v>3.5</v>
      </c>
      <c r="Q202" t="n">
        <v>0</v>
      </c>
      <c r="R202" t="n">
        <v>65.7</v>
      </c>
      <c r="S202" t="n">
        <v>0</v>
      </c>
      <c r="T202" t="n">
        <v>0</v>
      </c>
      <c r="U202" t="n">
        <v>0</v>
      </c>
      <c r="V202" t="n">
        <v>7.84</v>
      </c>
      <c r="W202" t="n">
        <v>164.64</v>
      </c>
      <c r="X202" t="n">
        <v>156.8</v>
      </c>
      <c r="Y202" t="n">
        <v>19</v>
      </c>
      <c r="Z202" t="n">
        <v>29.79</v>
      </c>
      <c r="AA202" t="n">
        <v>3.03</v>
      </c>
      <c r="AB202" t="n">
        <v>32.82</v>
      </c>
      <c r="AC202" t="n">
        <v>5.91</v>
      </c>
      <c r="AD202" t="n">
        <v>0</v>
      </c>
      <c r="AE202" t="n">
        <v>156.8</v>
      </c>
      <c r="AF202" t="n">
        <v>0</v>
      </c>
      <c r="AG202" t="n">
        <v>0</v>
      </c>
      <c r="AH202" t="n">
        <v>0.16</v>
      </c>
      <c r="AI202" t="n">
        <v>7.85</v>
      </c>
      <c r="AJ202" t="n">
        <v>-0.01</v>
      </c>
      <c r="AK202" t="n">
        <v>13.92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46.74</v>
      </c>
      <c r="AV202" t="n">
        <v>0</v>
      </c>
      <c r="AW202" t="n">
        <v>117.9</v>
      </c>
      <c r="AX202" t="inlineStr">
        <is>
          <t>settled</t>
        </is>
      </c>
      <c r="AY202" t="inlineStr">
        <is>
          <t>2026-01-21 05:30:00</t>
        </is>
      </c>
      <c r="AZ202" t="inlineStr">
        <is>
          <t>CITIN26608218588</t>
        </is>
      </c>
      <c r="BA202" t="n">
        <v>0</v>
      </c>
      <c r="BB202" t="inlineStr">
        <is>
          <t>b855d3c417997c83fa793988be0cea3c9dfe2abee125146469fb6355ce4b8ce7</t>
        </is>
      </c>
    </row>
    <row r="203">
      <c r="A203" t="inlineStr">
        <is>
          <t>198</t>
        </is>
      </c>
      <c r="B203" t="inlineStr">
        <is>
          <t>7695078431</t>
        </is>
      </c>
      <c r="C203" t="inlineStr">
        <is>
          <t>2026-01-16 22:08:22</t>
        </is>
      </c>
      <c r="D203" t="inlineStr">
        <is>
          <t>3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30% off upto ₹75 (2025-06-25 - 2031-01-01)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229</v>
      </c>
      <c r="P203" t="n">
        <v>3.5</v>
      </c>
      <c r="Q203" t="n">
        <v>0</v>
      </c>
      <c r="R203" t="n">
        <v>68.7</v>
      </c>
      <c r="S203" t="n">
        <v>0</v>
      </c>
      <c r="T203" t="n">
        <v>0</v>
      </c>
      <c r="U203" t="n">
        <v>0</v>
      </c>
      <c r="V203" t="n">
        <v>8.19</v>
      </c>
      <c r="W203" t="n">
        <v>171.99</v>
      </c>
      <c r="X203" t="n">
        <v>163.8</v>
      </c>
      <c r="Y203" t="n">
        <v>19</v>
      </c>
      <c r="Z203" t="n">
        <v>31.12</v>
      </c>
      <c r="AA203" t="n">
        <v>3.16</v>
      </c>
      <c r="AB203" t="n">
        <v>34.28</v>
      </c>
      <c r="AC203" t="n">
        <v>6.17</v>
      </c>
      <c r="AD203" t="n">
        <v>0</v>
      </c>
      <c r="AE203" t="n">
        <v>163.8</v>
      </c>
      <c r="AF203" t="n">
        <v>0</v>
      </c>
      <c r="AG203" t="n">
        <v>0</v>
      </c>
      <c r="AH203" t="n">
        <v>0.16</v>
      </c>
      <c r="AI203" t="n">
        <v>8.199999999999999</v>
      </c>
      <c r="AJ203" t="n">
        <v>-0.01</v>
      </c>
      <c r="AK203" t="n">
        <v>14.53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48.81</v>
      </c>
      <c r="AV203" t="n">
        <v>0</v>
      </c>
      <c r="AW203" t="n">
        <v>123.18</v>
      </c>
      <c r="AX203" t="inlineStr">
        <is>
          <t>settled</t>
        </is>
      </c>
      <c r="AY203" t="inlineStr">
        <is>
          <t>2026-01-21 05:30:00</t>
        </is>
      </c>
      <c r="AZ203" t="inlineStr">
        <is>
          <t>CITIN26608218588</t>
        </is>
      </c>
      <c r="BA203" t="n">
        <v>0</v>
      </c>
      <c r="BB203" t="inlineStr">
        <is>
          <t>c93e1500da1757da521f82cccc35c4f630ad8d41a126a77a10470e1ef6f4d22a</t>
        </is>
      </c>
    </row>
    <row r="204">
      <c r="A204" t="inlineStr">
        <is>
          <t>199</t>
        </is>
      </c>
      <c r="B204" t="inlineStr">
        <is>
          <t>7697750920</t>
        </is>
      </c>
      <c r="C204" t="inlineStr">
        <is>
          <t>2026-01-16 22:20:47</t>
        </is>
      </c>
      <c r="D204" t="inlineStr">
        <is>
          <t>3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219</v>
      </c>
      <c r="P204" t="n">
        <v>3.5</v>
      </c>
      <c r="Q204" t="n">
        <v>0</v>
      </c>
      <c r="R204" t="n">
        <v>65.7</v>
      </c>
      <c r="S204" t="n">
        <v>0</v>
      </c>
      <c r="T204" t="n">
        <v>0</v>
      </c>
      <c r="U204" t="n">
        <v>0</v>
      </c>
      <c r="V204" t="n">
        <v>7.84</v>
      </c>
      <c r="W204" t="n">
        <v>164.64</v>
      </c>
      <c r="X204" t="n">
        <v>156.8</v>
      </c>
      <c r="Y204" t="n">
        <v>19</v>
      </c>
      <c r="Z204" t="n">
        <v>29.79</v>
      </c>
      <c r="AA204" t="n">
        <v>3.03</v>
      </c>
      <c r="AB204" t="n">
        <v>32.82</v>
      </c>
      <c r="AC204" t="n">
        <v>5.91</v>
      </c>
      <c r="AD204" t="n">
        <v>0</v>
      </c>
      <c r="AE204" t="n">
        <v>156.8</v>
      </c>
      <c r="AF204" t="n">
        <v>0</v>
      </c>
      <c r="AG204" t="n">
        <v>0</v>
      </c>
      <c r="AH204" t="n">
        <v>0.16</v>
      </c>
      <c r="AI204" t="n">
        <v>7.85</v>
      </c>
      <c r="AJ204" t="n">
        <v>-0.01</v>
      </c>
      <c r="AK204" t="n">
        <v>13.92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46.74</v>
      </c>
      <c r="AV204" t="n">
        <v>0</v>
      </c>
      <c r="AW204" t="n">
        <v>117.9</v>
      </c>
      <c r="AX204" t="inlineStr">
        <is>
          <t>settled</t>
        </is>
      </c>
      <c r="AY204" t="inlineStr">
        <is>
          <t>2026-01-21 05:30:00</t>
        </is>
      </c>
      <c r="AZ204" t="inlineStr">
        <is>
          <t>CITIN26608218588</t>
        </is>
      </c>
      <c r="BA204" t="n">
        <v>0</v>
      </c>
      <c r="BB204" t="inlineStr">
        <is>
          <t>45851e894dc61d6992b9aded42560561f5c7ea294e2b13c7cfdce244fe5d3783</t>
        </is>
      </c>
    </row>
    <row r="205">
      <c r="A205" t="inlineStr">
        <is>
          <t>200</t>
        </is>
      </c>
      <c r="B205" t="inlineStr">
        <is>
          <t>7694349676</t>
        </is>
      </c>
      <c r="C205" t="inlineStr">
        <is>
          <t>2026-01-16 22:21:03</t>
        </is>
      </c>
      <c r="D205" t="inlineStr">
        <is>
          <t>3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30% off upto ₹75 (2025-06-25 - 2031-01-01)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219</v>
      </c>
      <c r="P205" t="n">
        <v>3.5</v>
      </c>
      <c r="Q205" t="n">
        <v>0</v>
      </c>
      <c r="R205" t="n">
        <v>65.7</v>
      </c>
      <c r="S205" t="n">
        <v>0</v>
      </c>
      <c r="T205" t="n">
        <v>0</v>
      </c>
      <c r="U205" t="n">
        <v>0</v>
      </c>
      <c r="V205" t="n">
        <v>7.84</v>
      </c>
      <c r="W205" t="n">
        <v>164.64</v>
      </c>
      <c r="X205" t="n">
        <v>156.8</v>
      </c>
      <c r="Y205" t="n">
        <v>19</v>
      </c>
      <c r="Z205" t="n">
        <v>29.79</v>
      </c>
      <c r="AA205" t="n">
        <v>3.03</v>
      </c>
      <c r="AB205" t="n">
        <v>32.82</v>
      </c>
      <c r="AC205" t="n">
        <v>5.91</v>
      </c>
      <c r="AD205" t="n">
        <v>0</v>
      </c>
      <c r="AE205" t="n">
        <v>156.8</v>
      </c>
      <c r="AF205" t="n">
        <v>0</v>
      </c>
      <c r="AG205" t="n">
        <v>0</v>
      </c>
      <c r="AH205" t="n">
        <v>0.16</v>
      </c>
      <c r="AI205" t="n">
        <v>7.85</v>
      </c>
      <c r="AJ205" t="n">
        <v>-0.01</v>
      </c>
      <c r="AK205" t="n">
        <v>13.92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46.74</v>
      </c>
      <c r="AV205" t="n">
        <v>0</v>
      </c>
      <c r="AW205" t="n">
        <v>117.9</v>
      </c>
      <c r="AX205" t="inlineStr">
        <is>
          <t>settled</t>
        </is>
      </c>
      <c r="AY205" t="inlineStr">
        <is>
          <t>2026-01-21 05:30:00</t>
        </is>
      </c>
      <c r="AZ205" t="inlineStr">
        <is>
          <t>CITIN26608218588</t>
        </is>
      </c>
      <c r="BA205" t="n">
        <v>0</v>
      </c>
      <c r="BB205" t="inlineStr">
        <is>
          <t>f120f57698cd37b1c68767d8e1c3eac1c57100c1b1b4b8c0a60965c665f3be56</t>
        </is>
      </c>
    </row>
    <row r="206">
      <c r="A206" t="inlineStr">
        <is>
          <t>201</t>
        </is>
      </c>
      <c r="B206" t="inlineStr">
        <is>
          <t>7698868156</t>
        </is>
      </c>
      <c r="C206" t="inlineStr">
        <is>
          <t>2026-01-16 22:32:50</t>
        </is>
      </c>
      <c r="D206" t="inlineStr">
        <is>
          <t>3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30% off upto ₹75 (2025-06-25 - 2031-01-01)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229</v>
      </c>
      <c r="P206" t="n">
        <v>3.5</v>
      </c>
      <c r="Q206" t="n">
        <v>0</v>
      </c>
      <c r="R206" t="n">
        <v>68.7</v>
      </c>
      <c r="S206" t="n">
        <v>0</v>
      </c>
      <c r="T206" t="n">
        <v>0</v>
      </c>
      <c r="U206" t="n">
        <v>0</v>
      </c>
      <c r="V206" t="n">
        <v>8.19</v>
      </c>
      <c r="W206" t="n">
        <v>171.99</v>
      </c>
      <c r="X206" t="n">
        <v>163.8</v>
      </c>
      <c r="Y206" t="n">
        <v>19</v>
      </c>
      <c r="Z206" t="n">
        <v>31.12</v>
      </c>
      <c r="AA206" t="n">
        <v>3.16</v>
      </c>
      <c r="AB206" t="n">
        <v>34.28</v>
      </c>
      <c r="AC206" t="n">
        <v>6.17</v>
      </c>
      <c r="AD206" t="n">
        <v>0</v>
      </c>
      <c r="AE206" t="n">
        <v>163.8</v>
      </c>
      <c r="AF206" t="n">
        <v>0</v>
      </c>
      <c r="AG206" t="n">
        <v>0</v>
      </c>
      <c r="AH206" t="n">
        <v>0.16</v>
      </c>
      <c r="AI206" t="n">
        <v>8.199999999999999</v>
      </c>
      <c r="AJ206" t="n">
        <v>-0.01</v>
      </c>
      <c r="AK206" t="n">
        <v>14.53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48.81</v>
      </c>
      <c r="AV206" t="n">
        <v>0</v>
      </c>
      <c r="AW206" t="n">
        <v>123.18</v>
      </c>
      <c r="AX206" t="inlineStr">
        <is>
          <t>settled</t>
        </is>
      </c>
      <c r="AY206" t="inlineStr">
        <is>
          <t>2026-01-21 05:30:00</t>
        </is>
      </c>
      <c r="AZ206" t="inlineStr">
        <is>
          <t>CITIN26608218588</t>
        </is>
      </c>
      <c r="BA206" t="n">
        <v>0</v>
      </c>
      <c r="BB206" t="inlineStr">
        <is>
          <t>1736a162cf8c566a3121ff3553c02d45420f328e813e5d84ec519a4f2233d06d</t>
        </is>
      </c>
    </row>
    <row r="207">
      <c r="A207" t="inlineStr">
        <is>
          <t>202</t>
        </is>
      </c>
      <c r="B207" t="inlineStr">
        <is>
          <t>7697114263</t>
        </is>
      </c>
      <c r="C207" t="inlineStr">
        <is>
          <t>2026-01-16 22:48:17</t>
        </is>
      </c>
      <c r="D207" t="inlineStr">
        <is>
          <t>3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30% off upto ₹75 (2025-06-25 - 2031-01-01)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219</v>
      </c>
      <c r="P207" t="n">
        <v>3.5</v>
      </c>
      <c r="Q207" t="n">
        <v>0</v>
      </c>
      <c r="R207" t="n">
        <v>65.7</v>
      </c>
      <c r="S207" t="n">
        <v>0</v>
      </c>
      <c r="T207" t="n">
        <v>0</v>
      </c>
      <c r="U207" t="n">
        <v>0</v>
      </c>
      <c r="V207" t="n">
        <v>7.84</v>
      </c>
      <c r="W207" t="n">
        <v>164.64</v>
      </c>
      <c r="X207" t="n">
        <v>156.8</v>
      </c>
      <c r="Y207" t="n">
        <v>19</v>
      </c>
      <c r="Z207" t="n">
        <v>29.79</v>
      </c>
      <c r="AA207" t="n">
        <v>3.03</v>
      </c>
      <c r="AB207" t="n">
        <v>32.82</v>
      </c>
      <c r="AC207" t="n">
        <v>5.91</v>
      </c>
      <c r="AD207" t="n">
        <v>0</v>
      </c>
      <c r="AE207" t="n">
        <v>156.8</v>
      </c>
      <c r="AF207" t="n">
        <v>0</v>
      </c>
      <c r="AG207" t="n">
        <v>0</v>
      </c>
      <c r="AH207" t="n">
        <v>0.16</v>
      </c>
      <c r="AI207" t="n">
        <v>7.85</v>
      </c>
      <c r="AJ207" t="n">
        <v>-0.01</v>
      </c>
      <c r="AK207" t="n">
        <v>13.92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46.74</v>
      </c>
      <c r="AV207" t="n">
        <v>0</v>
      </c>
      <c r="AW207" t="n">
        <v>117.9</v>
      </c>
      <c r="AX207" t="inlineStr">
        <is>
          <t>settled</t>
        </is>
      </c>
      <c r="AY207" t="inlineStr">
        <is>
          <t>2026-01-21 05:30:00</t>
        </is>
      </c>
      <c r="AZ207" t="inlineStr">
        <is>
          <t>CITIN26608218588</t>
        </is>
      </c>
      <c r="BA207" t="n">
        <v>0</v>
      </c>
      <c r="BB207" t="inlineStr">
        <is>
          <t>3552da779c785d0a8860cbe9ca2982ae6fc8925d2181761d89b88896fde0d5ee</t>
        </is>
      </c>
    </row>
    <row r="208">
      <c r="A208" t="inlineStr">
        <is>
          <t>203</t>
        </is>
      </c>
      <c r="B208" t="inlineStr">
        <is>
          <t>7692532681</t>
        </is>
      </c>
      <c r="C208" t="inlineStr">
        <is>
          <t>2026-01-16 22:53:11</t>
        </is>
      </c>
      <c r="D208" t="inlineStr">
        <is>
          <t>3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30% off upto ₹75 (2025-06-25 - 2031-01-01)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229</v>
      </c>
      <c r="P208" t="n">
        <v>3.5</v>
      </c>
      <c r="Q208" t="n">
        <v>0</v>
      </c>
      <c r="R208" t="n">
        <v>68.7</v>
      </c>
      <c r="S208" t="n">
        <v>0</v>
      </c>
      <c r="T208" t="n">
        <v>0</v>
      </c>
      <c r="U208" t="n">
        <v>0</v>
      </c>
      <c r="V208" t="n">
        <v>8.19</v>
      </c>
      <c r="W208" t="n">
        <v>171.99</v>
      </c>
      <c r="X208" t="n">
        <v>163.8</v>
      </c>
      <c r="Y208" t="n">
        <v>19</v>
      </c>
      <c r="Z208" t="n">
        <v>31.12</v>
      </c>
      <c r="AA208" t="n">
        <v>3.16</v>
      </c>
      <c r="AB208" t="n">
        <v>34.28</v>
      </c>
      <c r="AC208" t="n">
        <v>6.17</v>
      </c>
      <c r="AD208" t="n">
        <v>0</v>
      </c>
      <c r="AE208" t="n">
        <v>163.8</v>
      </c>
      <c r="AF208" t="n">
        <v>0</v>
      </c>
      <c r="AG208" t="n">
        <v>0</v>
      </c>
      <c r="AH208" t="n">
        <v>0.16</v>
      </c>
      <c r="AI208" t="n">
        <v>8.199999999999999</v>
      </c>
      <c r="AJ208" t="n">
        <v>-0.01</v>
      </c>
      <c r="AK208" t="n">
        <v>14.53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48.81</v>
      </c>
      <c r="AV208" t="n">
        <v>0</v>
      </c>
      <c r="AW208" t="n">
        <v>123.18</v>
      </c>
      <c r="AX208" t="inlineStr">
        <is>
          <t>settled</t>
        </is>
      </c>
      <c r="AY208" t="inlineStr">
        <is>
          <t>2026-01-21 05:30:00</t>
        </is>
      </c>
      <c r="AZ208" t="inlineStr">
        <is>
          <t>CITIN26608218588</t>
        </is>
      </c>
      <c r="BA208" t="n">
        <v>0</v>
      </c>
      <c r="BB208" t="inlineStr">
        <is>
          <t>4f6159e6aff13772897672fce80ca65c25704632e1d335ed1ed2163f0f49cba0</t>
        </is>
      </c>
    </row>
    <row r="209">
      <c r="A209" t="inlineStr">
        <is>
          <t>204</t>
        </is>
      </c>
      <c r="B209" t="inlineStr">
        <is>
          <t>7695414029</t>
        </is>
      </c>
      <c r="C209" t="inlineStr">
        <is>
          <t>2026-01-16 23:32:23</t>
        </is>
      </c>
      <c r="D209" t="inlineStr">
        <is>
          <t>3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30% off upto ₹75 (2025-06-25 - 2031-01-01)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338</v>
      </c>
      <c r="P209" t="n">
        <v>3.5</v>
      </c>
      <c r="Q209" t="n">
        <v>0</v>
      </c>
      <c r="R209" t="n">
        <v>75</v>
      </c>
      <c r="S209" t="n">
        <v>0</v>
      </c>
      <c r="T209" t="n">
        <v>0</v>
      </c>
      <c r="U209" t="n">
        <v>0</v>
      </c>
      <c r="V209" t="n">
        <v>13.33</v>
      </c>
      <c r="W209" t="n">
        <v>279.83</v>
      </c>
      <c r="X209" t="n">
        <v>266.5</v>
      </c>
      <c r="Y209" t="n">
        <v>19</v>
      </c>
      <c r="Z209" t="n">
        <v>50.64</v>
      </c>
      <c r="AA209" t="n">
        <v>5.15</v>
      </c>
      <c r="AB209" t="n">
        <v>55.79</v>
      </c>
      <c r="AC209" t="n">
        <v>10.05</v>
      </c>
      <c r="AD209" t="n">
        <v>0</v>
      </c>
      <c r="AE209" t="n">
        <v>266.5</v>
      </c>
      <c r="AF209" t="n">
        <v>0</v>
      </c>
      <c r="AG209" t="n">
        <v>0</v>
      </c>
      <c r="AH209" t="n">
        <v>0.27</v>
      </c>
      <c r="AI209" t="n">
        <v>13.33</v>
      </c>
      <c r="AJ209" t="n">
        <v>0</v>
      </c>
      <c r="AK209" t="n">
        <v>23.65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79.44</v>
      </c>
      <c r="AV209" t="n">
        <v>0</v>
      </c>
      <c r="AW209" t="n">
        <v>200.39</v>
      </c>
      <c r="AX209" t="inlineStr">
        <is>
          <t>settled</t>
        </is>
      </c>
      <c r="AY209" t="inlineStr">
        <is>
          <t>2026-01-21 05:30:00</t>
        </is>
      </c>
      <c r="AZ209" t="inlineStr">
        <is>
          <t>CITIN26608218588</t>
        </is>
      </c>
      <c r="BA209" t="n">
        <v>0</v>
      </c>
      <c r="BB209" t="inlineStr">
        <is>
          <t>5a4152e7640e85cce3714ee026d54b97b622f52be4a354a0a91e419ba9540499</t>
        </is>
      </c>
    </row>
    <row r="210">
      <c r="A210" t="inlineStr">
        <is>
          <t>205</t>
        </is>
      </c>
      <c r="B210" t="inlineStr">
        <is>
          <t>7697815025</t>
        </is>
      </c>
      <c r="C210" t="inlineStr">
        <is>
          <t>2026-01-17 00:04:38</t>
        </is>
      </c>
      <c r="D210" t="inlineStr">
        <is>
          <t>3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NA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687</v>
      </c>
      <c r="P210" t="n">
        <v>3.5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34.53</v>
      </c>
      <c r="W210" t="n">
        <v>725.03</v>
      </c>
      <c r="X210" t="n">
        <v>690.5</v>
      </c>
      <c r="Y210" t="n">
        <v>19</v>
      </c>
      <c r="Z210" t="n">
        <v>131.2</v>
      </c>
      <c r="AA210" t="n">
        <v>13.34</v>
      </c>
      <c r="AB210" t="n">
        <v>144.54</v>
      </c>
      <c r="AC210" t="n">
        <v>26.02</v>
      </c>
      <c r="AD210" t="n">
        <v>0</v>
      </c>
      <c r="AE210" t="n">
        <v>690.5</v>
      </c>
      <c r="AF210" t="n">
        <v>0</v>
      </c>
      <c r="AG210" t="n">
        <v>0</v>
      </c>
      <c r="AH210" t="n">
        <v>0.6899999999999999</v>
      </c>
      <c r="AI210" t="n">
        <v>34.53</v>
      </c>
      <c r="AJ210" t="n">
        <v>0</v>
      </c>
      <c r="AK210" t="n">
        <v>61.24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205.78</v>
      </c>
      <c r="AV210" t="n">
        <v>0</v>
      </c>
      <c r="AW210" t="n">
        <v>519.25</v>
      </c>
      <c r="AX210" t="inlineStr">
        <is>
          <t>settled</t>
        </is>
      </c>
      <c r="AY210" t="inlineStr">
        <is>
          <t>2026-01-21 05:30:00</t>
        </is>
      </c>
      <c r="AZ210" t="inlineStr">
        <is>
          <t>CITIN26608218588</t>
        </is>
      </c>
      <c r="BA210" t="n">
        <v>0</v>
      </c>
      <c r="BB210" t="inlineStr">
        <is>
          <t>b8d2d11fcb7aeb44be03f4914794a79c151d8a4915c10e45360eb13c58d89f58</t>
        </is>
      </c>
    </row>
    <row r="211">
      <c r="A211" t="inlineStr">
        <is>
          <t>206</t>
        </is>
      </c>
      <c r="B211" t="inlineStr">
        <is>
          <t>7682825830</t>
        </is>
      </c>
      <c r="C211" t="inlineStr">
        <is>
          <t>2026-01-17 00:23:10</t>
        </is>
      </c>
      <c r="D211" t="inlineStr">
        <is>
          <t>3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30% off upto ₹75 (2025-06-25 - 2031-01-01)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229</v>
      </c>
      <c r="P211" t="n">
        <v>3.5</v>
      </c>
      <c r="Q211" t="n">
        <v>0</v>
      </c>
      <c r="R211" t="n">
        <v>68.7</v>
      </c>
      <c r="S211" t="n">
        <v>0</v>
      </c>
      <c r="T211" t="n">
        <v>0</v>
      </c>
      <c r="U211" t="n">
        <v>0</v>
      </c>
      <c r="V211" t="n">
        <v>8.19</v>
      </c>
      <c r="W211" t="n">
        <v>171.99</v>
      </c>
      <c r="X211" t="n">
        <v>163.8</v>
      </c>
      <c r="Y211" t="n">
        <v>19</v>
      </c>
      <c r="Z211" t="n">
        <v>31.12</v>
      </c>
      <c r="AA211" t="n">
        <v>3.16</v>
      </c>
      <c r="AB211" t="n">
        <v>34.28</v>
      </c>
      <c r="AC211" t="n">
        <v>6.17</v>
      </c>
      <c r="AD211" t="n">
        <v>0</v>
      </c>
      <c r="AE211" t="n">
        <v>163.8</v>
      </c>
      <c r="AF211" t="n">
        <v>0</v>
      </c>
      <c r="AG211" t="n">
        <v>0</v>
      </c>
      <c r="AH211" t="n">
        <v>0.16</v>
      </c>
      <c r="AI211" t="n">
        <v>8.199999999999999</v>
      </c>
      <c r="AJ211" t="n">
        <v>-0.01</v>
      </c>
      <c r="AK211" t="n">
        <v>14.53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48.81</v>
      </c>
      <c r="AV211" t="n">
        <v>0</v>
      </c>
      <c r="AW211" t="n">
        <v>123.18</v>
      </c>
      <c r="AX211" t="inlineStr">
        <is>
          <t>settled</t>
        </is>
      </c>
      <c r="AY211" t="inlineStr">
        <is>
          <t>2026-01-21 05:30:00</t>
        </is>
      </c>
      <c r="AZ211" t="inlineStr">
        <is>
          <t>CITIN26608218588</t>
        </is>
      </c>
      <c r="BA211" t="n">
        <v>0</v>
      </c>
      <c r="BB211" t="inlineStr">
        <is>
          <t>519d00b3348d9c768ac66a416e703be2212c2d3b37e33352f74022a2de2439d6</t>
        </is>
      </c>
    </row>
    <row r="212">
      <c r="A212" t="inlineStr">
        <is>
          <t>207</t>
        </is>
      </c>
      <c r="B212" t="inlineStr">
        <is>
          <t>7698938199</t>
        </is>
      </c>
      <c r="C212" t="inlineStr">
        <is>
          <t>2026-01-17 01:30:05</t>
        </is>
      </c>
      <c r="D212" t="inlineStr">
        <is>
          <t>3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30% off upto ₹75 (2025-06-25 - 2031-01-01)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219</v>
      </c>
      <c r="P212" t="n">
        <v>3.5</v>
      </c>
      <c r="Q212" t="n">
        <v>0</v>
      </c>
      <c r="R212" t="n">
        <v>65.7</v>
      </c>
      <c r="S212" t="n">
        <v>0</v>
      </c>
      <c r="T212" t="n">
        <v>0</v>
      </c>
      <c r="U212" t="n">
        <v>0</v>
      </c>
      <c r="V212" t="n">
        <v>7.84</v>
      </c>
      <c r="W212" t="n">
        <v>164.64</v>
      </c>
      <c r="X212" t="n">
        <v>156.8</v>
      </c>
      <c r="Y212" t="n">
        <v>19</v>
      </c>
      <c r="Z212" t="n">
        <v>29.79</v>
      </c>
      <c r="AA212" t="n">
        <v>3.03</v>
      </c>
      <c r="AB212" t="n">
        <v>32.82</v>
      </c>
      <c r="AC212" t="n">
        <v>5.91</v>
      </c>
      <c r="AD212" t="n">
        <v>0</v>
      </c>
      <c r="AE212" t="n">
        <v>156.8</v>
      </c>
      <c r="AF212" t="n">
        <v>0</v>
      </c>
      <c r="AG212" t="n">
        <v>0</v>
      </c>
      <c r="AH212" t="n">
        <v>0.16</v>
      </c>
      <c r="AI212" t="n">
        <v>7.85</v>
      </c>
      <c r="AJ212" t="n">
        <v>-0.01</v>
      </c>
      <c r="AK212" t="n">
        <v>13.92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46.74</v>
      </c>
      <c r="AV212" t="n">
        <v>0</v>
      </c>
      <c r="AW212" t="n">
        <v>117.9</v>
      </c>
      <c r="AX212" t="inlineStr">
        <is>
          <t>settled</t>
        </is>
      </c>
      <c r="AY212" t="inlineStr">
        <is>
          <t>2026-01-21 05:30:00</t>
        </is>
      </c>
      <c r="AZ212" t="inlineStr">
        <is>
          <t>CITIN26608218588</t>
        </is>
      </c>
      <c r="BA212" t="n">
        <v>0</v>
      </c>
      <c r="BB212" t="inlineStr">
        <is>
          <t>172e558df7c157e9e41253ae38a047f9bc495df896103faefe97da9fb07389da</t>
        </is>
      </c>
    </row>
    <row r="213">
      <c r="A213" t="inlineStr">
        <is>
          <t>208</t>
        </is>
      </c>
      <c r="B213" t="inlineStr">
        <is>
          <t>7699529520</t>
        </is>
      </c>
      <c r="C213" t="inlineStr">
        <is>
          <t>2026-01-17 01:42:43</t>
        </is>
      </c>
      <c r="D213" t="inlineStr">
        <is>
          <t>3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229</v>
      </c>
      <c r="P213" t="n">
        <v>3.5</v>
      </c>
      <c r="Q213" t="n">
        <v>0</v>
      </c>
      <c r="R213" t="n">
        <v>68.7</v>
      </c>
      <c r="S213" t="n">
        <v>0</v>
      </c>
      <c r="T213" t="n">
        <v>0</v>
      </c>
      <c r="U213" t="n">
        <v>0</v>
      </c>
      <c r="V213" t="n">
        <v>8.19</v>
      </c>
      <c r="W213" t="n">
        <v>171.99</v>
      </c>
      <c r="X213" t="n">
        <v>163.8</v>
      </c>
      <c r="Y213" t="n">
        <v>19</v>
      </c>
      <c r="Z213" t="n">
        <v>31.12</v>
      </c>
      <c r="AA213" t="n">
        <v>3.16</v>
      </c>
      <c r="AB213" t="n">
        <v>34.28</v>
      </c>
      <c r="AC213" t="n">
        <v>6.17</v>
      </c>
      <c r="AD213" t="n">
        <v>0</v>
      </c>
      <c r="AE213" t="n">
        <v>163.8</v>
      </c>
      <c r="AF213" t="n">
        <v>0</v>
      </c>
      <c r="AG213" t="n">
        <v>0</v>
      </c>
      <c r="AH213" t="n">
        <v>0.16</v>
      </c>
      <c r="AI213" t="n">
        <v>8.199999999999999</v>
      </c>
      <c r="AJ213" t="n">
        <v>-0.01</v>
      </c>
      <c r="AK213" t="n">
        <v>14.53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48.81</v>
      </c>
      <c r="AV213" t="n">
        <v>0</v>
      </c>
      <c r="AW213" t="n">
        <v>123.18</v>
      </c>
      <c r="AX213" t="inlineStr">
        <is>
          <t>settled</t>
        </is>
      </c>
      <c r="AY213" t="inlineStr">
        <is>
          <t>2026-01-21 05:30:00</t>
        </is>
      </c>
      <c r="AZ213" t="inlineStr">
        <is>
          <t>CITIN26608218588</t>
        </is>
      </c>
      <c r="BA213" t="n">
        <v>0</v>
      </c>
      <c r="BB213" t="inlineStr">
        <is>
          <t>f2331c06fce7437b2ae7836284653b4167b86b7c5a15f679b9ac72ee4b572167</t>
        </is>
      </c>
    </row>
    <row r="214">
      <c r="A214" t="inlineStr">
        <is>
          <t>209</t>
        </is>
      </c>
      <c r="B214" t="inlineStr">
        <is>
          <t>7692362916</t>
        </is>
      </c>
      <c r="C214" t="inlineStr">
        <is>
          <t>2026-01-17 01:56:14</t>
        </is>
      </c>
      <c r="D214" t="inlineStr">
        <is>
          <t>3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438</v>
      </c>
      <c r="P214" t="n">
        <v>3.5</v>
      </c>
      <c r="Q214" t="n">
        <v>0</v>
      </c>
      <c r="R214" t="n">
        <v>75</v>
      </c>
      <c r="S214" t="n">
        <v>0</v>
      </c>
      <c r="T214" t="n">
        <v>0</v>
      </c>
      <c r="U214" t="n">
        <v>0</v>
      </c>
      <c r="V214" t="n">
        <v>18.33</v>
      </c>
      <c r="W214" t="n">
        <v>384.83</v>
      </c>
      <c r="X214" t="n">
        <v>366.5</v>
      </c>
      <c r="Y214" t="n">
        <v>19</v>
      </c>
      <c r="Z214" t="n">
        <v>69.64</v>
      </c>
      <c r="AA214" t="n">
        <v>7.08</v>
      </c>
      <c r="AB214" t="n">
        <v>76.72</v>
      </c>
      <c r="AC214" t="n">
        <v>13.81</v>
      </c>
      <c r="AD214" t="n">
        <v>0</v>
      </c>
      <c r="AE214" t="n">
        <v>366.5</v>
      </c>
      <c r="AF214" t="n">
        <v>0</v>
      </c>
      <c r="AG214" t="n">
        <v>0</v>
      </c>
      <c r="AH214" t="n">
        <v>0.37</v>
      </c>
      <c r="AI214" t="n">
        <v>18.33</v>
      </c>
      <c r="AJ214" t="n">
        <v>0</v>
      </c>
      <c r="AK214" t="n">
        <v>32.51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109.23</v>
      </c>
      <c r="AV214" t="n">
        <v>0</v>
      </c>
      <c r="AW214" t="n">
        <v>275.6</v>
      </c>
      <c r="AX214" t="inlineStr">
        <is>
          <t>settled</t>
        </is>
      </c>
      <c r="AY214" t="inlineStr">
        <is>
          <t>2026-01-21 05:30:00</t>
        </is>
      </c>
      <c r="AZ214" t="inlineStr">
        <is>
          <t>CITIN26608218588</t>
        </is>
      </c>
      <c r="BA214" t="n">
        <v>0</v>
      </c>
      <c r="BB214" t="inlineStr">
        <is>
          <t>b95396f0b61c7d22cade54e335dfad635d72055af8a0ce12559621cba4740a08</t>
        </is>
      </c>
    </row>
    <row r="215">
      <c r="A215" t="inlineStr">
        <is>
          <t>210</t>
        </is>
      </c>
      <c r="B215" t="inlineStr">
        <is>
          <t>7695941100</t>
        </is>
      </c>
      <c r="C215" t="inlineStr">
        <is>
          <t>2026-01-17 02:09:24</t>
        </is>
      </c>
      <c r="D215" t="inlineStr">
        <is>
          <t>3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30% off upto ₹75 (2025-06-25 - 2031-01-01)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355</v>
      </c>
      <c r="P215" t="n">
        <v>3.5</v>
      </c>
      <c r="Q215" t="n">
        <v>0</v>
      </c>
      <c r="R215" t="n">
        <v>75</v>
      </c>
      <c r="S215" t="n">
        <v>0</v>
      </c>
      <c r="T215" t="n">
        <v>0</v>
      </c>
      <c r="U215" t="n">
        <v>0</v>
      </c>
      <c r="V215" t="n">
        <v>14.18</v>
      </c>
      <c r="W215" t="n">
        <v>297.68</v>
      </c>
      <c r="X215" t="n">
        <v>283.5</v>
      </c>
      <c r="Y215" t="n">
        <v>19</v>
      </c>
      <c r="Z215" t="n">
        <v>53.86</v>
      </c>
      <c r="AA215" t="n">
        <v>5.48</v>
      </c>
      <c r="AB215" t="n">
        <v>59.34</v>
      </c>
      <c r="AC215" t="n">
        <v>10.68</v>
      </c>
      <c r="AD215" t="n">
        <v>0</v>
      </c>
      <c r="AE215" t="n">
        <v>283.5</v>
      </c>
      <c r="AF215" t="n">
        <v>0</v>
      </c>
      <c r="AG215" t="n">
        <v>0</v>
      </c>
      <c r="AH215" t="n">
        <v>0.28</v>
      </c>
      <c r="AI215" t="n">
        <v>14.18</v>
      </c>
      <c r="AJ215" t="n">
        <v>0</v>
      </c>
      <c r="AK215" t="n">
        <v>25.14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84.48</v>
      </c>
      <c r="AV215" t="n">
        <v>0</v>
      </c>
      <c r="AW215" t="n">
        <v>213.2</v>
      </c>
      <c r="AX215" t="inlineStr">
        <is>
          <t>settled</t>
        </is>
      </c>
      <c r="AY215" t="inlineStr">
        <is>
          <t>2026-01-21 05:30:00</t>
        </is>
      </c>
      <c r="AZ215" t="inlineStr">
        <is>
          <t>CITIN26608218588</t>
        </is>
      </c>
      <c r="BA215" t="n">
        <v>0</v>
      </c>
      <c r="BB215" t="inlineStr">
        <is>
          <t>c234766eb0b94f6ed6607bd12b69e5b2322b1ad4ec02614d904c242e1681169a</t>
        </is>
      </c>
    </row>
    <row r="216">
      <c r="A216" t="inlineStr">
        <is>
          <t>211</t>
        </is>
      </c>
      <c r="B216" t="inlineStr">
        <is>
          <t>7695345515</t>
        </is>
      </c>
      <c r="C216" t="inlineStr">
        <is>
          <t>2026-01-17 02:10:08</t>
        </is>
      </c>
      <c r="D216" t="inlineStr">
        <is>
          <t>3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30% off upto ₹75 (2025-06-25 - 2031-01-01)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229</v>
      </c>
      <c r="P216" t="n">
        <v>3.5</v>
      </c>
      <c r="Q216" t="n">
        <v>0</v>
      </c>
      <c r="R216" t="n">
        <v>68.7</v>
      </c>
      <c r="S216" t="n">
        <v>0</v>
      </c>
      <c r="T216" t="n">
        <v>0</v>
      </c>
      <c r="U216" t="n">
        <v>0</v>
      </c>
      <c r="V216" t="n">
        <v>8.19</v>
      </c>
      <c r="W216" t="n">
        <v>171.99</v>
      </c>
      <c r="X216" t="n">
        <v>163.8</v>
      </c>
      <c r="Y216" t="n">
        <v>19</v>
      </c>
      <c r="Z216" t="n">
        <v>31.12</v>
      </c>
      <c r="AA216" t="n">
        <v>3.16</v>
      </c>
      <c r="AB216" t="n">
        <v>34.28</v>
      </c>
      <c r="AC216" t="n">
        <v>6.17</v>
      </c>
      <c r="AD216" t="n">
        <v>0</v>
      </c>
      <c r="AE216" t="n">
        <v>163.8</v>
      </c>
      <c r="AF216" t="n">
        <v>0</v>
      </c>
      <c r="AG216" t="n">
        <v>0</v>
      </c>
      <c r="AH216" t="n">
        <v>0.16</v>
      </c>
      <c r="AI216" t="n">
        <v>8.199999999999999</v>
      </c>
      <c r="AJ216" t="n">
        <v>-0.01</v>
      </c>
      <c r="AK216" t="n">
        <v>14.53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48.81</v>
      </c>
      <c r="AV216" t="n">
        <v>0</v>
      </c>
      <c r="AW216" t="n">
        <v>123.18</v>
      </c>
      <c r="AX216" t="inlineStr">
        <is>
          <t>settled</t>
        </is>
      </c>
      <c r="AY216" t="inlineStr">
        <is>
          <t>2026-01-21 05:30:00</t>
        </is>
      </c>
      <c r="AZ216" t="inlineStr">
        <is>
          <t>CITIN26608218588</t>
        </is>
      </c>
      <c r="BA216" t="n">
        <v>0</v>
      </c>
      <c r="BB216" t="inlineStr">
        <is>
          <t>7094712c32a0d7c5feb7fb363b6317e008bc562fb396391288935801ce39fdfb</t>
        </is>
      </c>
    </row>
    <row r="217">
      <c r="A217" t="inlineStr">
        <is>
          <t>212</t>
        </is>
      </c>
      <c r="B217" t="inlineStr">
        <is>
          <t>7698851949</t>
        </is>
      </c>
      <c r="C217" t="inlineStr">
        <is>
          <t>2026-01-17 03:04:14</t>
        </is>
      </c>
      <c r="D217" t="inlineStr">
        <is>
          <t>3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30% off upto ₹75 (2025-06-25 - 2031-01-01)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229</v>
      </c>
      <c r="P217" t="n">
        <v>3.5</v>
      </c>
      <c r="Q217" t="n">
        <v>0</v>
      </c>
      <c r="R217" t="n">
        <v>68.7</v>
      </c>
      <c r="S217" t="n">
        <v>0</v>
      </c>
      <c r="T217" t="n">
        <v>0</v>
      </c>
      <c r="U217" t="n">
        <v>0</v>
      </c>
      <c r="V217" t="n">
        <v>8.19</v>
      </c>
      <c r="W217" t="n">
        <v>171.99</v>
      </c>
      <c r="X217" t="n">
        <v>163.8</v>
      </c>
      <c r="Y217" t="n">
        <v>19</v>
      </c>
      <c r="Z217" t="n">
        <v>31.12</v>
      </c>
      <c r="AA217" t="n">
        <v>3.16</v>
      </c>
      <c r="AB217" t="n">
        <v>34.28</v>
      </c>
      <c r="AC217" t="n">
        <v>6.17</v>
      </c>
      <c r="AD217" t="n">
        <v>0</v>
      </c>
      <c r="AE217" t="n">
        <v>163.8</v>
      </c>
      <c r="AF217" t="n">
        <v>0</v>
      </c>
      <c r="AG217" t="n">
        <v>0</v>
      </c>
      <c r="AH217" t="n">
        <v>0.16</v>
      </c>
      <c r="AI217" t="n">
        <v>8.199999999999999</v>
      </c>
      <c r="AJ217" t="n">
        <v>-0.01</v>
      </c>
      <c r="AK217" t="n">
        <v>14.53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48.81</v>
      </c>
      <c r="AV217" t="n">
        <v>0</v>
      </c>
      <c r="AW217" t="n">
        <v>123.18</v>
      </c>
      <c r="AX217" t="inlineStr">
        <is>
          <t>settled</t>
        </is>
      </c>
      <c r="AY217" t="inlineStr">
        <is>
          <t>2026-01-21 05:30:00</t>
        </is>
      </c>
      <c r="AZ217" t="inlineStr">
        <is>
          <t>CITIN26608218588</t>
        </is>
      </c>
      <c r="BA217" t="n">
        <v>0</v>
      </c>
      <c r="BB217" t="inlineStr">
        <is>
          <t>07dba0801334e625ffa5c276997d4ab4d0f463a75c3bf7ba9ebfdea7fa376ad7</t>
        </is>
      </c>
    </row>
    <row r="218">
      <c r="A218" t="inlineStr">
        <is>
          <t>213</t>
        </is>
      </c>
      <c r="B218" t="inlineStr">
        <is>
          <t>7698898885</t>
        </is>
      </c>
      <c r="C218" t="inlineStr">
        <is>
          <t>2026-01-17 03:07:15</t>
        </is>
      </c>
      <c r="D218" t="inlineStr">
        <is>
          <t>3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30% off upto ₹75 (2025-06-25 - 2031-01-01)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219</v>
      </c>
      <c r="P218" t="n">
        <v>3.5</v>
      </c>
      <c r="Q218" t="n">
        <v>0</v>
      </c>
      <c r="R218" t="n">
        <v>65.7</v>
      </c>
      <c r="S218" t="n">
        <v>0</v>
      </c>
      <c r="T218" t="n">
        <v>0</v>
      </c>
      <c r="U218" t="n">
        <v>0</v>
      </c>
      <c r="V218" t="n">
        <v>7.84</v>
      </c>
      <c r="W218" t="n">
        <v>164.64</v>
      </c>
      <c r="X218" t="n">
        <v>156.8</v>
      </c>
      <c r="Y218" t="n">
        <v>19</v>
      </c>
      <c r="Z218" t="n">
        <v>29.79</v>
      </c>
      <c r="AA218" t="n">
        <v>3.03</v>
      </c>
      <c r="AB218" t="n">
        <v>32.82</v>
      </c>
      <c r="AC218" t="n">
        <v>5.91</v>
      </c>
      <c r="AD218" t="n">
        <v>0</v>
      </c>
      <c r="AE218" t="n">
        <v>156.8</v>
      </c>
      <c r="AF218" t="n">
        <v>0</v>
      </c>
      <c r="AG218" t="n">
        <v>0</v>
      </c>
      <c r="AH218" t="n">
        <v>0.16</v>
      </c>
      <c r="AI218" t="n">
        <v>7.85</v>
      </c>
      <c r="AJ218" t="n">
        <v>-0.01</v>
      </c>
      <c r="AK218" t="n">
        <v>13.92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46.74</v>
      </c>
      <c r="AV218" t="n">
        <v>0</v>
      </c>
      <c r="AW218" t="n">
        <v>117.9</v>
      </c>
      <c r="AX218" t="inlineStr">
        <is>
          <t>settled</t>
        </is>
      </c>
      <c r="AY218" t="inlineStr">
        <is>
          <t>2026-01-21 05:30:00</t>
        </is>
      </c>
      <c r="AZ218" t="inlineStr">
        <is>
          <t>CITIN26608218588</t>
        </is>
      </c>
      <c r="BA218" t="n">
        <v>0</v>
      </c>
      <c r="BB218" t="inlineStr">
        <is>
          <t>3c7b18817b075ea2002b7e560ced4dffa0f4e085ec4005bca773c48f7ecbde7a</t>
        </is>
      </c>
    </row>
    <row r="219">
      <c r="A219" t="inlineStr">
        <is>
          <t>214</t>
        </is>
      </c>
      <c r="B219" t="inlineStr">
        <is>
          <t>7696601510</t>
        </is>
      </c>
      <c r="C219" t="inlineStr">
        <is>
          <t>2026-01-17 03:31:29</t>
        </is>
      </c>
      <c r="D219" t="inlineStr">
        <is>
          <t>3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30% off upto ₹75 (2025-06-25 - 2031-01-01)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229</v>
      </c>
      <c r="P219" t="n">
        <v>3.5</v>
      </c>
      <c r="Q219" t="n">
        <v>0</v>
      </c>
      <c r="R219" t="n">
        <v>68.7</v>
      </c>
      <c r="S219" t="n">
        <v>0</v>
      </c>
      <c r="T219" t="n">
        <v>0</v>
      </c>
      <c r="U219" t="n">
        <v>0</v>
      </c>
      <c r="V219" t="n">
        <v>8.19</v>
      </c>
      <c r="W219" t="n">
        <v>171.99</v>
      </c>
      <c r="X219" t="n">
        <v>163.8</v>
      </c>
      <c r="Y219" t="n">
        <v>19</v>
      </c>
      <c r="Z219" t="n">
        <v>31.12</v>
      </c>
      <c r="AA219" t="n">
        <v>3.16</v>
      </c>
      <c r="AB219" t="n">
        <v>34.28</v>
      </c>
      <c r="AC219" t="n">
        <v>6.17</v>
      </c>
      <c r="AD219" t="n">
        <v>0</v>
      </c>
      <c r="AE219" t="n">
        <v>163.8</v>
      </c>
      <c r="AF219" t="n">
        <v>0</v>
      </c>
      <c r="AG219" t="n">
        <v>0</v>
      </c>
      <c r="AH219" t="n">
        <v>0.16</v>
      </c>
      <c r="AI219" t="n">
        <v>8.199999999999999</v>
      </c>
      <c r="AJ219" t="n">
        <v>-0.01</v>
      </c>
      <c r="AK219" t="n">
        <v>14.53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48.81</v>
      </c>
      <c r="AV219" t="n">
        <v>0</v>
      </c>
      <c r="AW219" t="n">
        <v>123.18</v>
      </c>
      <c r="AX219" t="inlineStr">
        <is>
          <t>settled</t>
        </is>
      </c>
      <c r="AY219" t="inlineStr">
        <is>
          <t>2026-01-21 05:30:00</t>
        </is>
      </c>
      <c r="AZ219" t="inlineStr">
        <is>
          <t>CITIN26608218588</t>
        </is>
      </c>
      <c r="BA219" t="n">
        <v>0</v>
      </c>
      <c r="BB219" t="inlineStr">
        <is>
          <t>5aa6d797b19c91f21e27cb63882476ed8cdc122c4754a8ab21da931c0c490cc4</t>
        </is>
      </c>
    </row>
    <row r="220">
      <c r="A220" t="inlineStr">
        <is>
          <t>215</t>
        </is>
      </c>
      <c r="B220" t="inlineStr">
        <is>
          <t>7693362227</t>
        </is>
      </c>
      <c r="C220" t="inlineStr">
        <is>
          <t>2026-01-17 04:01:53</t>
        </is>
      </c>
      <c r="D220" t="inlineStr">
        <is>
          <t>3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229</v>
      </c>
      <c r="P220" t="n">
        <v>3.5</v>
      </c>
      <c r="Q220" t="n">
        <v>0</v>
      </c>
      <c r="R220" t="n">
        <v>68.7</v>
      </c>
      <c r="S220" t="n">
        <v>0</v>
      </c>
      <c r="T220" t="n">
        <v>0</v>
      </c>
      <c r="U220" t="n">
        <v>0</v>
      </c>
      <c r="V220" t="n">
        <v>8.19</v>
      </c>
      <c r="W220" t="n">
        <v>171.99</v>
      </c>
      <c r="X220" t="n">
        <v>163.8</v>
      </c>
      <c r="Y220" t="n">
        <v>19</v>
      </c>
      <c r="Z220" t="n">
        <v>31.12</v>
      </c>
      <c r="AA220" t="n">
        <v>3.16</v>
      </c>
      <c r="AB220" t="n">
        <v>34.28</v>
      </c>
      <c r="AC220" t="n">
        <v>6.17</v>
      </c>
      <c r="AD220" t="n">
        <v>0</v>
      </c>
      <c r="AE220" t="n">
        <v>163.8</v>
      </c>
      <c r="AF220" t="n">
        <v>0</v>
      </c>
      <c r="AG220" t="n">
        <v>0</v>
      </c>
      <c r="AH220" t="n">
        <v>0.16</v>
      </c>
      <c r="AI220" t="n">
        <v>8.199999999999999</v>
      </c>
      <c r="AJ220" t="n">
        <v>-0.01</v>
      </c>
      <c r="AK220" t="n">
        <v>14.53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48.81</v>
      </c>
      <c r="AV220" t="n">
        <v>0</v>
      </c>
      <c r="AW220" t="n">
        <v>123.18</v>
      </c>
      <c r="AX220" t="inlineStr">
        <is>
          <t>settled</t>
        </is>
      </c>
      <c r="AY220" t="inlineStr">
        <is>
          <t>2026-01-21 05:30:00</t>
        </is>
      </c>
      <c r="AZ220" t="inlineStr">
        <is>
          <t>CITIN26608218588</t>
        </is>
      </c>
      <c r="BA220" t="n">
        <v>0</v>
      </c>
      <c r="BB220" t="inlineStr">
        <is>
          <t>43afbab95aed72cb6f66c28b94d0e716563ff6fb11bdefdb82de76cc0c6aca43</t>
        </is>
      </c>
    </row>
    <row r="221">
      <c r="A221" t="inlineStr">
        <is>
          <t>216</t>
        </is>
      </c>
      <c r="B221" t="inlineStr">
        <is>
          <t>7698400843</t>
        </is>
      </c>
      <c r="C221" t="inlineStr">
        <is>
          <t>2026-01-17 04:35:27</t>
        </is>
      </c>
      <c r="D221" t="inlineStr">
        <is>
          <t>3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30% off upto ₹75 (2025-06-25 - 2031-01-01)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229</v>
      </c>
      <c r="P221" t="n">
        <v>3.5</v>
      </c>
      <c r="Q221" t="n">
        <v>0</v>
      </c>
      <c r="R221" t="n">
        <v>68.7</v>
      </c>
      <c r="S221" t="n">
        <v>0</v>
      </c>
      <c r="T221" t="n">
        <v>0</v>
      </c>
      <c r="U221" t="n">
        <v>0</v>
      </c>
      <c r="V221" t="n">
        <v>8.19</v>
      </c>
      <c r="W221" t="n">
        <v>171.99</v>
      </c>
      <c r="X221" t="n">
        <v>163.8</v>
      </c>
      <c r="Y221" t="n">
        <v>19</v>
      </c>
      <c r="Z221" t="n">
        <v>31.12</v>
      </c>
      <c r="AA221" t="n">
        <v>3.16</v>
      </c>
      <c r="AB221" t="n">
        <v>34.28</v>
      </c>
      <c r="AC221" t="n">
        <v>6.17</v>
      </c>
      <c r="AD221" t="n">
        <v>0</v>
      </c>
      <c r="AE221" t="n">
        <v>163.8</v>
      </c>
      <c r="AF221" t="n">
        <v>0</v>
      </c>
      <c r="AG221" t="n">
        <v>0</v>
      </c>
      <c r="AH221" t="n">
        <v>0.16</v>
      </c>
      <c r="AI221" t="n">
        <v>8.199999999999999</v>
      </c>
      <c r="AJ221" t="n">
        <v>-0.01</v>
      </c>
      <c r="AK221" t="n">
        <v>14.53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48.81</v>
      </c>
      <c r="AV221" t="n">
        <v>0</v>
      </c>
      <c r="AW221" t="n">
        <v>123.18</v>
      </c>
      <c r="AX221" t="inlineStr">
        <is>
          <t>settled</t>
        </is>
      </c>
      <c r="AY221" t="inlineStr">
        <is>
          <t>2026-01-21 05:30:00</t>
        </is>
      </c>
      <c r="AZ221" t="inlineStr">
        <is>
          <t>CITIN26608218588</t>
        </is>
      </c>
      <c r="BA221" t="n">
        <v>0</v>
      </c>
      <c r="BB221" t="inlineStr">
        <is>
          <t>57117851c500d1566ac6ed4ad12f71b54bbcd6e283311409399c1e84c30e567f</t>
        </is>
      </c>
    </row>
    <row r="222">
      <c r="A222" t="inlineStr">
        <is>
          <t>217</t>
        </is>
      </c>
      <c r="B222" t="inlineStr">
        <is>
          <t>7699566607</t>
        </is>
      </c>
      <c r="C222" t="inlineStr">
        <is>
          <t>2026-01-17 11:50:12</t>
        </is>
      </c>
      <c r="D222" t="inlineStr">
        <is>
          <t>3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219</v>
      </c>
      <c r="P222" t="n">
        <v>3.5</v>
      </c>
      <c r="Q222" t="n">
        <v>0</v>
      </c>
      <c r="R222" t="n">
        <v>65.7</v>
      </c>
      <c r="S222" t="n">
        <v>0</v>
      </c>
      <c r="T222" t="n">
        <v>0</v>
      </c>
      <c r="U222" t="n">
        <v>0</v>
      </c>
      <c r="V222" t="n">
        <v>7.84</v>
      </c>
      <c r="W222" t="n">
        <v>164.64</v>
      </c>
      <c r="X222" t="n">
        <v>156.8</v>
      </c>
      <c r="Y222" t="n">
        <v>19</v>
      </c>
      <c r="Z222" t="n">
        <v>29.79</v>
      </c>
      <c r="AA222" t="n">
        <v>3.03</v>
      </c>
      <c r="AB222" t="n">
        <v>32.82</v>
      </c>
      <c r="AC222" t="n">
        <v>5.91</v>
      </c>
      <c r="AD222" t="n">
        <v>0</v>
      </c>
      <c r="AE222" t="n">
        <v>156.8</v>
      </c>
      <c r="AF222" t="n">
        <v>0</v>
      </c>
      <c r="AG222" t="n">
        <v>0</v>
      </c>
      <c r="AH222" t="n">
        <v>0.16</v>
      </c>
      <c r="AI222" t="n">
        <v>7.85</v>
      </c>
      <c r="AJ222" t="n">
        <v>-0.01</v>
      </c>
      <c r="AK222" t="n">
        <v>13.92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46.74</v>
      </c>
      <c r="AV222" t="n">
        <v>0</v>
      </c>
      <c r="AW222" t="n">
        <v>117.9</v>
      </c>
      <c r="AX222" t="inlineStr">
        <is>
          <t>settled</t>
        </is>
      </c>
      <c r="AY222" t="inlineStr">
        <is>
          <t>2026-01-21 05:30:00</t>
        </is>
      </c>
      <c r="AZ222" t="inlineStr">
        <is>
          <t>CITIN26608218588</t>
        </is>
      </c>
      <c r="BA222" t="n">
        <v>0</v>
      </c>
      <c r="BB222" t="inlineStr">
        <is>
          <t>71d995efa315239a1ec6ac772500a4574d042a3cb9e887f682e1402328127654</t>
        </is>
      </c>
    </row>
    <row r="223">
      <c r="A223" t="inlineStr">
        <is>
          <t>218</t>
        </is>
      </c>
      <c r="B223" t="inlineStr">
        <is>
          <t>7686586164</t>
        </is>
      </c>
      <c r="C223" t="inlineStr">
        <is>
          <t>2026-01-17 13:08:01</t>
        </is>
      </c>
      <c r="D223" t="inlineStr">
        <is>
          <t>3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30% off upto ₹75 (2025-06-25 - 2031-01-01)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219</v>
      </c>
      <c r="P223" t="n">
        <v>3.5</v>
      </c>
      <c r="Q223" t="n">
        <v>0</v>
      </c>
      <c r="R223" t="n">
        <v>65.7</v>
      </c>
      <c r="S223" t="n">
        <v>0</v>
      </c>
      <c r="T223" t="n">
        <v>0</v>
      </c>
      <c r="U223" t="n">
        <v>0</v>
      </c>
      <c r="V223" t="n">
        <v>7.84</v>
      </c>
      <c r="W223" t="n">
        <v>164.64</v>
      </c>
      <c r="X223" t="n">
        <v>156.8</v>
      </c>
      <c r="Y223" t="n">
        <v>19</v>
      </c>
      <c r="Z223" t="n">
        <v>29.79</v>
      </c>
      <c r="AA223" t="n">
        <v>3.03</v>
      </c>
      <c r="AB223" t="n">
        <v>32.82</v>
      </c>
      <c r="AC223" t="n">
        <v>5.91</v>
      </c>
      <c r="AD223" t="n">
        <v>0</v>
      </c>
      <c r="AE223" t="n">
        <v>156.8</v>
      </c>
      <c r="AF223" t="n">
        <v>0</v>
      </c>
      <c r="AG223" t="n">
        <v>0</v>
      </c>
      <c r="AH223" t="n">
        <v>0.16</v>
      </c>
      <c r="AI223" t="n">
        <v>7.85</v>
      </c>
      <c r="AJ223" t="n">
        <v>-0.01</v>
      </c>
      <c r="AK223" t="n">
        <v>13.92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46.74</v>
      </c>
      <c r="AV223" t="n">
        <v>0</v>
      </c>
      <c r="AW223" t="n">
        <v>117.9</v>
      </c>
      <c r="AX223" t="inlineStr">
        <is>
          <t>settled</t>
        </is>
      </c>
      <c r="AY223" t="inlineStr">
        <is>
          <t>2026-01-21 05:30:00</t>
        </is>
      </c>
      <c r="AZ223" t="inlineStr">
        <is>
          <t>CITIN26608218588</t>
        </is>
      </c>
      <c r="BA223" t="n">
        <v>0</v>
      </c>
      <c r="BB223" t="inlineStr">
        <is>
          <t>0fa401b5d67c34a59798c423cfb89443d453707fc47a32aca201bf372ca33599</t>
        </is>
      </c>
    </row>
    <row r="224">
      <c r="A224" t="inlineStr">
        <is>
          <t>219</t>
        </is>
      </c>
      <c r="B224" t="inlineStr">
        <is>
          <t>7697105595</t>
        </is>
      </c>
      <c r="C224" t="inlineStr">
        <is>
          <t>2026-01-17 14:40:44</t>
        </is>
      </c>
      <c r="D224" t="inlineStr">
        <is>
          <t>3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30% off upto ₹75 (2025-06-25 - 2031-01-01)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229</v>
      </c>
      <c r="P224" t="n">
        <v>3.5</v>
      </c>
      <c r="Q224" t="n">
        <v>0</v>
      </c>
      <c r="R224" t="n">
        <v>68.7</v>
      </c>
      <c r="S224" t="n">
        <v>0</v>
      </c>
      <c r="T224" t="n">
        <v>0</v>
      </c>
      <c r="U224" t="n">
        <v>0</v>
      </c>
      <c r="V224" t="n">
        <v>8.19</v>
      </c>
      <c r="W224" t="n">
        <v>171.99</v>
      </c>
      <c r="X224" t="n">
        <v>163.8</v>
      </c>
      <c r="Y224" t="n">
        <v>19</v>
      </c>
      <c r="Z224" t="n">
        <v>31.12</v>
      </c>
      <c r="AA224" t="n">
        <v>3.16</v>
      </c>
      <c r="AB224" t="n">
        <v>34.28</v>
      </c>
      <c r="AC224" t="n">
        <v>6.17</v>
      </c>
      <c r="AD224" t="n">
        <v>0</v>
      </c>
      <c r="AE224" t="n">
        <v>163.8</v>
      </c>
      <c r="AF224" t="n">
        <v>0</v>
      </c>
      <c r="AG224" t="n">
        <v>0</v>
      </c>
      <c r="AH224" t="n">
        <v>0.16</v>
      </c>
      <c r="AI224" t="n">
        <v>8.199999999999999</v>
      </c>
      <c r="AJ224" t="n">
        <v>-0.01</v>
      </c>
      <c r="AK224" t="n">
        <v>14.53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48.81</v>
      </c>
      <c r="AV224" t="n">
        <v>0</v>
      </c>
      <c r="AW224" t="n">
        <v>123.18</v>
      </c>
      <c r="AX224" t="inlineStr">
        <is>
          <t>settled</t>
        </is>
      </c>
      <c r="AY224" t="inlineStr">
        <is>
          <t>2026-01-21 05:30:00</t>
        </is>
      </c>
      <c r="AZ224" t="inlineStr">
        <is>
          <t>CITIN26608218588</t>
        </is>
      </c>
      <c r="BA224" t="n">
        <v>0</v>
      </c>
      <c r="BB224" t="inlineStr">
        <is>
          <t>8248f94cc1581f47f85931c653f1d31baa5a55bc1c7673b7665203ff188bdd19</t>
        </is>
      </c>
    </row>
    <row r="225">
      <c r="A225" t="inlineStr">
        <is>
          <t>220</t>
        </is>
      </c>
      <c r="B225" t="inlineStr">
        <is>
          <t>7696188627</t>
        </is>
      </c>
      <c r="C225" t="inlineStr">
        <is>
          <t>2026-01-17 15:14:00</t>
        </is>
      </c>
      <c r="D225" t="inlineStr">
        <is>
          <t>3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30% off upto ₹75 (2025-06-25 - 2031-01-01)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229</v>
      </c>
      <c r="P225" t="n">
        <v>3.5</v>
      </c>
      <c r="Q225" t="n">
        <v>0</v>
      </c>
      <c r="R225" t="n">
        <v>68.7</v>
      </c>
      <c r="S225" t="n">
        <v>0</v>
      </c>
      <c r="T225" t="n">
        <v>0</v>
      </c>
      <c r="U225" t="n">
        <v>0</v>
      </c>
      <c r="V225" t="n">
        <v>8.19</v>
      </c>
      <c r="W225" t="n">
        <v>171.99</v>
      </c>
      <c r="X225" t="n">
        <v>163.8</v>
      </c>
      <c r="Y225" t="n">
        <v>19</v>
      </c>
      <c r="Z225" t="n">
        <v>31.12</v>
      </c>
      <c r="AA225" t="n">
        <v>3.16</v>
      </c>
      <c r="AB225" t="n">
        <v>34.28</v>
      </c>
      <c r="AC225" t="n">
        <v>6.17</v>
      </c>
      <c r="AD225" t="n">
        <v>0</v>
      </c>
      <c r="AE225" t="n">
        <v>163.8</v>
      </c>
      <c r="AF225" t="n">
        <v>0</v>
      </c>
      <c r="AG225" t="n">
        <v>0</v>
      </c>
      <c r="AH225" t="n">
        <v>0.16</v>
      </c>
      <c r="AI225" t="n">
        <v>8.199999999999999</v>
      </c>
      <c r="AJ225" t="n">
        <v>-0.01</v>
      </c>
      <c r="AK225" t="n">
        <v>14.53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48.81</v>
      </c>
      <c r="AV225" t="n">
        <v>0</v>
      </c>
      <c r="AW225" t="n">
        <v>123.18</v>
      </c>
      <c r="AX225" t="inlineStr">
        <is>
          <t>settled</t>
        </is>
      </c>
      <c r="AY225" t="inlineStr">
        <is>
          <t>2026-01-21 05:30:00</t>
        </is>
      </c>
      <c r="AZ225" t="inlineStr">
        <is>
          <t>CITIN26608218588</t>
        </is>
      </c>
      <c r="BA225" t="n">
        <v>0</v>
      </c>
      <c r="BB225" t="inlineStr">
        <is>
          <t>5bbf14df8938f95d3b7c17a99beb70d7782f65008db9840edde8a35ba5e8e65f</t>
        </is>
      </c>
    </row>
    <row r="226">
      <c r="A226" t="inlineStr">
        <is>
          <t>221</t>
        </is>
      </c>
      <c r="B226" t="inlineStr">
        <is>
          <t>7699731469</t>
        </is>
      </c>
      <c r="C226" t="inlineStr">
        <is>
          <t>2026-01-17 15:30:54</t>
        </is>
      </c>
      <c r="D226" t="inlineStr">
        <is>
          <t>3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30% off upto ₹75 (2025-06-25 - 2031-01-01)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229</v>
      </c>
      <c r="P226" t="n">
        <v>3.5</v>
      </c>
      <c r="Q226" t="n">
        <v>0</v>
      </c>
      <c r="R226" t="n">
        <v>68.7</v>
      </c>
      <c r="S226" t="n">
        <v>0</v>
      </c>
      <c r="T226" t="n">
        <v>0</v>
      </c>
      <c r="U226" t="n">
        <v>0</v>
      </c>
      <c r="V226" t="n">
        <v>8.19</v>
      </c>
      <c r="W226" t="n">
        <v>171.99</v>
      </c>
      <c r="X226" t="n">
        <v>163.8</v>
      </c>
      <c r="Y226" t="n">
        <v>19</v>
      </c>
      <c r="Z226" t="n">
        <v>31.12</v>
      </c>
      <c r="AA226" t="n">
        <v>3.16</v>
      </c>
      <c r="AB226" t="n">
        <v>34.28</v>
      </c>
      <c r="AC226" t="n">
        <v>6.17</v>
      </c>
      <c r="AD226" t="n">
        <v>0</v>
      </c>
      <c r="AE226" t="n">
        <v>163.8</v>
      </c>
      <c r="AF226" t="n">
        <v>0</v>
      </c>
      <c r="AG226" t="n">
        <v>0</v>
      </c>
      <c r="AH226" t="n">
        <v>0.16</v>
      </c>
      <c r="AI226" t="n">
        <v>8.199999999999999</v>
      </c>
      <c r="AJ226" t="n">
        <v>-0.01</v>
      </c>
      <c r="AK226" t="n">
        <v>14.53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48.81</v>
      </c>
      <c r="AV226" t="n">
        <v>0</v>
      </c>
      <c r="AW226" t="n">
        <v>123.18</v>
      </c>
      <c r="AX226" t="inlineStr">
        <is>
          <t>settled</t>
        </is>
      </c>
      <c r="AY226" t="inlineStr">
        <is>
          <t>2026-01-21 05:30:00</t>
        </is>
      </c>
      <c r="AZ226" t="inlineStr">
        <is>
          <t>CITIN26608218588</t>
        </is>
      </c>
      <c r="BA226" t="n">
        <v>0</v>
      </c>
      <c r="BB226" t="inlineStr">
        <is>
          <t>7d10643de08ba7791d1e63486efe605d0601dc0599afb9adb2b11bfdf5407f27</t>
        </is>
      </c>
    </row>
    <row r="227">
      <c r="A227" t="inlineStr">
        <is>
          <t>222</t>
        </is>
      </c>
      <c r="B227" t="inlineStr">
        <is>
          <t>7698035163</t>
        </is>
      </c>
      <c r="C227" t="inlineStr">
        <is>
          <t>2026-01-17 15:36:07</t>
        </is>
      </c>
      <c r="D227" t="inlineStr">
        <is>
          <t>3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30% off upto ₹75 (2025-06-25 - 2031-01-01)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219</v>
      </c>
      <c r="P227" t="n">
        <v>3.5</v>
      </c>
      <c r="Q227" t="n">
        <v>0</v>
      </c>
      <c r="R227" t="n">
        <v>65.7</v>
      </c>
      <c r="S227" t="n">
        <v>0</v>
      </c>
      <c r="T227" t="n">
        <v>0</v>
      </c>
      <c r="U227" t="n">
        <v>0</v>
      </c>
      <c r="V227" t="n">
        <v>7.84</v>
      </c>
      <c r="W227" t="n">
        <v>164.64</v>
      </c>
      <c r="X227" t="n">
        <v>156.8</v>
      </c>
      <c r="Y227" t="n">
        <v>19</v>
      </c>
      <c r="Z227" t="n">
        <v>29.79</v>
      </c>
      <c r="AA227" t="n">
        <v>3.03</v>
      </c>
      <c r="AB227" t="n">
        <v>32.82</v>
      </c>
      <c r="AC227" t="n">
        <v>5.91</v>
      </c>
      <c r="AD227" t="n">
        <v>0</v>
      </c>
      <c r="AE227" t="n">
        <v>156.8</v>
      </c>
      <c r="AF227" t="n">
        <v>0</v>
      </c>
      <c r="AG227" t="n">
        <v>0</v>
      </c>
      <c r="AH227" t="n">
        <v>0.16</v>
      </c>
      <c r="AI227" t="n">
        <v>7.85</v>
      </c>
      <c r="AJ227" t="n">
        <v>-0.01</v>
      </c>
      <c r="AK227" t="n">
        <v>13.92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46.74</v>
      </c>
      <c r="AV227" t="n">
        <v>0</v>
      </c>
      <c r="AW227" t="n">
        <v>117.9</v>
      </c>
      <c r="AX227" t="inlineStr">
        <is>
          <t>settled</t>
        </is>
      </c>
      <c r="AY227" t="inlineStr">
        <is>
          <t>2026-01-21 05:30:00</t>
        </is>
      </c>
      <c r="AZ227" t="inlineStr">
        <is>
          <t>CITIN26608218588</t>
        </is>
      </c>
      <c r="BA227" t="n">
        <v>0</v>
      </c>
      <c r="BB227" t="inlineStr">
        <is>
          <t>a672c94abe32207cc527062999346559379248f14669a669820ffb2443c6d69c</t>
        </is>
      </c>
    </row>
    <row r="228">
      <c r="A228" t="inlineStr">
        <is>
          <t>223</t>
        </is>
      </c>
      <c r="B228" t="inlineStr">
        <is>
          <t>7700125168</t>
        </is>
      </c>
      <c r="C228" t="inlineStr">
        <is>
          <t>2026-01-17 15:47:13</t>
        </is>
      </c>
      <c r="D228" t="inlineStr">
        <is>
          <t>3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30% off upto ₹75 (2025-06-25 - 2031-01-01)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219</v>
      </c>
      <c r="P228" t="n">
        <v>3.5</v>
      </c>
      <c r="Q228" t="n">
        <v>0</v>
      </c>
      <c r="R228" t="n">
        <v>65.7</v>
      </c>
      <c r="S228" t="n">
        <v>0</v>
      </c>
      <c r="T228" t="n">
        <v>0</v>
      </c>
      <c r="U228" t="n">
        <v>0</v>
      </c>
      <c r="V228" t="n">
        <v>7.84</v>
      </c>
      <c r="W228" t="n">
        <v>164.64</v>
      </c>
      <c r="X228" t="n">
        <v>156.8</v>
      </c>
      <c r="Y228" t="n">
        <v>19</v>
      </c>
      <c r="Z228" t="n">
        <v>29.79</v>
      </c>
      <c r="AA228" t="n">
        <v>3.03</v>
      </c>
      <c r="AB228" t="n">
        <v>32.82</v>
      </c>
      <c r="AC228" t="n">
        <v>5.91</v>
      </c>
      <c r="AD228" t="n">
        <v>0</v>
      </c>
      <c r="AE228" t="n">
        <v>156.8</v>
      </c>
      <c r="AF228" t="n">
        <v>0</v>
      </c>
      <c r="AG228" t="n">
        <v>0</v>
      </c>
      <c r="AH228" t="n">
        <v>0.16</v>
      </c>
      <c r="AI228" t="n">
        <v>7.85</v>
      </c>
      <c r="AJ228" t="n">
        <v>-0.01</v>
      </c>
      <c r="AK228" t="n">
        <v>13.92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46.74</v>
      </c>
      <c r="AV228" t="n">
        <v>0</v>
      </c>
      <c r="AW228" t="n">
        <v>117.9</v>
      </c>
      <c r="AX228" t="inlineStr">
        <is>
          <t>settled</t>
        </is>
      </c>
      <c r="AY228" t="inlineStr">
        <is>
          <t>2026-01-21 05:30:00</t>
        </is>
      </c>
      <c r="AZ228" t="inlineStr">
        <is>
          <t>CITIN26608218588</t>
        </is>
      </c>
      <c r="BA228" t="n">
        <v>0</v>
      </c>
      <c r="BB228" t="inlineStr">
        <is>
          <t>8a08d07c3c07227d351ba9766af040ff16b2ca0ba3c2aa5b1c633551ef256c7f</t>
        </is>
      </c>
    </row>
    <row r="229">
      <c r="A229" t="inlineStr">
        <is>
          <t>224</t>
        </is>
      </c>
      <c r="B229" t="inlineStr">
        <is>
          <t>7696899648</t>
        </is>
      </c>
      <c r="C229" t="inlineStr">
        <is>
          <t>2026-01-17 16:47:08</t>
        </is>
      </c>
      <c r="D229" t="inlineStr">
        <is>
          <t>3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229</v>
      </c>
      <c r="P229" t="n">
        <v>3.5</v>
      </c>
      <c r="Q229" t="n">
        <v>0</v>
      </c>
      <c r="R229" t="n">
        <v>68.7</v>
      </c>
      <c r="S229" t="n">
        <v>0</v>
      </c>
      <c r="T229" t="n">
        <v>0</v>
      </c>
      <c r="U229" t="n">
        <v>0</v>
      </c>
      <c r="V229" t="n">
        <v>8.19</v>
      </c>
      <c r="W229" t="n">
        <v>171.99</v>
      </c>
      <c r="X229" t="n">
        <v>163.8</v>
      </c>
      <c r="Y229" t="n">
        <v>19</v>
      </c>
      <c r="Z229" t="n">
        <v>31.12</v>
      </c>
      <c r="AA229" t="n">
        <v>3.16</v>
      </c>
      <c r="AB229" t="n">
        <v>34.28</v>
      </c>
      <c r="AC229" t="n">
        <v>6.17</v>
      </c>
      <c r="AD229" t="n">
        <v>0</v>
      </c>
      <c r="AE229" t="n">
        <v>163.8</v>
      </c>
      <c r="AF229" t="n">
        <v>0</v>
      </c>
      <c r="AG229" t="n">
        <v>0</v>
      </c>
      <c r="AH229" t="n">
        <v>0.16</v>
      </c>
      <c r="AI229" t="n">
        <v>8.199999999999999</v>
      </c>
      <c r="AJ229" t="n">
        <v>-0.01</v>
      </c>
      <c r="AK229" t="n">
        <v>14.53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48.81</v>
      </c>
      <c r="AV229" t="n">
        <v>0</v>
      </c>
      <c r="AW229" t="n">
        <v>123.18</v>
      </c>
      <c r="AX229" t="inlineStr">
        <is>
          <t>settled</t>
        </is>
      </c>
      <c r="AY229" t="inlineStr">
        <is>
          <t>2026-01-21 05:30:00</t>
        </is>
      </c>
      <c r="AZ229" t="inlineStr">
        <is>
          <t>CITIN26608218588</t>
        </is>
      </c>
      <c r="BA229" t="n">
        <v>0</v>
      </c>
      <c r="BB229" t="inlineStr">
        <is>
          <t>c7d1d0c9a7e2edc4e43e1e6104b50b18d5be154ddfe1b23c6dc1ac7b41a83515</t>
        </is>
      </c>
    </row>
    <row r="230">
      <c r="A230" t="inlineStr">
        <is>
          <t>225</t>
        </is>
      </c>
      <c r="B230" t="inlineStr">
        <is>
          <t>7700583408</t>
        </is>
      </c>
      <c r="C230" t="inlineStr">
        <is>
          <t>2026-01-17 16:47:59</t>
        </is>
      </c>
      <c r="D230" t="inlineStr">
        <is>
          <t>3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30% off upto ₹75 (2025-06-25 - 2031-01-01)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219</v>
      </c>
      <c r="P230" t="n">
        <v>3.5</v>
      </c>
      <c r="Q230" t="n">
        <v>0</v>
      </c>
      <c r="R230" t="n">
        <v>65.7</v>
      </c>
      <c r="S230" t="n">
        <v>0</v>
      </c>
      <c r="T230" t="n">
        <v>0</v>
      </c>
      <c r="U230" t="n">
        <v>0</v>
      </c>
      <c r="V230" t="n">
        <v>7.84</v>
      </c>
      <c r="W230" t="n">
        <v>164.64</v>
      </c>
      <c r="X230" t="n">
        <v>156.8</v>
      </c>
      <c r="Y230" t="n">
        <v>19</v>
      </c>
      <c r="Z230" t="n">
        <v>29.79</v>
      </c>
      <c r="AA230" t="n">
        <v>3.03</v>
      </c>
      <c r="AB230" t="n">
        <v>32.82</v>
      </c>
      <c r="AC230" t="n">
        <v>5.91</v>
      </c>
      <c r="AD230" t="n">
        <v>0</v>
      </c>
      <c r="AE230" t="n">
        <v>156.8</v>
      </c>
      <c r="AF230" t="n">
        <v>0</v>
      </c>
      <c r="AG230" t="n">
        <v>0</v>
      </c>
      <c r="AH230" t="n">
        <v>0.16</v>
      </c>
      <c r="AI230" t="n">
        <v>7.85</v>
      </c>
      <c r="AJ230" t="n">
        <v>-0.01</v>
      </c>
      <c r="AK230" t="n">
        <v>13.92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46.74</v>
      </c>
      <c r="AV230" t="n">
        <v>0</v>
      </c>
      <c r="AW230" t="n">
        <v>117.9</v>
      </c>
      <c r="AX230" t="inlineStr">
        <is>
          <t>settled</t>
        </is>
      </c>
      <c r="AY230" t="inlineStr">
        <is>
          <t>2026-01-21 05:30:00</t>
        </is>
      </c>
      <c r="AZ230" t="inlineStr">
        <is>
          <t>CITIN26608218588</t>
        </is>
      </c>
      <c r="BA230" t="n">
        <v>0</v>
      </c>
      <c r="BB230" t="inlineStr">
        <is>
          <t>5491a0c6581b3799bc31bce338f609a18cf5a5dbc871aac71f500a8a85fea2a0</t>
        </is>
      </c>
    </row>
    <row r="231">
      <c r="A231" t="inlineStr">
        <is>
          <t>226</t>
        </is>
      </c>
      <c r="B231" t="inlineStr">
        <is>
          <t>7696245365</t>
        </is>
      </c>
      <c r="C231" t="inlineStr">
        <is>
          <t>2026-01-17 16:49:02</t>
        </is>
      </c>
      <c r="D231" t="inlineStr">
        <is>
          <t>3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30% off upto ₹75 (2025-06-25 - 2031-01-01)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368</v>
      </c>
      <c r="P231" t="n">
        <v>3.5</v>
      </c>
      <c r="Q231" t="n">
        <v>0</v>
      </c>
      <c r="R231" t="n">
        <v>75</v>
      </c>
      <c r="S231" t="n">
        <v>0</v>
      </c>
      <c r="T231" t="n">
        <v>0</v>
      </c>
      <c r="U231" t="n">
        <v>0</v>
      </c>
      <c r="V231" t="n">
        <v>14.83</v>
      </c>
      <c r="W231" t="n">
        <v>311.33</v>
      </c>
      <c r="X231" t="n">
        <v>296.5</v>
      </c>
      <c r="Y231" t="n">
        <v>19</v>
      </c>
      <c r="Z231" t="n">
        <v>56.34</v>
      </c>
      <c r="AA231" t="n">
        <v>5.73</v>
      </c>
      <c r="AB231" t="n">
        <v>62.07</v>
      </c>
      <c r="AC231" t="n">
        <v>11.17</v>
      </c>
      <c r="AD231" t="n">
        <v>0</v>
      </c>
      <c r="AE231" t="n">
        <v>296.5</v>
      </c>
      <c r="AF231" t="n">
        <v>0</v>
      </c>
      <c r="AG231" t="n">
        <v>0</v>
      </c>
      <c r="AH231" t="n">
        <v>0.3</v>
      </c>
      <c r="AI231" t="n">
        <v>14.83</v>
      </c>
      <c r="AJ231" t="n">
        <v>0</v>
      </c>
      <c r="AK231" t="n">
        <v>26.3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88.37</v>
      </c>
      <c r="AV231" t="n">
        <v>0</v>
      </c>
      <c r="AW231" t="n">
        <v>222.96</v>
      </c>
      <c r="AX231" t="inlineStr">
        <is>
          <t>settled</t>
        </is>
      </c>
      <c r="AY231" t="inlineStr">
        <is>
          <t>2026-01-21 05:30:00</t>
        </is>
      </c>
      <c r="AZ231" t="inlineStr">
        <is>
          <t>CITIN26608218588</t>
        </is>
      </c>
      <c r="BA231" t="n">
        <v>0</v>
      </c>
      <c r="BB231" t="inlineStr">
        <is>
          <t>3c70e07015b7a71ffd52339dc3884ea5c36bf25c67a04ab8a72ef50158f708a2</t>
        </is>
      </c>
    </row>
    <row r="232">
      <c r="A232" t="inlineStr">
        <is>
          <t>227</t>
        </is>
      </c>
      <c r="B232" t="inlineStr">
        <is>
          <t>7698185212</t>
        </is>
      </c>
      <c r="C232" t="inlineStr">
        <is>
          <t>2026-01-17 17:53:44</t>
        </is>
      </c>
      <c r="D232" t="inlineStr">
        <is>
          <t>3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345</v>
      </c>
      <c r="P232" t="n">
        <v>3.5</v>
      </c>
      <c r="Q232" t="n">
        <v>0</v>
      </c>
      <c r="R232" t="n">
        <v>75</v>
      </c>
      <c r="S232" t="n">
        <v>0</v>
      </c>
      <c r="T232" t="n">
        <v>0</v>
      </c>
      <c r="U232" t="n">
        <v>0</v>
      </c>
      <c r="V232" t="n">
        <v>13.68</v>
      </c>
      <c r="W232" t="n">
        <v>287.18</v>
      </c>
      <c r="X232" t="n">
        <v>273.5</v>
      </c>
      <c r="Y232" t="n">
        <v>19</v>
      </c>
      <c r="Z232" t="n">
        <v>51.96</v>
      </c>
      <c r="AA232" t="n">
        <v>5.28</v>
      </c>
      <c r="AB232" t="n">
        <v>57.24</v>
      </c>
      <c r="AC232" t="n">
        <v>10.3</v>
      </c>
      <c r="AD232" t="n">
        <v>0</v>
      </c>
      <c r="AE232" t="n">
        <v>273.5</v>
      </c>
      <c r="AF232" t="n">
        <v>0</v>
      </c>
      <c r="AG232" t="n">
        <v>0</v>
      </c>
      <c r="AH232" t="n">
        <v>0.27</v>
      </c>
      <c r="AI232" t="n">
        <v>13.68</v>
      </c>
      <c r="AJ232" t="n">
        <v>0</v>
      </c>
      <c r="AK232" t="n">
        <v>24.25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81.48999999999999</v>
      </c>
      <c r="AV232" t="n">
        <v>0</v>
      </c>
      <c r="AW232" t="n">
        <v>205.69</v>
      </c>
      <c r="AX232" t="inlineStr">
        <is>
          <t>settled</t>
        </is>
      </c>
      <c r="AY232" t="inlineStr">
        <is>
          <t>2026-01-21 05:30:00</t>
        </is>
      </c>
      <c r="AZ232" t="inlineStr">
        <is>
          <t>CITIN26608218588</t>
        </is>
      </c>
      <c r="BA232" t="n">
        <v>0</v>
      </c>
      <c r="BB232" t="inlineStr">
        <is>
          <t>97b4133bde4eb0767e9ce68171387ff49f31d258169b1f78ae8f5981ef069b25</t>
        </is>
      </c>
    </row>
    <row r="233">
      <c r="A233" t="inlineStr">
        <is>
          <t>228</t>
        </is>
      </c>
      <c r="B233" t="inlineStr">
        <is>
          <t>7700327535</t>
        </is>
      </c>
      <c r="C233" t="inlineStr">
        <is>
          <t>2026-01-17 18:01:58</t>
        </is>
      </c>
      <c r="D233" t="inlineStr">
        <is>
          <t>3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229</v>
      </c>
      <c r="P233" t="n">
        <v>3.5</v>
      </c>
      <c r="Q233" t="n">
        <v>0</v>
      </c>
      <c r="R233" t="n">
        <v>68.7</v>
      </c>
      <c r="S233" t="n">
        <v>0</v>
      </c>
      <c r="T233" t="n">
        <v>0</v>
      </c>
      <c r="U233" t="n">
        <v>0</v>
      </c>
      <c r="V233" t="n">
        <v>8.19</v>
      </c>
      <c r="W233" t="n">
        <v>171.99</v>
      </c>
      <c r="X233" t="n">
        <v>163.8</v>
      </c>
      <c r="Y233" t="n">
        <v>19</v>
      </c>
      <c r="Z233" t="n">
        <v>31.12</v>
      </c>
      <c r="AA233" t="n">
        <v>3.16</v>
      </c>
      <c r="AB233" t="n">
        <v>34.28</v>
      </c>
      <c r="AC233" t="n">
        <v>6.17</v>
      </c>
      <c r="AD233" t="n">
        <v>0</v>
      </c>
      <c r="AE233" t="n">
        <v>163.8</v>
      </c>
      <c r="AF233" t="n">
        <v>0</v>
      </c>
      <c r="AG233" t="n">
        <v>0</v>
      </c>
      <c r="AH233" t="n">
        <v>0.16</v>
      </c>
      <c r="AI233" t="n">
        <v>8.199999999999999</v>
      </c>
      <c r="AJ233" t="n">
        <v>-0.01</v>
      </c>
      <c r="AK233" t="n">
        <v>14.53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48.81</v>
      </c>
      <c r="AV233" t="n">
        <v>0</v>
      </c>
      <c r="AW233" t="n">
        <v>123.18</v>
      </c>
      <c r="AX233" t="inlineStr">
        <is>
          <t>settled</t>
        </is>
      </c>
      <c r="AY233" t="inlineStr">
        <is>
          <t>2026-01-21 05:30:00</t>
        </is>
      </c>
      <c r="AZ233" t="inlineStr">
        <is>
          <t>CITIN26608218588</t>
        </is>
      </c>
      <c r="BA233" t="n">
        <v>0</v>
      </c>
      <c r="BB233" t="inlineStr">
        <is>
          <t>04d983a491674e76635a1731bf0d6aadca8d15fb66371c5e3de22e495aa71e65</t>
        </is>
      </c>
    </row>
    <row r="234">
      <c r="A234" t="inlineStr">
        <is>
          <t>229</t>
        </is>
      </c>
      <c r="B234" t="inlineStr">
        <is>
          <t>7701435639</t>
        </is>
      </c>
      <c r="C234" t="inlineStr">
        <is>
          <t>2026-01-17 19:17:27</t>
        </is>
      </c>
      <c r="D234" t="inlineStr">
        <is>
          <t>3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298</v>
      </c>
      <c r="P234" t="n">
        <v>3.5</v>
      </c>
      <c r="Q234" t="n">
        <v>0</v>
      </c>
      <c r="R234" t="n">
        <v>75</v>
      </c>
      <c r="S234" t="n">
        <v>0</v>
      </c>
      <c r="T234" t="n">
        <v>0</v>
      </c>
      <c r="U234" t="n">
        <v>0</v>
      </c>
      <c r="V234" t="n">
        <v>11.33</v>
      </c>
      <c r="W234" t="n">
        <v>237.83</v>
      </c>
      <c r="X234" t="n">
        <v>226.5</v>
      </c>
      <c r="Y234" t="n">
        <v>19</v>
      </c>
      <c r="Z234" t="n">
        <v>43.04</v>
      </c>
      <c r="AA234" t="n">
        <v>4.38</v>
      </c>
      <c r="AB234" t="n">
        <v>47.42</v>
      </c>
      <c r="AC234" t="n">
        <v>8.539999999999999</v>
      </c>
      <c r="AD234" t="n">
        <v>0</v>
      </c>
      <c r="AE234" t="n">
        <v>226.5</v>
      </c>
      <c r="AF234" t="n">
        <v>0</v>
      </c>
      <c r="AG234" t="n">
        <v>0</v>
      </c>
      <c r="AH234" t="n">
        <v>0.23</v>
      </c>
      <c r="AI234" t="n">
        <v>11.33</v>
      </c>
      <c r="AJ234" t="n">
        <v>0</v>
      </c>
      <c r="AK234" t="n">
        <v>20.1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67.52</v>
      </c>
      <c r="AV234" t="n">
        <v>0</v>
      </c>
      <c r="AW234" t="n">
        <v>170.31</v>
      </c>
      <c r="AX234" t="inlineStr">
        <is>
          <t>settled</t>
        </is>
      </c>
      <c r="AY234" t="inlineStr">
        <is>
          <t>2026-01-21 05:30:00</t>
        </is>
      </c>
      <c r="AZ234" t="inlineStr">
        <is>
          <t>CITIN26608218588</t>
        </is>
      </c>
      <c r="BA234" t="n">
        <v>0</v>
      </c>
      <c r="BB234" t="inlineStr">
        <is>
          <t>1b4b5cee8b3ed559c1ca8b4e1a2f531968a5d80bae9639c6319576e6ab7ba86b</t>
        </is>
      </c>
    </row>
    <row r="235">
      <c r="A235" t="inlineStr">
        <is>
          <t>230</t>
        </is>
      </c>
      <c r="B235" t="inlineStr">
        <is>
          <t>7700490357</t>
        </is>
      </c>
      <c r="C235" t="inlineStr">
        <is>
          <t>2026-01-17 19:39:37</t>
        </is>
      </c>
      <c r="D235" t="inlineStr">
        <is>
          <t>3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229</v>
      </c>
      <c r="P235" t="n">
        <v>3.5</v>
      </c>
      <c r="Q235" t="n">
        <v>0</v>
      </c>
      <c r="R235" t="n">
        <v>68.7</v>
      </c>
      <c r="S235" t="n">
        <v>0</v>
      </c>
      <c r="T235" t="n">
        <v>0</v>
      </c>
      <c r="U235" t="n">
        <v>0</v>
      </c>
      <c r="V235" t="n">
        <v>8.19</v>
      </c>
      <c r="W235" t="n">
        <v>171.99</v>
      </c>
      <c r="X235" t="n">
        <v>163.8</v>
      </c>
      <c r="Y235" t="n">
        <v>19</v>
      </c>
      <c r="Z235" t="n">
        <v>31.12</v>
      </c>
      <c r="AA235" t="n">
        <v>3.16</v>
      </c>
      <c r="AB235" t="n">
        <v>34.28</v>
      </c>
      <c r="AC235" t="n">
        <v>6.17</v>
      </c>
      <c r="AD235" t="n">
        <v>0</v>
      </c>
      <c r="AE235" t="n">
        <v>163.8</v>
      </c>
      <c r="AF235" t="n">
        <v>0</v>
      </c>
      <c r="AG235" t="n">
        <v>0</v>
      </c>
      <c r="AH235" t="n">
        <v>0.16</v>
      </c>
      <c r="AI235" t="n">
        <v>8.199999999999999</v>
      </c>
      <c r="AJ235" t="n">
        <v>-0.01</v>
      </c>
      <c r="AK235" t="n">
        <v>14.53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48.81</v>
      </c>
      <c r="AV235" t="n">
        <v>0</v>
      </c>
      <c r="AW235" t="n">
        <v>123.18</v>
      </c>
      <c r="AX235" t="inlineStr">
        <is>
          <t>settled</t>
        </is>
      </c>
      <c r="AY235" t="inlineStr">
        <is>
          <t>2026-01-21 05:30:00</t>
        </is>
      </c>
      <c r="AZ235" t="inlineStr">
        <is>
          <t>CITIN26608218588</t>
        </is>
      </c>
      <c r="BA235" t="n">
        <v>0</v>
      </c>
      <c r="BB235" t="inlineStr">
        <is>
          <t>e9289a2479d905b7a8035972c2891ab19348bd29a6e967c7b509c42dad536666</t>
        </is>
      </c>
    </row>
    <row r="236">
      <c r="A236" t="inlineStr">
        <is>
          <t>231</t>
        </is>
      </c>
      <c r="B236" t="inlineStr">
        <is>
          <t>7696617240</t>
        </is>
      </c>
      <c r="C236" t="inlineStr">
        <is>
          <t>2026-01-17 19:58:42</t>
        </is>
      </c>
      <c r="D236" t="inlineStr">
        <is>
          <t>3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30% off upto ₹75 (2025-06-25 - 2031-01-01)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355</v>
      </c>
      <c r="P236" t="n">
        <v>3.5</v>
      </c>
      <c r="Q236" t="n">
        <v>0</v>
      </c>
      <c r="R236" t="n">
        <v>75</v>
      </c>
      <c r="S236" t="n">
        <v>0</v>
      </c>
      <c r="T236" t="n">
        <v>0</v>
      </c>
      <c r="U236" t="n">
        <v>0</v>
      </c>
      <c r="V236" t="n">
        <v>14.18</v>
      </c>
      <c r="W236" t="n">
        <v>297.68</v>
      </c>
      <c r="X236" t="n">
        <v>283.5</v>
      </c>
      <c r="Y236" t="n">
        <v>19</v>
      </c>
      <c r="Z236" t="n">
        <v>53.86</v>
      </c>
      <c r="AA236" t="n">
        <v>5.48</v>
      </c>
      <c r="AB236" t="n">
        <v>59.34</v>
      </c>
      <c r="AC236" t="n">
        <v>10.68</v>
      </c>
      <c r="AD236" t="n">
        <v>0</v>
      </c>
      <c r="AE236" t="n">
        <v>283.5</v>
      </c>
      <c r="AF236" t="n">
        <v>0</v>
      </c>
      <c r="AG236" t="n">
        <v>0</v>
      </c>
      <c r="AH236" t="n">
        <v>0.28</v>
      </c>
      <c r="AI236" t="n">
        <v>14.18</v>
      </c>
      <c r="AJ236" t="n">
        <v>0</v>
      </c>
      <c r="AK236" t="n">
        <v>25.14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84.48</v>
      </c>
      <c r="AV236" t="n">
        <v>0</v>
      </c>
      <c r="AW236" t="n">
        <v>213.2</v>
      </c>
      <c r="AX236" t="inlineStr">
        <is>
          <t>settled</t>
        </is>
      </c>
      <c r="AY236" t="inlineStr">
        <is>
          <t>2026-01-21 05:30:00</t>
        </is>
      </c>
      <c r="AZ236" t="inlineStr">
        <is>
          <t>CITIN26608218588</t>
        </is>
      </c>
      <c r="BA236" t="n">
        <v>0</v>
      </c>
      <c r="BB236" t="inlineStr">
        <is>
          <t>c3886f1dd745c05a791e0717881e4d1340d20e8a48a6fbfd03d47aba32f08822</t>
        </is>
      </c>
    </row>
    <row r="237">
      <c r="A237" t="inlineStr">
        <is>
          <t>232</t>
        </is>
      </c>
      <c r="B237" t="inlineStr">
        <is>
          <t>7699931022</t>
        </is>
      </c>
      <c r="C237" t="inlineStr">
        <is>
          <t>2026-01-17 22:38:37</t>
        </is>
      </c>
      <c r="D237" t="inlineStr">
        <is>
          <t>3</t>
        </is>
      </c>
      <c r="E237" t="inlineStr">
        <is>
          <t>Sha Sha - Shandaar Shawarma</t>
        </is>
      </c>
      <c r="F237" t="inlineStr">
        <is>
          <t>18557902</t>
        </is>
      </c>
      <c r="G237" t="inlineStr">
        <is>
          <t>30% off upto ₹75 (2025-06-25 - 2031-01-01)</t>
        </is>
      </c>
      <c r="H237" t="inlineStr">
        <is>
          <t>ONLINE</t>
        </is>
      </c>
      <c r="I237" t="inlineStr">
        <is>
          <t>DELIVERED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O2</t>
        </is>
      </c>
      <c r="N237" t="inlineStr">
        <is>
          <t>36</t>
        </is>
      </c>
      <c r="O237" t="n">
        <v>229</v>
      </c>
      <c r="P237" t="n">
        <v>3.5</v>
      </c>
      <c r="Q237" t="n">
        <v>0</v>
      </c>
      <c r="R237" t="n">
        <v>68.7</v>
      </c>
      <c r="S237" t="n">
        <v>0</v>
      </c>
      <c r="T237" t="n">
        <v>0</v>
      </c>
      <c r="U237" t="n">
        <v>0</v>
      </c>
      <c r="V237" t="n">
        <v>8.19</v>
      </c>
      <c r="W237" t="n">
        <v>171.99</v>
      </c>
      <c r="X237" t="n">
        <v>163.8</v>
      </c>
      <c r="Y237" t="n">
        <v>19</v>
      </c>
      <c r="Z237" t="n">
        <v>31.12</v>
      </c>
      <c r="AA237" t="n">
        <v>3.16</v>
      </c>
      <c r="AB237" t="n">
        <v>34.28</v>
      </c>
      <c r="AC237" t="n">
        <v>6.17</v>
      </c>
      <c r="AD237" t="n">
        <v>0</v>
      </c>
      <c r="AE237" t="n">
        <v>163.8</v>
      </c>
      <c r="AF237" t="n">
        <v>0</v>
      </c>
      <c r="AG237" t="n">
        <v>0</v>
      </c>
      <c r="AH237" t="n">
        <v>0.16</v>
      </c>
      <c r="AI237" t="n">
        <v>8.199999999999999</v>
      </c>
      <c r="AJ237" t="n">
        <v>-0.01</v>
      </c>
      <c r="AK237" t="n">
        <v>14.53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48.81</v>
      </c>
      <c r="AV237" t="n">
        <v>0</v>
      </c>
      <c r="AW237" t="n">
        <v>123.18</v>
      </c>
      <c r="AX237" t="inlineStr">
        <is>
          <t>settled</t>
        </is>
      </c>
      <c r="AY237" t="inlineStr">
        <is>
          <t>2026-01-21 05:30:00</t>
        </is>
      </c>
      <c r="AZ237" t="inlineStr">
        <is>
          <t>CITIN26608218588</t>
        </is>
      </c>
      <c r="BA237" t="n">
        <v>0</v>
      </c>
      <c r="BB237" t="inlineStr">
        <is>
          <t>ae4ea7d3a40af9abbf2d064b79aca12513bf919e074844ca05debe38fa841775</t>
        </is>
      </c>
    </row>
    <row r="238">
      <c r="A238" t="inlineStr">
        <is>
          <t>233</t>
        </is>
      </c>
      <c r="B238" t="inlineStr">
        <is>
          <t>7702179717</t>
        </is>
      </c>
      <c r="C238" t="inlineStr">
        <is>
          <t>2026-01-17 23:38:33</t>
        </is>
      </c>
      <c r="D238" t="inlineStr">
        <is>
          <t>3</t>
        </is>
      </c>
      <c r="E238" t="inlineStr">
        <is>
          <t>Sha Sha - Shandaar Shawarma</t>
        </is>
      </c>
      <c r="F238" t="inlineStr">
        <is>
          <t>18557902</t>
        </is>
      </c>
      <c r="G238" t="inlineStr">
        <is>
          <t>NA</t>
        </is>
      </c>
      <c r="H238" t="inlineStr">
        <is>
          <t>ONLINE</t>
        </is>
      </c>
      <c r="I238" t="inlineStr">
        <is>
          <t>DELIVERED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O2</t>
        </is>
      </c>
      <c r="N238" t="inlineStr">
        <is>
          <t>36</t>
        </is>
      </c>
      <c r="O238" t="n">
        <v>229</v>
      </c>
      <c r="P238" t="n">
        <v>3.5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11.63</v>
      </c>
      <c r="W238" t="n">
        <v>244.13</v>
      </c>
      <c r="X238" t="n">
        <v>232.5</v>
      </c>
      <c r="Y238" t="n">
        <v>19</v>
      </c>
      <c r="Z238" t="n">
        <v>44.18</v>
      </c>
      <c r="AA238" t="n">
        <v>4.49</v>
      </c>
      <c r="AB238" t="n">
        <v>48.67</v>
      </c>
      <c r="AC238" t="n">
        <v>8.76</v>
      </c>
      <c r="AD238" t="n">
        <v>0</v>
      </c>
      <c r="AE238" t="n">
        <v>232.5</v>
      </c>
      <c r="AF238" t="n">
        <v>0</v>
      </c>
      <c r="AG238" t="n">
        <v>0</v>
      </c>
      <c r="AH238" t="n">
        <v>0.23</v>
      </c>
      <c r="AI238" t="n">
        <v>11.63</v>
      </c>
      <c r="AJ238" t="n">
        <v>0</v>
      </c>
      <c r="AK238" t="n">
        <v>20.62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69.29000000000001</v>
      </c>
      <c r="AV238" t="n">
        <v>0</v>
      </c>
      <c r="AW238" t="n">
        <v>174.84</v>
      </c>
      <c r="AX238" t="inlineStr">
        <is>
          <t>settled</t>
        </is>
      </c>
      <c r="AY238" t="inlineStr">
        <is>
          <t>2026-01-21 05:30:00</t>
        </is>
      </c>
      <c r="AZ238" t="inlineStr">
        <is>
          <t>CITIN26608218588</t>
        </is>
      </c>
      <c r="BA238" t="n">
        <v>0</v>
      </c>
      <c r="BB238" t="inlineStr">
        <is>
          <t>8ce2957014e1639ff3a1c628d358037be32cd30492715cf02af1316888deb95f</t>
        </is>
      </c>
    </row>
    <row r="239">
      <c r="A239" t="inlineStr">
        <is>
          <t>234</t>
        </is>
      </c>
      <c r="B239" t="inlineStr">
        <is>
          <t>7698809059</t>
        </is>
      </c>
      <c r="C239" t="inlineStr">
        <is>
          <t>2026-01-18 00:19:30</t>
        </is>
      </c>
      <c r="D239" t="inlineStr">
        <is>
          <t>3</t>
        </is>
      </c>
      <c r="E239" t="inlineStr">
        <is>
          <t>Sha Sha - Shandaar Shawarma</t>
        </is>
      </c>
      <c r="F239" t="inlineStr">
        <is>
          <t>18557902</t>
        </is>
      </c>
      <c r="G239" t="inlineStr">
        <is>
          <t>NA</t>
        </is>
      </c>
      <c r="H239" t="inlineStr">
        <is>
          <t>ONLINE</t>
        </is>
      </c>
      <c r="I239" t="inlineStr">
        <is>
          <t>DELIVERED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O2</t>
        </is>
      </c>
      <c r="N239" t="inlineStr">
        <is>
          <t>36</t>
        </is>
      </c>
      <c r="O239" t="n">
        <v>447</v>
      </c>
      <c r="P239" t="n">
        <v>3.5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22.53</v>
      </c>
      <c r="W239" t="n">
        <v>473.03</v>
      </c>
      <c r="X239" t="n">
        <v>450.5</v>
      </c>
      <c r="Y239" t="n">
        <v>19</v>
      </c>
      <c r="Z239" t="n">
        <v>85.59999999999999</v>
      </c>
      <c r="AA239" t="n">
        <v>8.699999999999999</v>
      </c>
      <c r="AB239" t="n">
        <v>94.3</v>
      </c>
      <c r="AC239" t="n">
        <v>16.98</v>
      </c>
      <c r="AD239" t="n">
        <v>0</v>
      </c>
      <c r="AE239" t="n">
        <v>450.5</v>
      </c>
      <c r="AF239" t="n">
        <v>0</v>
      </c>
      <c r="AG239" t="n">
        <v>0</v>
      </c>
      <c r="AH239" t="n">
        <v>0.45</v>
      </c>
      <c r="AI239" t="n">
        <v>22.53</v>
      </c>
      <c r="AJ239" t="n">
        <v>0</v>
      </c>
      <c r="AK239" t="n">
        <v>39.96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134.26</v>
      </c>
      <c r="AV239" t="n">
        <v>0</v>
      </c>
      <c r="AW239" t="n">
        <v>338.77</v>
      </c>
      <c r="AX239" t="inlineStr">
        <is>
          <t>settled</t>
        </is>
      </c>
      <c r="AY239" t="inlineStr">
        <is>
          <t>2026-01-21 05:30:00</t>
        </is>
      </c>
      <c r="AZ239" t="inlineStr">
        <is>
          <t>CITIN26608218588</t>
        </is>
      </c>
      <c r="BA239" t="n">
        <v>0</v>
      </c>
      <c r="BB239" t="inlineStr">
        <is>
          <t>57277e43a02d4d75da67b7b1cfef0b85e790633a9e81980ccb99b510f561326b</t>
        </is>
      </c>
    </row>
    <row r="240">
      <c r="A240" t="inlineStr">
        <is>
          <t>235</t>
        </is>
      </c>
      <c r="B240" t="inlineStr">
        <is>
          <t>7701955352</t>
        </is>
      </c>
      <c r="C240" t="inlineStr">
        <is>
          <t>2026-01-18 00:51:10</t>
        </is>
      </c>
      <c r="D240" t="inlineStr">
        <is>
          <t>3</t>
        </is>
      </c>
      <c r="E240" t="inlineStr">
        <is>
          <t>Sha Sha - Shandaar Shawarma</t>
        </is>
      </c>
      <c r="F240" t="inlineStr">
        <is>
          <t>18557902</t>
        </is>
      </c>
      <c r="G240" t="inlineStr">
        <is>
          <t>30% off upto ₹75 (2025-06-25 - 2031-01-01)</t>
        </is>
      </c>
      <c r="H240" t="inlineStr">
        <is>
          <t>ONLINE</t>
        </is>
      </c>
      <c r="I240" t="inlineStr">
        <is>
          <t>DELIVERED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O2</t>
        </is>
      </c>
      <c r="N240" t="inlineStr">
        <is>
          <t>36</t>
        </is>
      </c>
      <c r="O240" t="n">
        <v>229</v>
      </c>
      <c r="P240" t="n">
        <v>3.5</v>
      </c>
      <c r="Q240" t="n">
        <v>0</v>
      </c>
      <c r="R240" t="n">
        <v>68.7</v>
      </c>
      <c r="S240" t="n">
        <v>0</v>
      </c>
      <c r="T240" t="n">
        <v>0</v>
      </c>
      <c r="U240" t="n">
        <v>0</v>
      </c>
      <c r="V240" t="n">
        <v>8.19</v>
      </c>
      <c r="W240" t="n">
        <v>171.99</v>
      </c>
      <c r="X240" t="n">
        <v>163.8</v>
      </c>
      <c r="Y240" t="n">
        <v>19</v>
      </c>
      <c r="Z240" t="n">
        <v>31.12</v>
      </c>
      <c r="AA240" t="n">
        <v>3.16</v>
      </c>
      <c r="AB240" t="n">
        <v>34.28</v>
      </c>
      <c r="AC240" t="n">
        <v>6.17</v>
      </c>
      <c r="AD240" t="n">
        <v>0</v>
      </c>
      <c r="AE240" t="n">
        <v>163.8</v>
      </c>
      <c r="AF240" t="n">
        <v>0</v>
      </c>
      <c r="AG240" t="n">
        <v>0</v>
      </c>
      <c r="AH240" t="n">
        <v>0.16</v>
      </c>
      <c r="AI240" t="n">
        <v>8.199999999999999</v>
      </c>
      <c r="AJ240" t="n">
        <v>-0.01</v>
      </c>
      <c r="AK240" t="n">
        <v>14.53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48.81</v>
      </c>
      <c r="AV240" t="n">
        <v>0</v>
      </c>
      <c r="AW240" t="n">
        <v>123.18</v>
      </c>
      <c r="AX240" t="inlineStr">
        <is>
          <t>settled</t>
        </is>
      </c>
      <c r="AY240" t="inlineStr">
        <is>
          <t>2026-01-21 05:30:00</t>
        </is>
      </c>
      <c r="AZ240" t="inlineStr">
        <is>
          <t>CITIN26608218588</t>
        </is>
      </c>
      <c r="BA240" t="n">
        <v>0</v>
      </c>
      <c r="BB240" t="inlineStr">
        <is>
          <t>a1949b2b3697426151581d6d1cf55e46dcc4a4479f63a994d6321a7e42eb5f24</t>
        </is>
      </c>
    </row>
    <row r="241">
      <c r="A241" t="inlineStr">
        <is>
          <t>236</t>
        </is>
      </c>
      <c r="B241" t="inlineStr">
        <is>
          <t>7701525993</t>
        </is>
      </c>
      <c r="C241" t="inlineStr">
        <is>
          <t>2026-01-18 00:51:35</t>
        </is>
      </c>
      <c r="D241" t="inlineStr">
        <is>
          <t>3</t>
        </is>
      </c>
      <c r="E241" t="inlineStr">
        <is>
          <t>Sha Sha - Shandaar Shawarma</t>
        </is>
      </c>
      <c r="F241" t="inlineStr">
        <is>
          <t>18557902</t>
        </is>
      </c>
      <c r="G241" t="inlineStr">
        <is>
          <t>30% off upto ₹75 (2025-06-25 - 2031-01-01)</t>
        </is>
      </c>
      <c r="H241" t="inlineStr">
        <is>
          <t>ONLINE</t>
        </is>
      </c>
      <c r="I241" t="inlineStr">
        <is>
          <t>DELIVERED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O2</t>
        </is>
      </c>
      <c r="N241" t="inlineStr">
        <is>
          <t>36</t>
        </is>
      </c>
      <c r="O241" t="n">
        <v>229</v>
      </c>
      <c r="P241" t="n">
        <v>3.5</v>
      </c>
      <c r="Q241" t="n">
        <v>0</v>
      </c>
      <c r="R241" t="n">
        <v>68.7</v>
      </c>
      <c r="S241" t="n">
        <v>0</v>
      </c>
      <c r="T241" t="n">
        <v>0</v>
      </c>
      <c r="U241" t="n">
        <v>0</v>
      </c>
      <c r="V241" t="n">
        <v>8.19</v>
      </c>
      <c r="W241" t="n">
        <v>171.99</v>
      </c>
      <c r="X241" t="n">
        <v>163.8</v>
      </c>
      <c r="Y241" t="n">
        <v>19</v>
      </c>
      <c r="Z241" t="n">
        <v>31.12</v>
      </c>
      <c r="AA241" t="n">
        <v>3.16</v>
      </c>
      <c r="AB241" t="n">
        <v>34.28</v>
      </c>
      <c r="AC241" t="n">
        <v>6.17</v>
      </c>
      <c r="AD241" t="n">
        <v>0</v>
      </c>
      <c r="AE241" t="n">
        <v>163.8</v>
      </c>
      <c r="AF241" t="n">
        <v>0</v>
      </c>
      <c r="AG241" t="n">
        <v>0</v>
      </c>
      <c r="AH241" t="n">
        <v>0.16</v>
      </c>
      <c r="AI241" t="n">
        <v>8.199999999999999</v>
      </c>
      <c r="AJ241" t="n">
        <v>-0.01</v>
      </c>
      <c r="AK241" t="n">
        <v>14.53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48.81</v>
      </c>
      <c r="AV241" t="n">
        <v>0</v>
      </c>
      <c r="AW241" t="n">
        <v>123.18</v>
      </c>
      <c r="AX241" t="inlineStr">
        <is>
          <t>settled</t>
        </is>
      </c>
      <c r="AY241" t="inlineStr">
        <is>
          <t>2026-01-21 05:30:00</t>
        </is>
      </c>
      <c r="AZ241" t="inlineStr">
        <is>
          <t>CITIN26608218588</t>
        </is>
      </c>
      <c r="BA241" t="n">
        <v>0</v>
      </c>
      <c r="BB241" t="inlineStr">
        <is>
          <t>07709581e9a868b218baf3ad1f3b9f0559a4cec224962e748d73f1535b9137a5</t>
        </is>
      </c>
    </row>
    <row r="242">
      <c r="A242" t="inlineStr">
        <is>
          <t>237</t>
        </is>
      </c>
      <c r="B242" t="inlineStr">
        <is>
          <t>7701022748</t>
        </is>
      </c>
      <c r="C242" t="inlineStr">
        <is>
          <t>2026-01-18 00:52:55</t>
        </is>
      </c>
      <c r="D242" t="inlineStr">
        <is>
          <t>3</t>
        </is>
      </c>
      <c r="E242" t="inlineStr">
        <is>
          <t>Sha Sha - Shandaar Shawarma</t>
        </is>
      </c>
      <c r="F242" t="inlineStr">
        <is>
          <t>18557902</t>
        </is>
      </c>
      <c r="G242" t="inlineStr">
        <is>
          <t>30% off upto ₹75 (2025-06-25 - 2031-01-01)</t>
        </is>
      </c>
      <c r="H242" t="inlineStr">
        <is>
          <t>ONLINE</t>
        </is>
      </c>
      <c r="I242" t="inlineStr">
        <is>
          <t>DELIVERED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O2</t>
        </is>
      </c>
      <c r="N242" t="inlineStr">
        <is>
          <t>36</t>
        </is>
      </c>
      <c r="O242" t="n">
        <v>229</v>
      </c>
      <c r="P242" t="n">
        <v>3.5</v>
      </c>
      <c r="Q242" t="n">
        <v>0</v>
      </c>
      <c r="R242" t="n">
        <v>68.7</v>
      </c>
      <c r="S242" t="n">
        <v>0</v>
      </c>
      <c r="T242" t="n">
        <v>0</v>
      </c>
      <c r="U242" t="n">
        <v>0</v>
      </c>
      <c r="V242" t="n">
        <v>8.19</v>
      </c>
      <c r="W242" t="n">
        <v>171.99</v>
      </c>
      <c r="X242" t="n">
        <v>163.8</v>
      </c>
      <c r="Y242" t="n">
        <v>19</v>
      </c>
      <c r="Z242" t="n">
        <v>31.12</v>
      </c>
      <c r="AA242" t="n">
        <v>3.16</v>
      </c>
      <c r="AB242" t="n">
        <v>34.28</v>
      </c>
      <c r="AC242" t="n">
        <v>6.17</v>
      </c>
      <c r="AD242" t="n">
        <v>0</v>
      </c>
      <c r="AE242" t="n">
        <v>163.8</v>
      </c>
      <c r="AF242" t="n">
        <v>0</v>
      </c>
      <c r="AG242" t="n">
        <v>0</v>
      </c>
      <c r="AH242" t="n">
        <v>0.16</v>
      </c>
      <c r="AI242" t="n">
        <v>8.199999999999999</v>
      </c>
      <c r="AJ242" t="n">
        <v>-0.01</v>
      </c>
      <c r="AK242" t="n">
        <v>14.53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48.81</v>
      </c>
      <c r="AV242" t="n">
        <v>0</v>
      </c>
      <c r="AW242" t="n">
        <v>123.18</v>
      </c>
      <c r="AX242" t="inlineStr">
        <is>
          <t>settled</t>
        </is>
      </c>
      <c r="AY242" t="inlineStr">
        <is>
          <t>2026-01-21 05:30:00</t>
        </is>
      </c>
      <c r="AZ242" t="inlineStr">
        <is>
          <t>CITIN26608218588</t>
        </is>
      </c>
      <c r="BA242" t="n">
        <v>0</v>
      </c>
      <c r="BB242" t="inlineStr">
        <is>
          <t>55fddc41a51db900d2d594afc6683bc4a8f1d2ebbdd9447f03de2bc4012da7f9</t>
        </is>
      </c>
    </row>
    <row r="243">
      <c r="A243" t="inlineStr">
        <is>
          <t>238</t>
        </is>
      </c>
      <c r="B243" t="inlineStr">
        <is>
          <t>7697289671</t>
        </is>
      </c>
      <c r="C243" t="inlineStr">
        <is>
          <t>2026-01-18 01:01:56</t>
        </is>
      </c>
      <c r="D243" t="inlineStr">
        <is>
          <t>3</t>
        </is>
      </c>
      <c r="E243" t="inlineStr">
        <is>
          <t>Sha Sha - Shandaar Shawarma</t>
        </is>
      </c>
      <c r="F243" t="inlineStr">
        <is>
          <t>18557902</t>
        </is>
      </c>
      <c r="G243" t="inlineStr">
        <is>
          <t>NA</t>
        </is>
      </c>
      <c r="H243" t="inlineStr">
        <is>
          <t>ONLINE</t>
        </is>
      </c>
      <c r="I243" t="inlineStr">
        <is>
          <t>DELIVERED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O2</t>
        </is>
      </c>
      <c r="N243" t="inlineStr">
        <is>
          <t>36</t>
        </is>
      </c>
      <c r="O243" t="n">
        <v>268</v>
      </c>
      <c r="P243" t="n">
        <v>3.5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13.58</v>
      </c>
      <c r="W243" t="n">
        <v>285.08</v>
      </c>
      <c r="X243" t="n">
        <v>271.5</v>
      </c>
      <c r="Y243" t="n">
        <v>19</v>
      </c>
      <c r="Z243" t="n">
        <v>51.58</v>
      </c>
      <c r="AA243" t="n">
        <v>5.25</v>
      </c>
      <c r="AB243" t="n">
        <v>56.83</v>
      </c>
      <c r="AC243" t="n">
        <v>10.22</v>
      </c>
      <c r="AD243" t="n">
        <v>0</v>
      </c>
      <c r="AE243" t="n">
        <v>271.5</v>
      </c>
      <c r="AF243" t="n">
        <v>0</v>
      </c>
      <c r="AG243" t="n">
        <v>0</v>
      </c>
      <c r="AH243" t="n">
        <v>0.27</v>
      </c>
      <c r="AI243" t="n">
        <v>13.58</v>
      </c>
      <c r="AJ243" t="n">
        <v>0</v>
      </c>
      <c r="AK243" t="n">
        <v>24.07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80.90000000000001</v>
      </c>
      <c r="AV243" t="n">
        <v>0</v>
      </c>
      <c r="AW243" t="n">
        <v>204.18</v>
      </c>
      <c r="AX243" t="inlineStr">
        <is>
          <t>settled</t>
        </is>
      </c>
      <c r="AY243" t="inlineStr">
        <is>
          <t>2026-01-21 05:30:00</t>
        </is>
      </c>
      <c r="AZ243" t="inlineStr">
        <is>
          <t>CITIN26608218588</t>
        </is>
      </c>
      <c r="BA243" t="n">
        <v>0</v>
      </c>
      <c r="BB243" t="inlineStr">
        <is>
          <t>137fcadccaad3052bd84b7184ce1d112ed71d1c2a049c783bf8d15291f3e2b7e</t>
        </is>
      </c>
    </row>
    <row r="244">
      <c r="A244" t="inlineStr">
        <is>
          <t>239</t>
        </is>
      </c>
      <c r="B244" t="inlineStr">
        <is>
          <t>7698019446</t>
        </is>
      </c>
      <c r="C244" t="inlineStr">
        <is>
          <t>2026-01-18 01:02:30</t>
        </is>
      </c>
      <c r="D244" t="inlineStr">
        <is>
          <t>3</t>
        </is>
      </c>
      <c r="E244" t="inlineStr">
        <is>
          <t>Sha Sha - Shandaar Shawarma</t>
        </is>
      </c>
      <c r="F244" t="inlineStr">
        <is>
          <t>18557902</t>
        </is>
      </c>
      <c r="G244" t="inlineStr">
        <is>
          <t>NA</t>
        </is>
      </c>
      <c r="H244" t="inlineStr">
        <is>
          <t>ONLINE</t>
        </is>
      </c>
      <c r="I244" t="inlineStr">
        <is>
          <t>DELIVERED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O2</t>
        </is>
      </c>
      <c r="N244" t="inlineStr">
        <is>
          <t>36</t>
        </is>
      </c>
      <c r="O244" t="n">
        <v>229</v>
      </c>
      <c r="P244" t="n">
        <v>3.5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11.63</v>
      </c>
      <c r="W244" t="n">
        <v>244.13</v>
      </c>
      <c r="X244" t="n">
        <v>232.5</v>
      </c>
      <c r="Y244" t="n">
        <v>19</v>
      </c>
      <c r="Z244" t="n">
        <v>44.18</v>
      </c>
      <c r="AA244" t="n">
        <v>4.49</v>
      </c>
      <c r="AB244" t="n">
        <v>48.67</v>
      </c>
      <c r="AC244" t="n">
        <v>8.76</v>
      </c>
      <c r="AD244" t="n">
        <v>0</v>
      </c>
      <c r="AE244" t="n">
        <v>232.5</v>
      </c>
      <c r="AF244" t="n">
        <v>0</v>
      </c>
      <c r="AG244" t="n">
        <v>0</v>
      </c>
      <c r="AH244" t="n">
        <v>0.23</v>
      </c>
      <c r="AI244" t="n">
        <v>11.63</v>
      </c>
      <c r="AJ244" t="n">
        <v>0</v>
      </c>
      <c r="AK244" t="n">
        <v>20.62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69.29000000000001</v>
      </c>
      <c r="AV244" t="n">
        <v>0</v>
      </c>
      <c r="AW244" t="n">
        <v>174.84</v>
      </c>
      <c r="AX244" t="inlineStr">
        <is>
          <t>settled</t>
        </is>
      </c>
      <c r="AY244" t="inlineStr">
        <is>
          <t>2026-01-21 05:30:00</t>
        </is>
      </c>
      <c r="AZ244" t="inlineStr">
        <is>
          <t>CITIN26608218588</t>
        </is>
      </c>
      <c r="BA244" t="n">
        <v>0</v>
      </c>
      <c r="BB244" t="inlineStr">
        <is>
          <t>2d2b7e67f3152f01cb321a1ebbc6d8fef69330b74368960b5acd269cacdbacbe</t>
        </is>
      </c>
    </row>
    <row r="245">
      <c r="A245" t="inlineStr">
        <is>
          <t>240</t>
        </is>
      </c>
      <c r="B245" t="inlineStr">
        <is>
          <t>7702681478</t>
        </is>
      </c>
      <c r="C245" t="inlineStr">
        <is>
          <t>2026-01-18 01:27:04</t>
        </is>
      </c>
      <c r="D245" t="inlineStr">
        <is>
          <t>3</t>
        </is>
      </c>
      <c r="E245" t="inlineStr">
        <is>
          <t>Sha Sha - Shandaar Shawarma</t>
        </is>
      </c>
      <c r="F245" t="inlineStr">
        <is>
          <t>18557902</t>
        </is>
      </c>
      <c r="G245" t="inlineStr">
        <is>
          <t>30% off upto ₹75 (2025-06-25 - 2031-01-01)</t>
        </is>
      </c>
      <c r="H245" t="inlineStr">
        <is>
          <t>ONLINE</t>
        </is>
      </c>
      <c r="I245" t="inlineStr">
        <is>
          <t>DELIVERED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O2</t>
        </is>
      </c>
      <c r="N245" t="inlineStr">
        <is>
          <t>36</t>
        </is>
      </c>
      <c r="O245" t="n">
        <v>229</v>
      </c>
      <c r="P245" t="n">
        <v>3.5</v>
      </c>
      <c r="Q245" t="n">
        <v>0</v>
      </c>
      <c r="R245" t="n">
        <v>68.7</v>
      </c>
      <c r="S245" t="n">
        <v>0</v>
      </c>
      <c r="T245" t="n">
        <v>0</v>
      </c>
      <c r="U245" t="n">
        <v>0</v>
      </c>
      <c r="V245" t="n">
        <v>8.19</v>
      </c>
      <c r="W245" t="n">
        <v>171.99</v>
      </c>
      <c r="X245" t="n">
        <v>163.8</v>
      </c>
      <c r="Y245" t="n">
        <v>19</v>
      </c>
      <c r="Z245" t="n">
        <v>31.12</v>
      </c>
      <c r="AA245" t="n">
        <v>3.16</v>
      </c>
      <c r="AB245" t="n">
        <v>34.28</v>
      </c>
      <c r="AC245" t="n">
        <v>6.17</v>
      </c>
      <c r="AD245" t="n">
        <v>0</v>
      </c>
      <c r="AE245" t="n">
        <v>163.8</v>
      </c>
      <c r="AF245" t="n">
        <v>0</v>
      </c>
      <c r="AG245" t="n">
        <v>0</v>
      </c>
      <c r="AH245" t="n">
        <v>0.16</v>
      </c>
      <c r="AI245" t="n">
        <v>8.199999999999999</v>
      </c>
      <c r="AJ245" t="n">
        <v>-0.01</v>
      </c>
      <c r="AK245" t="n">
        <v>14.53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48.81</v>
      </c>
      <c r="AV245" t="n">
        <v>0</v>
      </c>
      <c r="AW245" t="n">
        <v>123.18</v>
      </c>
      <c r="AX245" t="inlineStr">
        <is>
          <t>settled</t>
        </is>
      </c>
      <c r="AY245" t="inlineStr">
        <is>
          <t>2026-01-21 05:30:00</t>
        </is>
      </c>
      <c r="AZ245" t="inlineStr">
        <is>
          <t>CITIN26608218588</t>
        </is>
      </c>
      <c r="BA245" t="n">
        <v>0</v>
      </c>
      <c r="BB245" t="inlineStr">
        <is>
          <t>22cdeabd47045d596260cf582ce43d311729a07fc6966119c0954812223ddce6</t>
        </is>
      </c>
    </row>
    <row r="246">
      <c r="A246" t="inlineStr">
        <is>
          <t>241</t>
        </is>
      </c>
      <c r="B246" t="inlineStr">
        <is>
          <t>7701364872</t>
        </is>
      </c>
      <c r="C246" t="inlineStr">
        <is>
          <t>2026-01-18 01:30:40</t>
        </is>
      </c>
      <c r="D246" t="inlineStr">
        <is>
          <t>3</t>
        </is>
      </c>
      <c r="E246" t="inlineStr">
        <is>
          <t>Sha Sha - Shandaar Shawarma</t>
        </is>
      </c>
      <c r="F246" t="inlineStr">
        <is>
          <t>18557902</t>
        </is>
      </c>
      <c r="G246" t="inlineStr">
        <is>
          <t>30% off upto ₹75 (2025-06-25 - 2031-01-01)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O2</t>
        </is>
      </c>
      <c r="N246" t="inlineStr">
        <is>
          <t>36</t>
        </is>
      </c>
      <c r="O246" t="n">
        <v>219</v>
      </c>
      <c r="P246" t="n">
        <v>3.5</v>
      </c>
      <c r="Q246" t="n">
        <v>0</v>
      </c>
      <c r="R246" t="n">
        <v>65.7</v>
      </c>
      <c r="S246" t="n">
        <v>0</v>
      </c>
      <c r="T246" t="n">
        <v>0</v>
      </c>
      <c r="U246" t="n">
        <v>0</v>
      </c>
      <c r="V246" t="n">
        <v>7.84</v>
      </c>
      <c r="W246" t="n">
        <v>164.64</v>
      </c>
      <c r="X246" t="n">
        <v>156.8</v>
      </c>
      <c r="Y246" t="n">
        <v>19</v>
      </c>
      <c r="Z246" t="n">
        <v>29.79</v>
      </c>
      <c r="AA246" t="n">
        <v>3.03</v>
      </c>
      <c r="AB246" t="n">
        <v>32.82</v>
      </c>
      <c r="AC246" t="n">
        <v>5.91</v>
      </c>
      <c r="AD246" t="n">
        <v>0</v>
      </c>
      <c r="AE246" t="n">
        <v>156.8</v>
      </c>
      <c r="AF246" t="n">
        <v>0</v>
      </c>
      <c r="AG246" t="n">
        <v>0</v>
      </c>
      <c r="AH246" t="n">
        <v>0.16</v>
      </c>
      <c r="AI246" t="n">
        <v>7.85</v>
      </c>
      <c r="AJ246" t="n">
        <v>-0.01</v>
      </c>
      <c r="AK246" t="n">
        <v>13.92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46.74</v>
      </c>
      <c r="AV246" t="n">
        <v>0</v>
      </c>
      <c r="AW246" t="n">
        <v>117.9</v>
      </c>
      <c r="AX246" t="inlineStr">
        <is>
          <t>settled</t>
        </is>
      </c>
      <c r="AY246" t="inlineStr">
        <is>
          <t>2026-01-21 05:30:00</t>
        </is>
      </c>
      <c r="AZ246" t="inlineStr">
        <is>
          <t>CITIN26608218588</t>
        </is>
      </c>
      <c r="BA246" t="n">
        <v>0</v>
      </c>
      <c r="BB246" t="inlineStr">
        <is>
          <t>21d719536f2f1f75e5399f23bec5219ec59395782bfdde0c7f9fbbc054f2cdd6</t>
        </is>
      </c>
    </row>
    <row r="247">
      <c r="A247" t="inlineStr">
        <is>
          <t>242</t>
        </is>
      </c>
      <c r="B247" t="inlineStr">
        <is>
          <t>7699066501</t>
        </is>
      </c>
      <c r="C247" t="inlineStr">
        <is>
          <t>2026-01-18 01:32:46</t>
        </is>
      </c>
      <c r="D247" t="inlineStr">
        <is>
          <t>3</t>
        </is>
      </c>
      <c r="E247" t="inlineStr">
        <is>
          <t>Sha Sha - Shandaar Shawarma</t>
        </is>
      </c>
      <c r="F247" t="inlineStr">
        <is>
          <t>18557902</t>
        </is>
      </c>
      <c r="G247" t="inlineStr">
        <is>
          <t>30% off upto ₹75 (2025-06-25 - 2031-01-01)</t>
        </is>
      </c>
      <c r="H247" t="inlineStr">
        <is>
          <t>ONLINE</t>
        </is>
      </c>
      <c r="I247" t="inlineStr">
        <is>
          <t>DELIVERED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O2</t>
        </is>
      </c>
      <c r="N247" t="inlineStr">
        <is>
          <t>36</t>
        </is>
      </c>
      <c r="O247" t="n">
        <v>229</v>
      </c>
      <c r="P247" t="n">
        <v>3.5</v>
      </c>
      <c r="Q247" t="n">
        <v>0</v>
      </c>
      <c r="R247" t="n">
        <v>68.7</v>
      </c>
      <c r="S247" t="n">
        <v>0</v>
      </c>
      <c r="T247" t="n">
        <v>0</v>
      </c>
      <c r="U247" t="n">
        <v>0</v>
      </c>
      <c r="V247" t="n">
        <v>8.19</v>
      </c>
      <c r="W247" t="n">
        <v>171.99</v>
      </c>
      <c r="X247" t="n">
        <v>163.8</v>
      </c>
      <c r="Y247" t="n">
        <v>19</v>
      </c>
      <c r="Z247" t="n">
        <v>31.12</v>
      </c>
      <c r="AA247" t="n">
        <v>3.16</v>
      </c>
      <c r="AB247" t="n">
        <v>34.28</v>
      </c>
      <c r="AC247" t="n">
        <v>6.17</v>
      </c>
      <c r="AD247" t="n">
        <v>0</v>
      </c>
      <c r="AE247" t="n">
        <v>163.8</v>
      </c>
      <c r="AF247" t="n">
        <v>0</v>
      </c>
      <c r="AG247" t="n">
        <v>0</v>
      </c>
      <c r="AH247" t="n">
        <v>0.16</v>
      </c>
      <c r="AI247" t="n">
        <v>8.199999999999999</v>
      </c>
      <c r="AJ247" t="n">
        <v>-0.01</v>
      </c>
      <c r="AK247" t="n">
        <v>14.53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48.81</v>
      </c>
      <c r="AV247" t="n">
        <v>0</v>
      </c>
      <c r="AW247" t="n">
        <v>123.18</v>
      </c>
      <c r="AX247" t="inlineStr">
        <is>
          <t>settled</t>
        </is>
      </c>
      <c r="AY247" t="inlineStr">
        <is>
          <t>2026-01-21 05:30:00</t>
        </is>
      </c>
      <c r="AZ247" t="inlineStr">
        <is>
          <t>CITIN26608218588</t>
        </is>
      </c>
      <c r="BA247" t="n">
        <v>0</v>
      </c>
      <c r="BB247" t="inlineStr">
        <is>
          <t>62cf887f698b17ce5298bbcdf9350996b23246252daafbdb307e53db7e591c28</t>
        </is>
      </c>
    </row>
    <row r="248">
      <c r="A248" t="inlineStr">
        <is>
          <t>243</t>
        </is>
      </c>
      <c r="B248" t="inlineStr">
        <is>
          <t>7702015020</t>
        </is>
      </c>
      <c r="C248" t="inlineStr">
        <is>
          <t>2026-01-18 01:41:17</t>
        </is>
      </c>
      <c r="D248" t="inlineStr">
        <is>
          <t>3</t>
        </is>
      </c>
      <c r="E248" t="inlineStr">
        <is>
          <t>Sha Sha - Shandaar Shawarma</t>
        </is>
      </c>
      <c r="F248" t="inlineStr">
        <is>
          <t>18557902</t>
        </is>
      </c>
      <c r="G248" t="inlineStr">
        <is>
          <t>30% off upto ₹75 (2025-06-25 - 2031-01-01)</t>
        </is>
      </c>
      <c r="H248" t="inlineStr">
        <is>
          <t>ONLINE</t>
        </is>
      </c>
      <c r="I248" t="inlineStr">
        <is>
          <t>DELIVERED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O2</t>
        </is>
      </c>
      <c r="N248" t="inlineStr">
        <is>
          <t>36</t>
        </is>
      </c>
      <c r="O248" t="n">
        <v>229</v>
      </c>
      <c r="P248" t="n">
        <v>3.5</v>
      </c>
      <c r="Q248" t="n">
        <v>0</v>
      </c>
      <c r="R248" t="n">
        <v>68.7</v>
      </c>
      <c r="S248" t="n">
        <v>0</v>
      </c>
      <c r="T248" t="n">
        <v>0</v>
      </c>
      <c r="U248" t="n">
        <v>0</v>
      </c>
      <c r="V248" t="n">
        <v>8.19</v>
      </c>
      <c r="W248" t="n">
        <v>171.99</v>
      </c>
      <c r="X248" t="n">
        <v>163.8</v>
      </c>
      <c r="Y248" t="n">
        <v>19</v>
      </c>
      <c r="Z248" t="n">
        <v>31.12</v>
      </c>
      <c r="AA248" t="n">
        <v>3.16</v>
      </c>
      <c r="AB248" t="n">
        <v>34.28</v>
      </c>
      <c r="AC248" t="n">
        <v>6.17</v>
      </c>
      <c r="AD248" t="n">
        <v>0</v>
      </c>
      <c r="AE248" t="n">
        <v>163.8</v>
      </c>
      <c r="AF248" t="n">
        <v>0</v>
      </c>
      <c r="AG248" t="n">
        <v>0</v>
      </c>
      <c r="AH248" t="n">
        <v>0.16</v>
      </c>
      <c r="AI248" t="n">
        <v>8.199999999999999</v>
      </c>
      <c r="AJ248" t="n">
        <v>-0.01</v>
      </c>
      <c r="AK248" t="n">
        <v>14.53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48.81</v>
      </c>
      <c r="AV248" t="n">
        <v>0</v>
      </c>
      <c r="AW248" t="n">
        <v>123.18</v>
      </c>
      <c r="AX248" t="inlineStr">
        <is>
          <t>settled</t>
        </is>
      </c>
      <c r="AY248" t="inlineStr">
        <is>
          <t>2026-01-21 05:30:00</t>
        </is>
      </c>
      <c r="AZ248" t="inlineStr">
        <is>
          <t>CITIN26608218588</t>
        </is>
      </c>
      <c r="BA248" t="n">
        <v>0</v>
      </c>
      <c r="BB248" t="inlineStr">
        <is>
          <t>0724ca26366ba24addddb1156f167432f8c76c84f8fd0c088f516ceae6c90225</t>
        </is>
      </c>
    </row>
    <row r="249">
      <c r="A249" t="inlineStr">
        <is>
          <t>244</t>
        </is>
      </c>
      <c r="B249" t="inlineStr">
        <is>
          <t>7702263986</t>
        </is>
      </c>
      <c r="C249" t="inlineStr">
        <is>
          <t>2026-01-18 01:56:34</t>
        </is>
      </c>
      <c r="D249" t="inlineStr">
        <is>
          <t>3</t>
        </is>
      </c>
      <c r="E249" t="inlineStr">
        <is>
          <t>Sha Sha - Shandaar Shawarma</t>
        </is>
      </c>
      <c r="F249" t="inlineStr">
        <is>
          <t>18557902</t>
        </is>
      </c>
      <c r="G249" t="inlineStr">
        <is>
          <t>30% off upto ₹75 (2025-06-25 - 2031-01-01)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O2</t>
        </is>
      </c>
      <c r="N249" t="inlineStr">
        <is>
          <t>36</t>
        </is>
      </c>
      <c r="O249" t="n">
        <v>229</v>
      </c>
      <c r="P249" t="n">
        <v>3.5</v>
      </c>
      <c r="Q249" t="n">
        <v>0</v>
      </c>
      <c r="R249" t="n">
        <v>68.7</v>
      </c>
      <c r="S249" t="n">
        <v>0</v>
      </c>
      <c r="T249" t="n">
        <v>0</v>
      </c>
      <c r="U249" t="n">
        <v>0</v>
      </c>
      <c r="V249" t="n">
        <v>8.19</v>
      </c>
      <c r="W249" t="n">
        <v>171.99</v>
      </c>
      <c r="X249" t="n">
        <v>163.8</v>
      </c>
      <c r="Y249" t="n">
        <v>19</v>
      </c>
      <c r="Z249" t="n">
        <v>31.12</v>
      </c>
      <c r="AA249" t="n">
        <v>3.16</v>
      </c>
      <c r="AB249" t="n">
        <v>34.28</v>
      </c>
      <c r="AC249" t="n">
        <v>6.17</v>
      </c>
      <c r="AD249" t="n">
        <v>0</v>
      </c>
      <c r="AE249" t="n">
        <v>163.8</v>
      </c>
      <c r="AF249" t="n">
        <v>0</v>
      </c>
      <c r="AG249" t="n">
        <v>0</v>
      </c>
      <c r="AH249" t="n">
        <v>0.16</v>
      </c>
      <c r="AI249" t="n">
        <v>8.199999999999999</v>
      </c>
      <c r="AJ249" t="n">
        <v>-0.01</v>
      </c>
      <c r="AK249" t="n">
        <v>14.53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48.81</v>
      </c>
      <c r="AV249" t="n">
        <v>0</v>
      </c>
      <c r="AW249" t="n">
        <v>123.18</v>
      </c>
      <c r="AX249" t="inlineStr">
        <is>
          <t>settled</t>
        </is>
      </c>
      <c r="AY249" t="inlineStr">
        <is>
          <t>2026-01-21 05:30:00</t>
        </is>
      </c>
      <c r="AZ249" t="inlineStr">
        <is>
          <t>CITIN26608218588</t>
        </is>
      </c>
      <c r="BA249" t="n">
        <v>0</v>
      </c>
      <c r="BB249" t="inlineStr">
        <is>
          <t>a6c5f7234fee9c822d1337007113c801196b9b965ff6441c487a7e94a41578a5</t>
        </is>
      </c>
    </row>
    <row r="250">
      <c r="A250" t="inlineStr">
        <is>
          <t>245</t>
        </is>
      </c>
      <c r="B250" t="inlineStr">
        <is>
          <t>7690285983</t>
        </is>
      </c>
      <c r="C250" t="inlineStr">
        <is>
          <t>2026-01-18 02:01:25</t>
        </is>
      </c>
      <c r="D250" t="inlineStr">
        <is>
          <t>3</t>
        </is>
      </c>
      <c r="E250" t="inlineStr">
        <is>
          <t>Sha Sha - Shandaar Shawarma</t>
        </is>
      </c>
      <c r="F250" t="inlineStr">
        <is>
          <t>18557902</t>
        </is>
      </c>
      <c r="G250" t="inlineStr">
        <is>
          <t>30% off upto ₹75 (2025-06-25 - 2031-01-01)</t>
        </is>
      </c>
      <c r="H250" t="inlineStr">
        <is>
          <t>ONLINE</t>
        </is>
      </c>
      <c r="I250" t="inlineStr">
        <is>
          <t>DELIVERED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O2</t>
        </is>
      </c>
      <c r="N250" t="inlineStr">
        <is>
          <t>36</t>
        </is>
      </c>
      <c r="O250" t="n">
        <v>229</v>
      </c>
      <c r="P250" t="n">
        <v>3.5</v>
      </c>
      <c r="Q250" t="n">
        <v>0</v>
      </c>
      <c r="R250" t="n">
        <v>68.7</v>
      </c>
      <c r="S250" t="n">
        <v>0</v>
      </c>
      <c r="T250" t="n">
        <v>0</v>
      </c>
      <c r="U250" t="n">
        <v>0</v>
      </c>
      <c r="V250" t="n">
        <v>8.19</v>
      </c>
      <c r="W250" t="n">
        <v>171.99</v>
      </c>
      <c r="X250" t="n">
        <v>163.8</v>
      </c>
      <c r="Y250" t="n">
        <v>19</v>
      </c>
      <c r="Z250" t="n">
        <v>31.12</v>
      </c>
      <c r="AA250" t="n">
        <v>3.16</v>
      </c>
      <c r="AB250" t="n">
        <v>34.28</v>
      </c>
      <c r="AC250" t="n">
        <v>6.17</v>
      </c>
      <c r="AD250" t="n">
        <v>0</v>
      </c>
      <c r="AE250" t="n">
        <v>163.8</v>
      </c>
      <c r="AF250" t="n">
        <v>0</v>
      </c>
      <c r="AG250" t="n">
        <v>0</v>
      </c>
      <c r="AH250" t="n">
        <v>0.16</v>
      </c>
      <c r="AI250" t="n">
        <v>8.199999999999999</v>
      </c>
      <c r="AJ250" t="n">
        <v>-0.01</v>
      </c>
      <c r="AK250" t="n">
        <v>14.53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48.81</v>
      </c>
      <c r="AV250" t="n">
        <v>0</v>
      </c>
      <c r="AW250" t="n">
        <v>123.18</v>
      </c>
      <c r="AX250" t="inlineStr">
        <is>
          <t>settled</t>
        </is>
      </c>
      <c r="AY250" t="inlineStr">
        <is>
          <t>2026-01-21 05:30:00</t>
        </is>
      </c>
      <c r="AZ250" t="inlineStr">
        <is>
          <t>CITIN26608218588</t>
        </is>
      </c>
      <c r="BA250" t="n">
        <v>0</v>
      </c>
      <c r="BB250" t="inlineStr">
        <is>
          <t>f965c705b5c4cac429aaa12fa644d2d6b611f69f55ef841ad3fea42d208be5e0</t>
        </is>
      </c>
    </row>
    <row r="251">
      <c r="A251" t="inlineStr">
        <is>
          <t>246</t>
        </is>
      </c>
      <c r="B251" t="inlineStr">
        <is>
          <t>7700878262</t>
        </is>
      </c>
      <c r="C251" t="inlineStr">
        <is>
          <t>2026-01-18 02:06:03</t>
        </is>
      </c>
      <c r="D251" t="inlineStr">
        <is>
          <t>3</t>
        </is>
      </c>
      <c r="E251" t="inlineStr">
        <is>
          <t>Sha Sha - Shandaar Shawarma</t>
        </is>
      </c>
      <c r="F251" t="inlineStr">
        <is>
          <t>18557902</t>
        </is>
      </c>
      <c r="G251" t="inlineStr">
        <is>
          <t>30% off upto ₹75 (2025-06-25 - 2031-01-01)</t>
        </is>
      </c>
      <c r="H251" t="inlineStr">
        <is>
          <t>ONLINE</t>
        </is>
      </c>
      <c r="I251" t="inlineStr">
        <is>
          <t>DELIVERED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O2</t>
        </is>
      </c>
      <c r="N251" t="inlineStr">
        <is>
          <t>36</t>
        </is>
      </c>
      <c r="O251" t="n">
        <v>229</v>
      </c>
      <c r="P251" t="n">
        <v>3.5</v>
      </c>
      <c r="Q251" t="n">
        <v>0</v>
      </c>
      <c r="R251" t="n">
        <v>68.7</v>
      </c>
      <c r="S251" t="n">
        <v>0</v>
      </c>
      <c r="T251" t="n">
        <v>0</v>
      </c>
      <c r="U251" t="n">
        <v>0</v>
      </c>
      <c r="V251" t="n">
        <v>8.19</v>
      </c>
      <c r="W251" t="n">
        <v>171.99</v>
      </c>
      <c r="X251" t="n">
        <v>163.8</v>
      </c>
      <c r="Y251" t="n">
        <v>19</v>
      </c>
      <c r="Z251" t="n">
        <v>31.12</v>
      </c>
      <c r="AA251" t="n">
        <v>3.16</v>
      </c>
      <c r="AB251" t="n">
        <v>34.28</v>
      </c>
      <c r="AC251" t="n">
        <v>6.17</v>
      </c>
      <c r="AD251" t="n">
        <v>0</v>
      </c>
      <c r="AE251" t="n">
        <v>163.8</v>
      </c>
      <c r="AF251" t="n">
        <v>0</v>
      </c>
      <c r="AG251" t="n">
        <v>0</v>
      </c>
      <c r="AH251" t="n">
        <v>0.16</v>
      </c>
      <c r="AI251" t="n">
        <v>8.199999999999999</v>
      </c>
      <c r="AJ251" t="n">
        <v>-0.01</v>
      </c>
      <c r="AK251" t="n">
        <v>14.53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48.81</v>
      </c>
      <c r="AV251" t="n">
        <v>0</v>
      </c>
      <c r="AW251" t="n">
        <v>123.18</v>
      </c>
      <c r="AX251" t="inlineStr">
        <is>
          <t>settled</t>
        </is>
      </c>
      <c r="AY251" t="inlineStr">
        <is>
          <t>2026-01-21 05:30:00</t>
        </is>
      </c>
      <c r="AZ251" t="inlineStr">
        <is>
          <t>CITIN26608218588</t>
        </is>
      </c>
      <c r="BA251" t="n">
        <v>0</v>
      </c>
      <c r="BB251" t="inlineStr">
        <is>
          <t>6b4b5ed63db01684b47ed292c52a6089cee2822d608f07032079908a81db86bb</t>
        </is>
      </c>
    </row>
    <row r="252">
      <c r="A252" t="inlineStr">
        <is>
          <t>247</t>
        </is>
      </c>
      <c r="B252" t="inlineStr">
        <is>
          <t>7697727547</t>
        </is>
      </c>
      <c r="C252" t="inlineStr">
        <is>
          <t>2026-01-18 02:12:17</t>
        </is>
      </c>
      <c r="D252" t="inlineStr">
        <is>
          <t>3</t>
        </is>
      </c>
      <c r="E252" t="inlineStr">
        <is>
          <t>Sha Sha - Shandaar Shawarma</t>
        </is>
      </c>
      <c r="F252" t="inlineStr">
        <is>
          <t>18557902</t>
        </is>
      </c>
      <c r="G252" t="inlineStr">
        <is>
          <t>30% off upto ₹75 (2025-06-25 - 2031-01-01)</t>
        </is>
      </c>
      <c r="H252" t="inlineStr">
        <is>
          <t>ONLINE</t>
        </is>
      </c>
      <c r="I252" t="inlineStr">
        <is>
          <t>DELIVERED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O2</t>
        </is>
      </c>
      <c r="N252" t="inlineStr">
        <is>
          <t>36</t>
        </is>
      </c>
      <c r="O252" t="n">
        <v>229</v>
      </c>
      <c r="P252" t="n">
        <v>3.5</v>
      </c>
      <c r="Q252" t="n">
        <v>0</v>
      </c>
      <c r="R252" t="n">
        <v>68.7</v>
      </c>
      <c r="S252" t="n">
        <v>0</v>
      </c>
      <c r="T252" t="n">
        <v>0</v>
      </c>
      <c r="U252" t="n">
        <v>0</v>
      </c>
      <c r="V252" t="n">
        <v>8.19</v>
      </c>
      <c r="W252" t="n">
        <v>171.99</v>
      </c>
      <c r="X252" t="n">
        <v>163.8</v>
      </c>
      <c r="Y252" t="n">
        <v>19</v>
      </c>
      <c r="Z252" t="n">
        <v>31.12</v>
      </c>
      <c r="AA252" t="n">
        <v>3.16</v>
      </c>
      <c r="AB252" t="n">
        <v>34.28</v>
      </c>
      <c r="AC252" t="n">
        <v>6.17</v>
      </c>
      <c r="AD252" t="n">
        <v>0</v>
      </c>
      <c r="AE252" t="n">
        <v>163.8</v>
      </c>
      <c r="AF252" t="n">
        <v>0</v>
      </c>
      <c r="AG252" t="n">
        <v>0</v>
      </c>
      <c r="AH252" t="n">
        <v>0.16</v>
      </c>
      <c r="AI252" t="n">
        <v>8.199999999999999</v>
      </c>
      <c r="AJ252" t="n">
        <v>-0.01</v>
      </c>
      <c r="AK252" t="n">
        <v>14.53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48.81</v>
      </c>
      <c r="AV252" t="n">
        <v>0</v>
      </c>
      <c r="AW252" t="n">
        <v>123.18</v>
      </c>
      <c r="AX252" t="inlineStr">
        <is>
          <t>settled</t>
        </is>
      </c>
      <c r="AY252" t="inlineStr">
        <is>
          <t>2026-01-21 05:30:00</t>
        </is>
      </c>
      <c r="AZ252" t="inlineStr">
        <is>
          <t>CITIN26608218588</t>
        </is>
      </c>
      <c r="BA252" t="n">
        <v>0</v>
      </c>
      <c r="BB252" t="inlineStr">
        <is>
          <t>22aa8e66c9425c21c988758c65bc0a4fac0b0ad034ea8d67b42fb25c751f8057</t>
        </is>
      </c>
    </row>
    <row r="253">
      <c r="A253" t="inlineStr">
        <is>
          <t>248</t>
        </is>
      </c>
      <c r="B253" t="inlineStr">
        <is>
          <t>7702839344</t>
        </is>
      </c>
      <c r="C253" t="inlineStr">
        <is>
          <t>2026-01-18 02:14:46</t>
        </is>
      </c>
      <c r="D253" t="inlineStr">
        <is>
          <t>3</t>
        </is>
      </c>
      <c r="E253" t="inlineStr">
        <is>
          <t>Sha Sha - Shandaar Shawarma</t>
        </is>
      </c>
      <c r="F253" t="inlineStr">
        <is>
          <t>18557902</t>
        </is>
      </c>
      <c r="G253" t="inlineStr">
        <is>
          <t>30% off upto ₹75 (2025-06-25 - 2031-01-01)</t>
        </is>
      </c>
      <c r="H253" t="inlineStr">
        <is>
          <t>ONLINE</t>
        </is>
      </c>
      <c r="I253" t="inlineStr">
        <is>
          <t>DELIVERED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O2</t>
        </is>
      </c>
      <c r="N253" t="inlineStr">
        <is>
          <t>36</t>
        </is>
      </c>
      <c r="O253" t="n">
        <v>219</v>
      </c>
      <c r="P253" t="n">
        <v>3.5</v>
      </c>
      <c r="Q253" t="n">
        <v>0</v>
      </c>
      <c r="R253" t="n">
        <v>65.7</v>
      </c>
      <c r="S253" t="n">
        <v>0</v>
      </c>
      <c r="T253" t="n">
        <v>0</v>
      </c>
      <c r="U253" t="n">
        <v>0</v>
      </c>
      <c r="V253" t="n">
        <v>7.84</v>
      </c>
      <c r="W253" t="n">
        <v>164.64</v>
      </c>
      <c r="X253" t="n">
        <v>156.8</v>
      </c>
      <c r="Y253" t="n">
        <v>19</v>
      </c>
      <c r="Z253" t="n">
        <v>29.79</v>
      </c>
      <c r="AA253" t="n">
        <v>3.03</v>
      </c>
      <c r="AB253" t="n">
        <v>32.82</v>
      </c>
      <c r="AC253" t="n">
        <v>5.91</v>
      </c>
      <c r="AD253" t="n">
        <v>0</v>
      </c>
      <c r="AE253" t="n">
        <v>156.8</v>
      </c>
      <c r="AF253" t="n">
        <v>0</v>
      </c>
      <c r="AG253" t="n">
        <v>0</v>
      </c>
      <c r="AH253" t="n">
        <v>0.16</v>
      </c>
      <c r="AI253" t="n">
        <v>7.85</v>
      </c>
      <c r="AJ253" t="n">
        <v>-0.01</v>
      </c>
      <c r="AK253" t="n">
        <v>13.92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46.74</v>
      </c>
      <c r="AV253" t="n">
        <v>0</v>
      </c>
      <c r="AW253" t="n">
        <v>117.9</v>
      </c>
      <c r="AX253" t="inlineStr">
        <is>
          <t>settled</t>
        </is>
      </c>
      <c r="AY253" t="inlineStr">
        <is>
          <t>2026-01-21 05:30:00</t>
        </is>
      </c>
      <c r="AZ253" t="inlineStr">
        <is>
          <t>CITIN26608218588</t>
        </is>
      </c>
      <c r="BA253" t="n">
        <v>0</v>
      </c>
      <c r="BB253" t="inlineStr">
        <is>
          <t>b2b9dfc9f399c1d4b22707691f9d3c5c12a5bb5bee1f8e05b68632505a34e500</t>
        </is>
      </c>
    </row>
    <row r="254">
      <c r="A254" t="inlineStr">
        <is>
          <t>249</t>
        </is>
      </c>
      <c r="B254" t="inlineStr">
        <is>
          <t>7702607769</t>
        </is>
      </c>
      <c r="C254" t="inlineStr">
        <is>
          <t>2026-01-18 03:11:40</t>
        </is>
      </c>
      <c r="D254" t="inlineStr">
        <is>
          <t>3</t>
        </is>
      </c>
      <c r="E254" t="inlineStr">
        <is>
          <t>Sha Sha - Shandaar Shawarma</t>
        </is>
      </c>
      <c r="F254" t="inlineStr">
        <is>
          <t>18557902</t>
        </is>
      </c>
      <c r="G254" t="inlineStr">
        <is>
          <t>30% off upto ₹75 (2025-06-25 - 2031-01-01)</t>
        </is>
      </c>
      <c r="H254" t="inlineStr">
        <is>
          <t>ONLINE</t>
        </is>
      </c>
      <c r="I254" t="inlineStr">
        <is>
          <t>DELIVERED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O2</t>
        </is>
      </c>
      <c r="N254" t="inlineStr">
        <is>
          <t>36</t>
        </is>
      </c>
      <c r="O254" t="n">
        <v>355</v>
      </c>
      <c r="P254" t="n">
        <v>3.5</v>
      </c>
      <c r="Q254" t="n">
        <v>0</v>
      </c>
      <c r="R254" t="n">
        <v>75</v>
      </c>
      <c r="S254" t="n">
        <v>0</v>
      </c>
      <c r="T254" t="n">
        <v>0</v>
      </c>
      <c r="U254" t="n">
        <v>0</v>
      </c>
      <c r="V254" t="n">
        <v>14.18</v>
      </c>
      <c r="W254" t="n">
        <v>297.68</v>
      </c>
      <c r="X254" t="n">
        <v>283.5</v>
      </c>
      <c r="Y254" t="n">
        <v>19</v>
      </c>
      <c r="Z254" t="n">
        <v>53.86</v>
      </c>
      <c r="AA254" t="n">
        <v>5.48</v>
      </c>
      <c r="AB254" t="n">
        <v>59.34</v>
      </c>
      <c r="AC254" t="n">
        <v>10.68</v>
      </c>
      <c r="AD254" t="n">
        <v>0</v>
      </c>
      <c r="AE254" t="n">
        <v>283.5</v>
      </c>
      <c r="AF254" t="n">
        <v>0</v>
      </c>
      <c r="AG254" t="n">
        <v>0</v>
      </c>
      <c r="AH254" t="n">
        <v>0.28</v>
      </c>
      <c r="AI254" t="n">
        <v>14.18</v>
      </c>
      <c r="AJ254" t="n">
        <v>0</v>
      </c>
      <c r="AK254" t="n">
        <v>25.14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84.48</v>
      </c>
      <c r="AV254" t="n">
        <v>0</v>
      </c>
      <c r="AW254" t="n">
        <v>213.2</v>
      </c>
      <c r="AX254" t="inlineStr">
        <is>
          <t>settled</t>
        </is>
      </c>
      <c r="AY254" t="inlineStr">
        <is>
          <t>2026-01-21 05:30:00</t>
        </is>
      </c>
      <c r="AZ254" t="inlineStr">
        <is>
          <t>CITIN26608218588</t>
        </is>
      </c>
      <c r="BA254" t="n">
        <v>0</v>
      </c>
      <c r="BB254" t="inlineStr">
        <is>
          <t>7b79f1a5241a3989043720649d41ac1092b51e4d6c0c92b7a72c5f9a49830aed</t>
        </is>
      </c>
    </row>
    <row r="255">
      <c r="A255" t="inlineStr">
        <is>
          <t>250</t>
        </is>
      </c>
      <c r="B255" t="inlineStr">
        <is>
          <t>7701451158</t>
        </is>
      </c>
      <c r="C255" t="inlineStr">
        <is>
          <t>2026-01-18 03:17:40</t>
        </is>
      </c>
      <c r="D255" t="inlineStr">
        <is>
          <t>3</t>
        </is>
      </c>
      <c r="E255" t="inlineStr">
        <is>
          <t>Sha Sha - Shandaar Shawarma</t>
        </is>
      </c>
      <c r="F255" t="inlineStr">
        <is>
          <t>18557902</t>
        </is>
      </c>
      <c r="G255" t="inlineStr">
        <is>
          <t>30% off upto ₹75 (2025-06-25 - 2031-01-01)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O2</t>
        </is>
      </c>
      <c r="N255" t="inlineStr">
        <is>
          <t>36</t>
        </is>
      </c>
      <c r="O255" t="n">
        <v>229</v>
      </c>
      <c r="P255" t="n">
        <v>3.5</v>
      </c>
      <c r="Q255" t="n">
        <v>0</v>
      </c>
      <c r="R255" t="n">
        <v>68.7</v>
      </c>
      <c r="S255" t="n">
        <v>0</v>
      </c>
      <c r="T255" t="n">
        <v>0</v>
      </c>
      <c r="U255" t="n">
        <v>0</v>
      </c>
      <c r="V255" t="n">
        <v>8.19</v>
      </c>
      <c r="W255" t="n">
        <v>171.99</v>
      </c>
      <c r="X255" t="n">
        <v>163.8</v>
      </c>
      <c r="Y255" t="n">
        <v>19</v>
      </c>
      <c r="Z255" t="n">
        <v>31.12</v>
      </c>
      <c r="AA255" t="n">
        <v>3.16</v>
      </c>
      <c r="AB255" t="n">
        <v>34.28</v>
      </c>
      <c r="AC255" t="n">
        <v>6.17</v>
      </c>
      <c r="AD255" t="n">
        <v>0</v>
      </c>
      <c r="AE255" t="n">
        <v>163.8</v>
      </c>
      <c r="AF255" t="n">
        <v>0</v>
      </c>
      <c r="AG255" t="n">
        <v>0</v>
      </c>
      <c r="AH255" t="n">
        <v>0.16</v>
      </c>
      <c r="AI255" t="n">
        <v>8.199999999999999</v>
      </c>
      <c r="AJ255" t="n">
        <v>-0.01</v>
      </c>
      <c r="AK255" t="n">
        <v>14.53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48.81</v>
      </c>
      <c r="AV255" t="n">
        <v>0</v>
      </c>
      <c r="AW255" t="n">
        <v>123.18</v>
      </c>
      <c r="AX255" t="inlineStr">
        <is>
          <t>settled</t>
        </is>
      </c>
      <c r="AY255" t="inlineStr">
        <is>
          <t>2026-01-21 05:30:00</t>
        </is>
      </c>
      <c r="AZ255" t="inlineStr">
        <is>
          <t>CITIN26608218588</t>
        </is>
      </c>
      <c r="BA255" t="n">
        <v>0</v>
      </c>
      <c r="BB255" t="inlineStr">
        <is>
          <t>b8636f3a2d185b11afe578591d5b1a3a5d5b440e4446350ffacc07b9014db47d</t>
        </is>
      </c>
    </row>
    <row r="256">
      <c r="A256" t="inlineStr">
        <is>
          <t>251</t>
        </is>
      </c>
      <c r="B256" t="inlineStr">
        <is>
          <t>7700970313</t>
        </is>
      </c>
      <c r="C256" t="inlineStr">
        <is>
          <t>2026-01-18 03:42:02</t>
        </is>
      </c>
      <c r="D256" t="inlineStr">
        <is>
          <t>3</t>
        </is>
      </c>
      <c r="E256" t="inlineStr">
        <is>
          <t>Sha Sha - Shandaar Shawarma</t>
        </is>
      </c>
      <c r="F256" t="inlineStr">
        <is>
          <t>18557902</t>
        </is>
      </c>
      <c r="G256" t="inlineStr">
        <is>
          <t>30% off upto ₹75 (2025-06-25 - 2031-01-01)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O2</t>
        </is>
      </c>
      <c r="N256" t="inlineStr">
        <is>
          <t>36</t>
        </is>
      </c>
      <c r="O256" t="n">
        <v>219</v>
      </c>
      <c r="P256" t="n">
        <v>3.5</v>
      </c>
      <c r="Q256" t="n">
        <v>0</v>
      </c>
      <c r="R256" t="n">
        <v>65.7</v>
      </c>
      <c r="S256" t="n">
        <v>0</v>
      </c>
      <c r="T256" t="n">
        <v>0</v>
      </c>
      <c r="U256" t="n">
        <v>0</v>
      </c>
      <c r="V256" t="n">
        <v>7.84</v>
      </c>
      <c r="W256" t="n">
        <v>164.64</v>
      </c>
      <c r="X256" t="n">
        <v>156.8</v>
      </c>
      <c r="Y256" t="n">
        <v>19</v>
      </c>
      <c r="Z256" t="n">
        <v>29.79</v>
      </c>
      <c r="AA256" t="n">
        <v>3.03</v>
      </c>
      <c r="AB256" t="n">
        <v>32.82</v>
      </c>
      <c r="AC256" t="n">
        <v>5.91</v>
      </c>
      <c r="AD256" t="n">
        <v>0</v>
      </c>
      <c r="AE256" t="n">
        <v>156.8</v>
      </c>
      <c r="AF256" t="n">
        <v>0</v>
      </c>
      <c r="AG256" t="n">
        <v>0</v>
      </c>
      <c r="AH256" t="n">
        <v>0.16</v>
      </c>
      <c r="AI256" t="n">
        <v>7.85</v>
      </c>
      <c r="AJ256" t="n">
        <v>-0.01</v>
      </c>
      <c r="AK256" t="n">
        <v>13.92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46.74</v>
      </c>
      <c r="AV256" t="n">
        <v>0</v>
      </c>
      <c r="AW256" t="n">
        <v>117.9</v>
      </c>
      <c r="AX256" t="inlineStr">
        <is>
          <t>settled</t>
        </is>
      </c>
      <c r="AY256" t="inlineStr">
        <is>
          <t>2026-01-21 05:30:00</t>
        </is>
      </c>
      <c r="AZ256" t="inlineStr">
        <is>
          <t>CITIN26608218588</t>
        </is>
      </c>
      <c r="BA256" t="n">
        <v>0</v>
      </c>
      <c r="BB256" t="inlineStr">
        <is>
          <t>27651384ca9f2138ff2721b3743f5812db9fdc2aa6c4b40c47865e1fb43178e6</t>
        </is>
      </c>
    </row>
    <row r="257">
      <c r="A257" t="inlineStr">
        <is>
          <t>252</t>
        </is>
      </c>
      <c r="B257" t="inlineStr">
        <is>
          <t>7695486295</t>
        </is>
      </c>
      <c r="C257" t="inlineStr">
        <is>
          <t>2026-01-18 03:46:45</t>
        </is>
      </c>
      <c r="D257" t="inlineStr">
        <is>
          <t>3</t>
        </is>
      </c>
      <c r="E257" t="inlineStr">
        <is>
          <t>Sha Sha - Shandaar Shawarma</t>
        </is>
      </c>
      <c r="F257" t="inlineStr">
        <is>
          <t>18557902</t>
        </is>
      </c>
      <c r="G257" t="inlineStr">
        <is>
          <t>NA</t>
        </is>
      </c>
      <c r="H257" t="inlineStr">
        <is>
          <t>ONLINE</t>
        </is>
      </c>
      <c r="I257" t="inlineStr">
        <is>
          <t>DELIVERED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O2</t>
        </is>
      </c>
      <c r="N257" t="inlineStr">
        <is>
          <t>36</t>
        </is>
      </c>
      <c r="O257" t="n">
        <v>487</v>
      </c>
      <c r="P257" t="n">
        <v>3.5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24.53</v>
      </c>
      <c r="W257" t="n">
        <v>515.03</v>
      </c>
      <c r="X257" t="n">
        <v>490.5</v>
      </c>
      <c r="Y257" t="n">
        <v>19</v>
      </c>
      <c r="Z257" t="n">
        <v>93.2</v>
      </c>
      <c r="AA257" t="n">
        <v>9.48</v>
      </c>
      <c r="AB257" t="n">
        <v>102.68</v>
      </c>
      <c r="AC257" t="n">
        <v>18.49</v>
      </c>
      <c r="AD257" t="n">
        <v>0</v>
      </c>
      <c r="AE257" t="n">
        <v>490.5</v>
      </c>
      <c r="AF257" t="n">
        <v>0</v>
      </c>
      <c r="AG257" t="n">
        <v>0</v>
      </c>
      <c r="AH257" t="n">
        <v>0.49</v>
      </c>
      <c r="AI257" t="n">
        <v>24.53</v>
      </c>
      <c r="AJ257" t="n">
        <v>0</v>
      </c>
      <c r="AK257" t="n">
        <v>43.51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146.19</v>
      </c>
      <c r="AV257" t="n">
        <v>0</v>
      </c>
      <c r="AW257" t="n">
        <v>368.84</v>
      </c>
      <c r="AX257" t="inlineStr">
        <is>
          <t>settled</t>
        </is>
      </c>
      <c r="AY257" t="inlineStr">
        <is>
          <t>2026-01-21 05:30:00</t>
        </is>
      </c>
      <c r="AZ257" t="inlineStr">
        <is>
          <t>CITIN26608218588</t>
        </is>
      </c>
      <c r="BA257" t="n">
        <v>0</v>
      </c>
      <c r="BB257" t="inlineStr">
        <is>
          <t>bd91af61177966352b8d4e76086321339ab523af54133d3c226a16dd66ea0807</t>
        </is>
      </c>
    </row>
    <row r="258">
      <c r="A258" t="inlineStr">
        <is>
          <t>253</t>
        </is>
      </c>
      <c r="B258" t="inlineStr">
        <is>
          <t>7700538929</t>
        </is>
      </c>
      <c r="C258" t="inlineStr">
        <is>
          <t>2026-01-18 11:42:08</t>
        </is>
      </c>
      <c r="D258" t="inlineStr">
        <is>
          <t>3</t>
        </is>
      </c>
      <c r="E258" t="inlineStr">
        <is>
          <t>Sha Sha - Shandaar Shawarma</t>
        </is>
      </c>
      <c r="F258" t="inlineStr">
        <is>
          <t>18557902</t>
        </is>
      </c>
      <c r="G258" t="inlineStr">
        <is>
          <t>NA</t>
        </is>
      </c>
      <c r="H258" t="inlineStr">
        <is>
          <t>ONLINE</t>
        </is>
      </c>
      <c r="I258" t="inlineStr">
        <is>
          <t>DELIVERED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O2</t>
        </is>
      </c>
      <c r="N258" t="inlineStr">
        <is>
          <t>36</t>
        </is>
      </c>
      <c r="O258" t="n">
        <v>229</v>
      </c>
      <c r="P258" t="n">
        <v>3.5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11.63</v>
      </c>
      <c r="W258" t="n">
        <v>244.13</v>
      </c>
      <c r="X258" t="n">
        <v>232.5</v>
      </c>
      <c r="Y258" t="n">
        <v>19</v>
      </c>
      <c r="Z258" t="n">
        <v>44.18</v>
      </c>
      <c r="AA258" t="n">
        <v>4.49</v>
      </c>
      <c r="AB258" t="n">
        <v>48.67</v>
      </c>
      <c r="AC258" t="n">
        <v>8.76</v>
      </c>
      <c r="AD258" t="n">
        <v>0</v>
      </c>
      <c r="AE258" t="n">
        <v>232.5</v>
      </c>
      <c r="AF258" t="n">
        <v>0</v>
      </c>
      <c r="AG258" t="n">
        <v>0</v>
      </c>
      <c r="AH258" t="n">
        <v>0.23</v>
      </c>
      <c r="AI258" t="n">
        <v>11.63</v>
      </c>
      <c r="AJ258" t="n">
        <v>0</v>
      </c>
      <c r="AK258" t="n">
        <v>20.62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69.29000000000001</v>
      </c>
      <c r="AV258" t="n">
        <v>0</v>
      </c>
      <c r="AW258" t="n">
        <v>174.84</v>
      </c>
      <c r="AX258" t="inlineStr">
        <is>
          <t>settled</t>
        </is>
      </c>
      <c r="AY258" t="inlineStr">
        <is>
          <t>2026-01-21 05:30:00</t>
        </is>
      </c>
      <c r="AZ258" t="inlineStr">
        <is>
          <t>CITIN26608218588</t>
        </is>
      </c>
      <c r="BA258" t="n">
        <v>0</v>
      </c>
      <c r="BB258" t="inlineStr">
        <is>
          <t>75d70b02bd5dfd4ec96222b6bd338f11369b14b04340faf135faa5798a284bc5</t>
        </is>
      </c>
    </row>
    <row r="259">
      <c r="A259" t="inlineStr">
        <is>
          <t>254</t>
        </is>
      </c>
      <c r="B259" t="inlineStr">
        <is>
          <t>7701173396</t>
        </is>
      </c>
      <c r="C259" t="inlineStr">
        <is>
          <t>2026-01-18 12:17:49</t>
        </is>
      </c>
      <c r="D259" t="inlineStr">
        <is>
          <t>3</t>
        </is>
      </c>
      <c r="E259" t="inlineStr">
        <is>
          <t>Sha Sha - Shandaar Shawarma</t>
        </is>
      </c>
      <c r="F259" t="inlineStr">
        <is>
          <t>18557902</t>
        </is>
      </c>
      <c r="G259" t="inlineStr">
        <is>
          <t>NA</t>
        </is>
      </c>
      <c r="H259" t="inlineStr">
        <is>
          <t>ONLINE</t>
        </is>
      </c>
      <c r="I259" t="inlineStr">
        <is>
          <t>DELIVERED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O2</t>
        </is>
      </c>
      <c r="N259" t="inlineStr">
        <is>
          <t>36</t>
        </is>
      </c>
      <c r="O259" t="n">
        <v>458</v>
      </c>
      <c r="P259" t="n">
        <v>3.5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23.08</v>
      </c>
      <c r="W259" t="n">
        <v>484.58</v>
      </c>
      <c r="X259" t="n">
        <v>461.5</v>
      </c>
      <c r="Y259" t="n">
        <v>19</v>
      </c>
      <c r="Z259" t="n">
        <v>87.68000000000001</v>
      </c>
      <c r="AA259" t="n">
        <v>8.92</v>
      </c>
      <c r="AB259" t="n">
        <v>96.59999999999999</v>
      </c>
      <c r="AC259" t="n">
        <v>17.39</v>
      </c>
      <c r="AD259" t="n">
        <v>0</v>
      </c>
      <c r="AE259" t="n">
        <v>461.5</v>
      </c>
      <c r="AF259" t="n">
        <v>0</v>
      </c>
      <c r="AG259" t="n">
        <v>0</v>
      </c>
      <c r="AH259" t="n">
        <v>0.46</v>
      </c>
      <c r="AI259" t="n">
        <v>23.08</v>
      </c>
      <c r="AJ259" t="n">
        <v>0</v>
      </c>
      <c r="AK259" t="n">
        <v>40.93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137.53</v>
      </c>
      <c r="AV259" t="n">
        <v>0</v>
      </c>
      <c r="AW259" t="n">
        <v>347.05</v>
      </c>
      <c r="AX259" t="inlineStr">
        <is>
          <t>settled</t>
        </is>
      </c>
      <c r="AY259" t="inlineStr">
        <is>
          <t>2026-01-21 05:30:00</t>
        </is>
      </c>
      <c r="AZ259" t="inlineStr">
        <is>
          <t>CITIN26608218588</t>
        </is>
      </c>
      <c r="BA259" t="n">
        <v>0</v>
      </c>
      <c r="BB259" t="inlineStr">
        <is>
          <t>e0d02e12721d3f08bb06defe1dcd125959013bed94e2bfadc12319cbf2cc5079</t>
        </is>
      </c>
    </row>
    <row r="260">
      <c r="A260" t="inlineStr">
        <is>
          <t>255</t>
        </is>
      </c>
      <c r="B260" t="inlineStr">
        <is>
          <t>7694372712</t>
        </is>
      </c>
      <c r="C260" t="inlineStr">
        <is>
          <t>2026-01-18 12:50:38</t>
        </is>
      </c>
      <c r="D260" t="inlineStr">
        <is>
          <t>3</t>
        </is>
      </c>
      <c r="E260" t="inlineStr">
        <is>
          <t>Sha Sha - Shandaar Shawarma</t>
        </is>
      </c>
      <c r="F260" t="inlineStr">
        <is>
          <t>18557902</t>
        </is>
      </c>
      <c r="G260" t="inlineStr">
        <is>
          <t>30% off upto ₹75 (2025-06-25 - 2031-01-01)</t>
        </is>
      </c>
      <c r="H260" t="inlineStr">
        <is>
          <t>ONLINE</t>
        </is>
      </c>
      <c r="I260" t="inlineStr">
        <is>
          <t>DELIVERED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O2</t>
        </is>
      </c>
      <c r="N260" t="inlineStr">
        <is>
          <t>36</t>
        </is>
      </c>
      <c r="O260" t="n">
        <v>229</v>
      </c>
      <c r="P260" t="n">
        <v>3.5</v>
      </c>
      <c r="Q260" t="n">
        <v>0</v>
      </c>
      <c r="R260" t="n">
        <v>68.7</v>
      </c>
      <c r="S260" t="n">
        <v>0</v>
      </c>
      <c r="T260" t="n">
        <v>0</v>
      </c>
      <c r="U260" t="n">
        <v>0</v>
      </c>
      <c r="V260" t="n">
        <v>8.19</v>
      </c>
      <c r="W260" t="n">
        <v>171.99</v>
      </c>
      <c r="X260" t="n">
        <v>163.8</v>
      </c>
      <c r="Y260" t="n">
        <v>19</v>
      </c>
      <c r="Z260" t="n">
        <v>31.12</v>
      </c>
      <c r="AA260" t="n">
        <v>3.16</v>
      </c>
      <c r="AB260" t="n">
        <v>34.28</v>
      </c>
      <c r="AC260" t="n">
        <v>6.17</v>
      </c>
      <c r="AD260" t="n">
        <v>0</v>
      </c>
      <c r="AE260" t="n">
        <v>163.8</v>
      </c>
      <c r="AF260" t="n">
        <v>0</v>
      </c>
      <c r="AG260" t="n">
        <v>0</v>
      </c>
      <c r="AH260" t="n">
        <v>0.16</v>
      </c>
      <c r="AI260" t="n">
        <v>8.199999999999999</v>
      </c>
      <c r="AJ260" t="n">
        <v>-0.01</v>
      </c>
      <c r="AK260" t="n">
        <v>14.53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48.81</v>
      </c>
      <c r="AV260" t="n">
        <v>0</v>
      </c>
      <c r="AW260" t="n">
        <v>123.18</v>
      </c>
      <c r="AX260" t="inlineStr">
        <is>
          <t>settled</t>
        </is>
      </c>
      <c r="AY260" t="inlineStr">
        <is>
          <t>2026-01-21 05:30:00</t>
        </is>
      </c>
      <c r="AZ260" t="inlineStr">
        <is>
          <t>CITIN26608218588</t>
        </is>
      </c>
      <c r="BA260" t="n">
        <v>0</v>
      </c>
      <c r="BB260" t="inlineStr">
        <is>
          <t>d44d0843c46a41071ba8716783c57fb1da4a0676e3a4caa76001176d41cfe875</t>
        </is>
      </c>
    </row>
    <row r="261">
      <c r="A261" t="inlineStr">
        <is>
          <t>256</t>
        </is>
      </c>
      <c r="B261" t="inlineStr">
        <is>
          <t>7699997430</t>
        </is>
      </c>
      <c r="C261" t="inlineStr">
        <is>
          <t>2026-01-18 13:25:33</t>
        </is>
      </c>
      <c r="D261" t="inlineStr">
        <is>
          <t>3</t>
        </is>
      </c>
      <c r="E261" t="inlineStr">
        <is>
          <t>Sha Sha - Shandaar Shawarma</t>
        </is>
      </c>
      <c r="F261" t="inlineStr">
        <is>
          <t>18557902</t>
        </is>
      </c>
      <c r="G261" t="inlineStr">
        <is>
          <t>NA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O2</t>
        </is>
      </c>
      <c r="N261" t="inlineStr">
        <is>
          <t>36</t>
        </is>
      </c>
      <c r="O261" t="n">
        <v>518</v>
      </c>
      <c r="P261" t="n">
        <v>3.5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26.08</v>
      </c>
      <c r="W261" t="n">
        <v>547.58</v>
      </c>
      <c r="X261" t="n">
        <v>521.5</v>
      </c>
      <c r="Y261" t="n">
        <v>19</v>
      </c>
      <c r="Z261" t="n">
        <v>99.08</v>
      </c>
      <c r="AA261" t="n">
        <v>10.08</v>
      </c>
      <c r="AB261" t="n">
        <v>109.16</v>
      </c>
      <c r="AC261" t="n">
        <v>19.64</v>
      </c>
      <c r="AD261" t="n">
        <v>0</v>
      </c>
      <c r="AE261" t="n">
        <v>521.5</v>
      </c>
      <c r="AF261" t="n">
        <v>0</v>
      </c>
      <c r="AG261" t="n">
        <v>0</v>
      </c>
      <c r="AH261" t="n">
        <v>0.52</v>
      </c>
      <c r="AI261" t="n">
        <v>26.08</v>
      </c>
      <c r="AJ261" t="n">
        <v>0</v>
      </c>
      <c r="AK261" t="n">
        <v>46.24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155.4</v>
      </c>
      <c r="AV261" t="n">
        <v>0</v>
      </c>
      <c r="AW261" t="n">
        <v>392.18</v>
      </c>
      <c r="AX261" t="inlineStr">
        <is>
          <t>settled</t>
        </is>
      </c>
      <c r="AY261" t="inlineStr">
        <is>
          <t>2026-01-21 05:30:00</t>
        </is>
      </c>
      <c r="AZ261" t="inlineStr">
        <is>
          <t>CITIN26608218588</t>
        </is>
      </c>
      <c r="BA261" t="n">
        <v>0</v>
      </c>
      <c r="BB261" t="inlineStr">
        <is>
          <t>b0c7254d69540d61089100cf21d5a6a43ad4042a27f664685cbe7d3ad47b62d8</t>
        </is>
      </c>
    </row>
    <row r="262">
      <c r="A262" t="inlineStr">
        <is>
          <t>257</t>
        </is>
      </c>
      <c r="B262" t="inlineStr">
        <is>
          <t>7701658919</t>
        </is>
      </c>
      <c r="C262" t="inlineStr">
        <is>
          <t>2026-01-18 13:38:01</t>
        </is>
      </c>
      <c r="D262" t="inlineStr">
        <is>
          <t>3</t>
        </is>
      </c>
      <c r="E262" t="inlineStr">
        <is>
          <t>Sha Sha - Shandaar Shawarma</t>
        </is>
      </c>
      <c r="F262" t="inlineStr">
        <is>
          <t>18557902</t>
        </is>
      </c>
      <c r="G262" t="inlineStr">
        <is>
          <t>30% off upto ₹75 (2025-06-25 - 2031-01-01)</t>
        </is>
      </c>
      <c r="H262" t="inlineStr">
        <is>
          <t>ONLINE</t>
        </is>
      </c>
      <c r="I262" t="inlineStr">
        <is>
          <t>DELIVERED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O2</t>
        </is>
      </c>
      <c r="N262" t="inlineStr">
        <is>
          <t>36</t>
        </is>
      </c>
      <c r="O262" t="n">
        <v>219</v>
      </c>
      <c r="P262" t="n">
        <v>3.5</v>
      </c>
      <c r="Q262" t="n">
        <v>0</v>
      </c>
      <c r="R262" t="n">
        <v>65.7</v>
      </c>
      <c r="S262" t="n">
        <v>0</v>
      </c>
      <c r="T262" t="n">
        <v>0</v>
      </c>
      <c r="U262" t="n">
        <v>0</v>
      </c>
      <c r="V262" t="n">
        <v>7.84</v>
      </c>
      <c r="W262" t="n">
        <v>164.64</v>
      </c>
      <c r="X262" t="n">
        <v>156.8</v>
      </c>
      <c r="Y262" t="n">
        <v>19</v>
      </c>
      <c r="Z262" t="n">
        <v>29.79</v>
      </c>
      <c r="AA262" t="n">
        <v>3.03</v>
      </c>
      <c r="AB262" t="n">
        <v>32.82</v>
      </c>
      <c r="AC262" t="n">
        <v>5.91</v>
      </c>
      <c r="AD262" t="n">
        <v>0</v>
      </c>
      <c r="AE262" t="n">
        <v>156.8</v>
      </c>
      <c r="AF262" t="n">
        <v>0</v>
      </c>
      <c r="AG262" t="n">
        <v>0</v>
      </c>
      <c r="AH262" t="n">
        <v>0.16</v>
      </c>
      <c r="AI262" t="n">
        <v>7.85</v>
      </c>
      <c r="AJ262" t="n">
        <v>-0.01</v>
      </c>
      <c r="AK262" t="n">
        <v>13.92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46.74</v>
      </c>
      <c r="AV262" t="n">
        <v>0</v>
      </c>
      <c r="AW262" t="n">
        <v>117.9</v>
      </c>
      <c r="AX262" t="inlineStr">
        <is>
          <t>settled</t>
        </is>
      </c>
      <c r="AY262" t="inlineStr">
        <is>
          <t>2026-01-21 05:30:00</t>
        </is>
      </c>
      <c r="AZ262" t="inlineStr">
        <is>
          <t>CITIN26608218588</t>
        </is>
      </c>
      <c r="BA262" t="n">
        <v>0</v>
      </c>
      <c r="BB262" t="inlineStr">
        <is>
          <t>fd236a8751957c24181394c6a0a765a06c90e6aeb6f11956fb839522000b5704</t>
        </is>
      </c>
    </row>
    <row r="263">
      <c r="A263" t="inlineStr">
        <is>
          <t>258</t>
        </is>
      </c>
      <c r="B263" t="inlineStr">
        <is>
          <t>7694248001</t>
        </is>
      </c>
      <c r="C263" t="inlineStr">
        <is>
          <t>2026-01-18 14:14:24</t>
        </is>
      </c>
      <c r="D263" t="inlineStr">
        <is>
          <t>3</t>
        </is>
      </c>
      <c r="E263" t="inlineStr">
        <is>
          <t>Sha Sha - Shandaar Shawarma</t>
        </is>
      </c>
      <c r="F263" t="inlineStr">
        <is>
          <t>18557902</t>
        </is>
      </c>
      <c r="G263" t="inlineStr">
        <is>
          <t>NA</t>
        </is>
      </c>
      <c r="H263" t="inlineStr">
        <is>
          <t>ONLINE</t>
        </is>
      </c>
      <c r="I263" t="inlineStr">
        <is>
          <t>DELIVERED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O2</t>
        </is>
      </c>
      <c r="N263" t="inlineStr">
        <is>
          <t>36</t>
        </is>
      </c>
      <c r="O263" t="n">
        <v>1012</v>
      </c>
      <c r="P263" t="n">
        <v>3.5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50.78</v>
      </c>
      <c r="W263" t="n">
        <v>1066.28</v>
      </c>
      <c r="X263" t="n">
        <v>1015.5</v>
      </c>
      <c r="Y263" t="n">
        <v>19</v>
      </c>
      <c r="Z263" t="n">
        <v>192.94</v>
      </c>
      <c r="AA263" t="n">
        <v>19.62</v>
      </c>
      <c r="AB263" t="n">
        <v>212.56</v>
      </c>
      <c r="AC263" t="n">
        <v>38.26</v>
      </c>
      <c r="AD263" t="n">
        <v>0</v>
      </c>
      <c r="AE263" t="n">
        <v>1015.5</v>
      </c>
      <c r="AF263" t="n">
        <v>0</v>
      </c>
      <c r="AG263" t="n">
        <v>0</v>
      </c>
      <c r="AH263" t="n">
        <v>1.02</v>
      </c>
      <c r="AI263" t="n">
        <v>50.78</v>
      </c>
      <c r="AJ263" t="n">
        <v>0</v>
      </c>
      <c r="AK263" t="n">
        <v>90.06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302.62</v>
      </c>
      <c r="AV263" t="n">
        <v>0</v>
      </c>
      <c r="AW263" t="n">
        <v>763.66</v>
      </c>
      <c r="AX263" t="inlineStr">
        <is>
          <t>settled</t>
        </is>
      </c>
      <c r="AY263" t="inlineStr">
        <is>
          <t>2026-01-21 05:30:00</t>
        </is>
      </c>
      <c r="AZ263" t="inlineStr">
        <is>
          <t>CITIN26608218588</t>
        </is>
      </c>
      <c r="BA263" t="n">
        <v>0</v>
      </c>
      <c r="BB263" t="inlineStr">
        <is>
          <t>1e9f0ff5f0fba58260a309947abe104a7aa8e5c612cf7050bf1d1d27386948a7</t>
        </is>
      </c>
    </row>
    <row r="264">
      <c r="A264" t="inlineStr">
        <is>
          <t>259</t>
        </is>
      </c>
      <c r="B264" t="inlineStr">
        <is>
          <t>7703451716</t>
        </is>
      </c>
      <c r="C264" t="inlineStr">
        <is>
          <t>2026-01-18 14:25:40</t>
        </is>
      </c>
      <c r="D264" t="inlineStr">
        <is>
          <t>3</t>
        </is>
      </c>
      <c r="E264" t="inlineStr">
        <is>
          <t>Sha Sha - Shandaar Shawarma</t>
        </is>
      </c>
      <c r="F264" t="inlineStr">
        <is>
          <t>18557902</t>
        </is>
      </c>
      <c r="G264" t="inlineStr">
        <is>
          <t>30% off upto ₹75 (2025-06-25 - 2031-01-01)</t>
        </is>
      </c>
      <c r="H264" t="inlineStr">
        <is>
          <t>ONLINE</t>
        </is>
      </c>
      <c r="I264" t="inlineStr">
        <is>
          <t>DELIVERED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O2</t>
        </is>
      </c>
      <c r="N264" t="inlineStr">
        <is>
          <t>36</t>
        </is>
      </c>
      <c r="O264" t="n">
        <v>229</v>
      </c>
      <c r="P264" t="n">
        <v>3.5</v>
      </c>
      <c r="Q264" t="n">
        <v>0</v>
      </c>
      <c r="R264" t="n">
        <v>68.7</v>
      </c>
      <c r="S264" t="n">
        <v>0</v>
      </c>
      <c r="T264" t="n">
        <v>0</v>
      </c>
      <c r="U264" t="n">
        <v>0</v>
      </c>
      <c r="V264" t="n">
        <v>8.19</v>
      </c>
      <c r="W264" t="n">
        <v>171.99</v>
      </c>
      <c r="X264" t="n">
        <v>163.8</v>
      </c>
      <c r="Y264" t="n">
        <v>19</v>
      </c>
      <c r="Z264" t="n">
        <v>31.12</v>
      </c>
      <c r="AA264" t="n">
        <v>3.16</v>
      </c>
      <c r="AB264" t="n">
        <v>34.28</v>
      </c>
      <c r="AC264" t="n">
        <v>6.17</v>
      </c>
      <c r="AD264" t="n">
        <v>0</v>
      </c>
      <c r="AE264" t="n">
        <v>163.8</v>
      </c>
      <c r="AF264" t="n">
        <v>0</v>
      </c>
      <c r="AG264" t="n">
        <v>0</v>
      </c>
      <c r="AH264" t="n">
        <v>0.16</v>
      </c>
      <c r="AI264" t="n">
        <v>8.199999999999999</v>
      </c>
      <c r="AJ264" t="n">
        <v>-0.01</v>
      </c>
      <c r="AK264" t="n">
        <v>14.53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48.81</v>
      </c>
      <c r="AV264" t="n">
        <v>0</v>
      </c>
      <c r="AW264" t="n">
        <v>123.18</v>
      </c>
      <c r="AX264" t="inlineStr">
        <is>
          <t>settled</t>
        </is>
      </c>
      <c r="AY264" t="inlineStr">
        <is>
          <t>2026-01-21 05:30:00</t>
        </is>
      </c>
      <c r="AZ264" t="inlineStr">
        <is>
          <t>CITIN26608218588</t>
        </is>
      </c>
      <c r="BA264" t="n">
        <v>0</v>
      </c>
      <c r="BB264" t="inlineStr">
        <is>
          <t>ad24621f410534897e523d0504c6d6a1da0966fb7741782b3a09f76d95988d22</t>
        </is>
      </c>
    </row>
    <row r="265">
      <c r="A265" t="inlineStr">
        <is>
          <t>260</t>
        </is>
      </c>
      <c r="B265" t="inlineStr">
        <is>
          <t>7700975808</t>
        </is>
      </c>
      <c r="C265" t="inlineStr">
        <is>
          <t>2026-01-18 15:14:32</t>
        </is>
      </c>
      <c r="D265" t="inlineStr">
        <is>
          <t>3</t>
        </is>
      </c>
      <c r="E265" t="inlineStr">
        <is>
          <t>Sha Sha - Shandaar Shawarma</t>
        </is>
      </c>
      <c r="F265" t="inlineStr">
        <is>
          <t>18557902</t>
        </is>
      </c>
      <c r="G265" t="inlineStr">
        <is>
          <t>30% off upto ₹75 (2025-06-25 - 2031-01-01)</t>
        </is>
      </c>
      <c r="H265" t="inlineStr">
        <is>
          <t>ONLINE</t>
        </is>
      </c>
      <c r="I265" t="inlineStr">
        <is>
          <t>DELIVERED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O2</t>
        </is>
      </c>
      <c r="N265" t="inlineStr">
        <is>
          <t>36</t>
        </is>
      </c>
      <c r="O265" t="n">
        <v>219</v>
      </c>
      <c r="P265" t="n">
        <v>3.5</v>
      </c>
      <c r="Q265" t="n">
        <v>0</v>
      </c>
      <c r="R265" t="n">
        <v>65.7</v>
      </c>
      <c r="S265" t="n">
        <v>0</v>
      </c>
      <c r="T265" t="n">
        <v>0</v>
      </c>
      <c r="U265" t="n">
        <v>0</v>
      </c>
      <c r="V265" t="n">
        <v>7.84</v>
      </c>
      <c r="W265" t="n">
        <v>164.64</v>
      </c>
      <c r="X265" t="n">
        <v>156.8</v>
      </c>
      <c r="Y265" t="n">
        <v>19</v>
      </c>
      <c r="Z265" t="n">
        <v>29.79</v>
      </c>
      <c r="AA265" t="n">
        <v>3.03</v>
      </c>
      <c r="AB265" t="n">
        <v>32.82</v>
      </c>
      <c r="AC265" t="n">
        <v>5.91</v>
      </c>
      <c r="AD265" t="n">
        <v>0</v>
      </c>
      <c r="AE265" t="n">
        <v>156.8</v>
      </c>
      <c r="AF265" t="n">
        <v>0</v>
      </c>
      <c r="AG265" t="n">
        <v>0</v>
      </c>
      <c r="AH265" t="n">
        <v>0.16</v>
      </c>
      <c r="AI265" t="n">
        <v>7.85</v>
      </c>
      <c r="AJ265" t="n">
        <v>-0.01</v>
      </c>
      <c r="AK265" t="n">
        <v>13.92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46.74</v>
      </c>
      <c r="AV265" t="n">
        <v>0</v>
      </c>
      <c r="AW265" t="n">
        <v>117.9</v>
      </c>
      <c r="AX265" t="inlineStr">
        <is>
          <t>settled</t>
        </is>
      </c>
      <c r="AY265" t="inlineStr">
        <is>
          <t>2026-01-21 05:30:00</t>
        </is>
      </c>
      <c r="AZ265" t="inlineStr">
        <is>
          <t>CITIN26608218588</t>
        </is>
      </c>
      <c r="BA265" t="n">
        <v>0</v>
      </c>
      <c r="BB265" t="inlineStr">
        <is>
          <t>8d6246e2ed5527af40baf1c2744fcc912821149d8299cfbe54b28ae60790fd8c</t>
        </is>
      </c>
    </row>
    <row r="266">
      <c r="A266" t="inlineStr">
        <is>
          <t>261</t>
        </is>
      </c>
      <c r="B266" t="inlineStr">
        <is>
          <t>7704220784</t>
        </is>
      </c>
      <c r="C266" t="inlineStr">
        <is>
          <t>2026-01-18 15:35:59</t>
        </is>
      </c>
      <c r="D266" t="inlineStr">
        <is>
          <t>3</t>
        </is>
      </c>
      <c r="E266" t="inlineStr">
        <is>
          <t>Sha Sha - Shandaar Shawarma</t>
        </is>
      </c>
      <c r="F266" t="inlineStr">
        <is>
          <t>18557902</t>
        </is>
      </c>
      <c r="G266" t="inlineStr">
        <is>
          <t>30% off upto ₹75 (2025-06-25 - 2031-01-01)</t>
        </is>
      </c>
      <c r="H266" t="inlineStr">
        <is>
          <t>ONLINE</t>
        </is>
      </c>
      <c r="I266" t="inlineStr">
        <is>
          <t>DELIVERED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O2</t>
        </is>
      </c>
      <c r="N266" t="inlineStr">
        <is>
          <t>36</t>
        </is>
      </c>
      <c r="O266" t="n">
        <v>229</v>
      </c>
      <c r="P266" t="n">
        <v>3.5</v>
      </c>
      <c r="Q266" t="n">
        <v>0</v>
      </c>
      <c r="R266" t="n">
        <v>68.7</v>
      </c>
      <c r="S266" t="n">
        <v>0</v>
      </c>
      <c r="T266" t="n">
        <v>0</v>
      </c>
      <c r="U266" t="n">
        <v>0</v>
      </c>
      <c r="V266" t="n">
        <v>8.19</v>
      </c>
      <c r="W266" t="n">
        <v>171.99</v>
      </c>
      <c r="X266" t="n">
        <v>163.8</v>
      </c>
      <c r="Y266" t="n">
        <v>19</v>
      </c>
      <c r="Z266" t="n">
        <v>31.12</v>
      </c>
      <c r="AA266" t="n">
        <v>3.16</v>
      </c>
      <c r="AB266" t="n">
        <v>34.28</v>
      </c>
      <c r="AC266" t="n">
        <v>6.17</v>
      </c>
      <c r="AD266" t="n">
        <v>0</v>
      </c>
      <c r="AE266" t="n">
        <v>163.8</v>
      </c>
      <c r="AF266" t="n">
        <v>0</v>
      </c>
      <c r="AG266" t="n">
        <v>0</v>
      </c>
      <c r="AH266" t="n">
        <v>0.16</v>
      </c>
      <c r="AI266" t="n">
        <v>8.199999999999999</v>
      </c>
      <c r="AJ266" t="n">
        <v>-0.01</v>
      </c>
      <c r="AK266" t="n">
        <v>14.53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48.81</v>
      </c>
      <c r="AV266" t="n">
        <v>0</v>
      </c>
      <c r="AW266" t="n">
        <v>123.18</v>
      </c>
      <c r="AX266" t="inlineStr">
        <is>
          <t>settled</t>
        </is>
      </c>
      <c r="AY266" t="inlineStr">
        <is>
          <t>2026-01-21 05:30:00</t>
        </is>
      </c>
      <c r="AZ266" t="inlineStr">
        <is>
          <t>CITIN26608218588</t>
        </is>
      </c>
      <c r="BA266" t="n">
        <v>0</v>
      </c>
      <c r="BB266" t="inlineStr">
        <is>
          <t>f2331c06fce7437b2ae7836284653b4167b86b7c5a15f679b9ac72ee4b572167</t>
        </is>
      </c>
    </row>
    <row r="267">
      <c r="A267" t="inlineStr">
        <is>
          <t>262</t>
        </is>
      </c>
      <c r="B267" t="inlineStr">
        <is>
          <t>7703492291</t>
        </is>
      </c>
      <c r="C267" t="inlineStr">
        <is>
          <t>2026-01-18 15:50:14</t>
        </is>
      </c>
      <c r="D267" t="inlineStr">
        <is>
          <t>3</t>
        </is>
      </c>
      <c r="E267" t="inlineStr">
        <is>
          <t>Sha Sha - Shandaar Shawarma</t>
        </is>
      </c>
      <c r="F267" t="inlineStr">
        <is>
          <t>18557902</t>
        </is>
      </c>
      <c r="G267" t="inlineStr">
        <is>
          <t>NA</t>
        </is>
      </c>
      <c r="H267" t="inlineStr">
        <is>
          <t>ONLINE</t>
        </is>
      </c>
      <c r="I267" t="inlineStr">
        <is>
          <t>DELIVERED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O2</t>
        </is>
      </c>
      <c r="N267" t="inlineStr">
        <is>
          <t>36</t>
        </is>
      </c>
      <c r="O267" t="n">
        <v>229</v>
      </c>
      <c r="P267" t="n">
        <v>3.5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11.63</v>
      </c>
      <c r="W267" t="n">
        <v>244.13</v>
      </c>
      <c r="X267" t="n">
        <v>232.5</v>
      </c>
      <c r="Y267" t="n">
        <v>19</v>
      </c>
      <c r="Z267" t="n">
        <v>44.18</v>
      </c>
      <c r="AA267" t="n">
        <v>4.49</v>
      </c>
      <c r="AB267" t="n">
        <v>48.67</v>
      </c>
      <c r="AC267" t="n">
        <v>8.76</v>
      </c>
      <c r="AD267" t="n">
        <v>0</v>
      </c>
      <c r="AE267" t="n">
        <v>232.5</v>
      </c>
      <c r="AF267" t="n">
        <v>0</v>
      </c>
      <c r="AG267" t="n">
        <v>0</v>
      </c>
      <c r="AH267" t="n">
        <v>0.23</v>
      </c>
      <c r="AI267" t="n">
        <v>11.63</v>
      </c>
      <c r="AJ267" t="n">
        <v>0</v>
      </c>
      <c r="AK267" t="n">
        <v>20.62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69.29000000000001</v>
      </c>
      <c r="AV267" t="n">
        <v>0</v>
      </c>
      <c r="AW267" t="n">
        <v>174.84</v>
      </c>
      <c r="AX267" t="inlineStr">
        <is>
          <t>settled</t>
        </is>
      </c>
      <c r="AY267" t="inlineStr">
        <is>
          <t>2026-01-21 05:30:00</t>
        </is>
      </c>
      <c r="AZ267" t="inlineStr">
        <is>
          <t>CITIN26608218588</t>
        </is>
      </c>
      <c r="BA267" t="n">
        <v>0</v>
      </c>
      <c r="BB267" t="inlineStr">
        <is>
          <t>60ebce770ae54e5306fc46dabb7260db56aa1d7baebbae808a2f96db3a1221f2</t>
        </is>
      </c>
    </row>
    <row r="268">
      <c r="A268" t="inlineStr">
        <is>
          <t>263</t>
        </is>
      </c>
      <c r="B268" t="inlineStr">
        <is>
          <t>7703137034</t>
        </is>
      </c>
      <c r="C268" t="inlineStr">
        <is>
          <t>2026-01-18 17:58:02</t>
        </is>
      </c>
      <c r="D268" t="inlineStr">
        <is>
          <t>3</t>
        </is>
      </c>
      <c r="E268" t="inlineStr">
        <is>
          <t>Sha Sha - Shandaar Shawarma</t>
        </is>
      </c>
      <c r="F268" t="inlineStr">
        <is>
          <t>18557902</t>
        </is>
      </c>
      <c r="G268" t="inlineStr">
        <is>
          <t>30% off upto ₹75 (2025-06-25 - 2031-01-01)</t>
        </is>
      </c>
      <c r="H268" t="inlineStr">
        <is>
          <t>ONLINE</t>
        </is>
      </c>
      <c r="I268" t="inlineStr">
        <is>
          <t>DELIVERED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O2</t>
        </is>
      </c>
      <c r="N268" t="inlineStr">
        <is>
          <t>36</t>
        </is>
      </c>
      <c r="O268" t="n">
        <v>268</v>
      </c>
      <c r="P268" t="n">
        <v>3.5</v>
      </c>
      <c r="Q268" t="n">
        <v>0</v>
      </c>
      <c r="R268" t="n">
        <v>75</v>
      </c>
      <c r="S268" t="n">
        <v>0</v>
      </c>
      <c r="T268" t="n">
        <v>0</v>
      </c>
      <c r="U268" t="n">
        <v>0</v>
      </c>
      <c r="V268" t="n">
        <v>9.83</v>
      </c>
      <c r="W268" t="n">
        <v>206.33</v>
      </c>
      <c r="X268" t="n">
        <v>196.5</v>
      </c>
      <c r="Y268" t="n">
        <v>19</v>
      </c>
      <c r="Z268" t="n">
        <v>37.34</v>
      </c>
      <c r="AA268" t="n">
        <v>3.8</v>
      </c>
      <c r="AB268" t="n">
        <v>41.14</v>
      </c>
      <c r="AC268" t="n">
        <v>7.4</v>
      </c>
      <c r="AD268" t="n">
        <v>0</v>
      </c>
      <c r="AE268" t="n">
        <v>196.5</v>
      </c>
      <c r="AF268" t="n">
        <v>0</v>
      </c>
      <c r="AG268" t="n">
        <v>0</v>
      </c>
      <c r="AH268" t="n">
        <v>0.2</v>
      </c>
      <c r="AI268" t="n">
        <v>9.83</v>
      </c>
      <c r="AJ268" t="n">
        <v>0</v>
      </c>
      <c r="AK268" t="n">
        <v>17.43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58.57</v>
      </c>
      <c r="AV268" t="n">
        <v>0</v>
      </c>
      <c r="AW268" t="n">
        <v>147.76</v>
      </c>
      <c r="AX268" t="inlineStr">
        <is>
          <t>settled</t>
        </is>
      </c>
      <c r="AY268" t="inlineStr">
        <is>
          <t>2026-01-21 05:30:00</t>
        </is>
      </c>
      <c r="AZ268" t="inlineStr">
        <is>
          <t>CITIN26608218588</t>
        </is>
      </c>
      <c r="BA268" t="n">
        <v>0</v>
      </c>
      <c r="BB268" t="inlineStr">
        <is>
          <t>54c2735b44e3a8453deb9d96488fc2b963b19e670322375d0d221f1bd059268e</t>
        </is>
      </c>
    </row>
    <row r="269">
      <c r="A269" t="inlineStr">
        <is>
          <t>264</t>
        </is>
      </c>
      <c r="B269" t="inlineStr">
        <is>
          <t>7697981903</t>
        </is>
      </c>
      <c r="C269" t="inlineStr">
        <is>
          <t>2026-01-18 18:12:27</t>
        </is>
      </c>
      <c r="D269" t="inlineStr">
        <is>
          <t>3</t>
        </is>
      </c>
      <c r="E269" t="inlineStr">
        <is>
          <t>Sha Sha - Shandaar Shawarma</t>
        </is>
      </c>
      <c r="F269" t="inlineStr">
        <is>
          <t>18557902</t>
        </is>
      </c>
      <c r="G269" t="inlineStr">
        <is>
          <t>30% off upto ₹75 (2025-06-25 - 2031-01-01)</t>
        </is>
      </c>
      <c r="H269" t="inlineStr">
        <is>
          <t>ONLINE</t>
        </is>
      </c>
      <c r="I269" t="inlineStr">
        <is>
          <t>DELIVERED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O2</t>
        </is>
      </c>
      <c r="N269" t="inlineStr">
        <is>
          <t>36</t>
        </is>
      </c>
      <c r="O269" t="n">
        <v>458</v>
      </c>
      <c r="P269" t="n">
        <v>3.5</v>
      </c>
      <c r="Q269" t="n">
        <v>0</v>
      </c>
      <c r="R269" t="n">
        <v>75</v>
      </c>
      <c r="S269" t="n">
        <v>0</v>
      </c>
      <c r="T269" t="n">
        <v>0</v>
      </c>
      <c r="U269" t="n">
        <v>0</v>
      </c>
      <c r="V269" t="n">
        <v>19.33</v>
      </c>
      <c r="W269" t="n">
        <v>405.83</v>
      </c>
      <c r="X269" t="n">
        <v>386.5</v>
      </c>
      <c r="Y269" t="n">
        <v>19</v>
      </c>
      <c r="Z269" t="n">
        <v>73.44</v>
      </c>
      <c r="AA269" t="n">
        <v>7.47</v>
      </c>
      <c r="AB269" t="n">
        <v>80.91</v>
      </c>
      <c r="AC269" t="n">
        <v>14.56</v>
      </c>
      <c r="AD269" t="n">
        <v>0</v>
      </c>
      <c r="AE269" t="n">
        <v>386.5</v>
      </c>
      <c r="AF269" t="n">
        <v>0</v>
      </c>
      <c r="AG269" t="n">
        <v>0</v>
      </c>
      <c r="AH269" t="n">
        <v>0.39</v>
      </c>
      <c r="AI269" t="n">
        <v>19.33</v>
      </c>
      <c r="AJ269" t="n">
        <v>0</v>
      </c>
      <c r="AK269" t="n">
        <v>34.28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115.19</v>
      </c>
      <c r="AV269" t="n">
        <v>0</v>
      </c>
      <c r="AW269" t="n">
        <v>290.64</v>
      </c>
      <c r="AX269" t="inlineStr">
        <is>
          <t>settled</t>
        </is>
      </c>
      <c r="AY269" t="inlineStr">
        <is>
          <t>2026-01-21 05:30:00</t>
        </is>
      </c>
      <c r="AZ269" t="inlineStr">
        <is>
          <t>CITIN26608218588</t>
        </is>
      </c>
      <c r="BA269" t="n">
        <v>0</v>
      </c>
      <c r="BB269" t="inlineStr">
        <is>
          <t>8718e4869950f86e29f295b3f394bd8d303f0d2377a78c1d62ec3fa7ecc56f07</t>
        </is>
      </c>
    </row>
    <row r="270">
      <c r="A270" t="inlineStr">
        <is>
          <t>265</t>
        </is>
      </c>
      <c r="B270" t="inlineStr">
        <is>
          <t>7695552171</t>
        </is>
      </c>
      <c r="C270" t="inlineStr">
        <is>
          <t>2026-01-18 18:42:40</t>
        </is>
      </c>
      <c r="D270" t="inlineStr">
        <is>
          <t>3</t>
        </is>
      </c>
      <c r="E270" t="inlineStr">
        <is>
          <t>Sha Sha - Shandaar Shawarma</t>
        </is>
      </c>
      <c r="F270" t="inlineStr">
        <is>
          <t>18557902</t>
        </is>
      </c>
      <c r="G270" t="inlineStr">
        <is>
          <t>NA</t>
        </is>
      </c>
      <c r="H270" t="inlineStr">
        <is>
          <t>ONLINE</t>
        </is>
      </c>
      <c r="I270" t="inlineStr">
        <is>
          <t>DELIVERED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O2</t>
        </is>
      </c>
      <c r="N270" t="inlineStr">
        <is>
          <t>36</t>
        </is>
      </c>
      <c r="O270" t="n">
        <v>229</v>
      </c>
      <c r="P270" t="n">
        <v>3.5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11.63</v>
      </c>
      <c r="W270" t="n">
        <v>244.13</v>
      </c>
      <c r="X270" t="n">
        <v>232.5</v>
      </c>
      <c r="Y270" t="n">
        <v>19</v>
      </c>
      <c r="Z270" t="n">
        <v>44.18</v>
      </c>
      <c r="AA270" t="n">
        <v>4.49</v>
      </c>
      <c r="AB270" t="n">
        <v>48.67</v>
      </c>
      <c r="AC270" t="n">
        <v>8.76</v>
      </c>
      <c r="AD270" t="n">
        <v>0</v>
      </c>
      <c r="AE270" t="n">
        <v>232.5</v>
      </c>
      <c r="AF270" t="n">
        <v>0</v>
      </c>
      <c r="AG270" t="n">
        <v>0</v>
      </c>
      <c r="AH270" t="n">
        <v>0.23</v>
      </c>
      <c r="AI270" t="n">
        <v>11.63</v>
      </c>
      <c r="AJ270" t="n">
        <v>0</v>
      </c>
      <c r="AK270" t="n">
        <v>20.62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69.29000000000001</v>
      </c>
      <c r="AV270" t="n">
        <v>0</v>
      </c>
      <c r="AW270" t="n">
        <v>174.84</v>
      </c>
      <c r="AX270" t="inlineStr">
        <is>
          <t>settled</t>
        </is>
      </c>
      <c r="AY270" t="inlineStr">
        <is>
          <t>2026-01-21 05:30:00</t>
        </is>
      </c>
      <c r="AZ270" t="inlineStr">
        <is>
          <t>CITIN26608218588</t>
        </is>
      </c>
      <c r="BA270" t="n">
        <v>0</v>
      </c>
      <c r="BB270" t="inlineStr">
        <is>
          <t>b578c06a9b85fcfc4f51b2049cb2afdd4e0595f74a55f34c26c25b374f999326</t>
        </is>
      </c>
    </row>
    <row r="271">
      <c r="A271" t="inlineStr">
        <is>
          <t>266</t>
        </is>
      </c>
      <c r="B271" t="inlineStr">
        <is>
          <t>7699680927</t>
        </is>
      </c>
      <c r="C271" t="inlineStr">
        <is>
          <t>2026-01-18 19:57:51</t>
        </is>
      </c>
      <c r="D271" t="inlineStr">
        <is>
          <t>3</t>
        </is>
      </c>
      <c r="E271" t="inlineStr">
        <is>
          <t>Sha Sha - Shandaar Shawarma</t>
        </is>
      </c>
      <c r="F271" t="inlineStr">
        <is>
          <t>18557902</t>
        </is>
      </c>
      <c r="G271" t="inlineStr">
        <is>
          <t>NA</t>
        </is>
      </c>
      <c r="H271" t="inlineStr">
        <is>
          <t>ONLINE</t>
        </is>
      </c>
      <c r="I271" t="inlineStr">
        <is>
          <t>DELIVERED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O2</t>
        </is>
      </c>
      <c r="N271" t="inlineStr">
        <is>
          <t>36</t>
        </is>
      </c>
      <c r="O271" t="n">
        <v>219</v>
      </c>
      <c r="P271" t="n">
        <v>3.5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11.13</v>
      </c>
      <c r="W271" t="n">
        <v>233.63</v>
      </c>
      <c r="X271" t="n">
        <v>222.5</v>
      </c>
      <c r="Y271" t="n">
        <v>19</v>
      </c>
      <c r="Z271" t="n">
        <v>42.28</v>
      </c>
      <c r="AA271" t="n">
        <v>4.3</v>
      </c>
      <c r="AB271" t="n">
        <v>46.58</v>
      </c>
      <c r="AC271" t="n">
        <v>8.380000000000001</v>
      </c>
      <c r="AD271" t="n">
        <v>0</v>
      </c>
      <c r="AE271" t="n">
        <v>222.5</v>
      </c>
      <c r="AF271" t="n">
        <v>0</v>
      </c>
      <c r="AG271" t="n">
        <v>0</v>
      </c>
      <c r="AH271" t="n">
        <v>0.22</v>
      </c>
      <c r="AI271" t="n">
        <v>11.13</v>
      </c>
      <c r="AJ271" t="n">
        <v>0</v>
      </c>
      <c r="AK271" t="n">
        <v>19.73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66.31</v>
      </c>
      <c r="AV271" t="n">
        <v>0</v>
      </c>
      <c r="AW271" t="n">
        <v>167.32</v>
      </c>
      <c r="AX271" t="inlineStr">
        <is>
          <t>settled</t>
        </is>
      </c>
      <c r="AY271" t="inlineStr">
        <is>
          <t>2026-01-21 05:30:00</t>
        </is>
      </c>
      <c r="AZ271" t="inlineStr">
        <is>
          <t>CITIN26608218588</t>
        </is>
      </c>
      <c r="BA271" t="n">
        <v>0</v>
      </c>
      <c r="BB271" t="inlineStr">
        <is>
          <t>e503dc6c6bf79726ed601743dbfe8b8e410bd897f1b813907728a8a823ec169d</t>
        </is>
      </c>
    </row>
    <row r="272">
      <c r="A272" t="inlineStr">
        <is>
          <t>267</t>
        </is>
      </c>
      <c r="B272" t="inlineStr">
        <is>
          <t>7701851250</t>
        </is>
      </c>
      <c r="C272" t="inlineStr">
        <is>
          <t>2026-01-18 20:07:20</t>
        </is>
      </c>
      <c r="D272" t="inlineStr">
        <is>
          <t>3</t>
        </is>
      </c>
      <c r="E272" t="inlineStr">
        <is>
          <t>Sha Sha - Shandaar Shawarma</t>
        </is>
      </c>
      <c r="F272" t="inlineStr">
        <is>
          <t>18557902</t>
        </is>
      </c>
      <c r="G272" t="inlineStr">
        <is>
          <t>NA</t>
        </is>
      </c>
      <c r="H272" t="inlineStr">
        <is>
          <t>ONLINE</t>
        </is>
      </c>
      <c r="I272" t="inlineStr">
        <is>
          <t>DELIVERED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O2</t>
        </is>
      </c>
      <c r="N272" t="inlineStr">
        <is>
          <t>36</t>
        </is>
      </c>
      <c r="O272" t="n">
        <v>229</v>
      </c>
      <c r="P272" t="n">
        <v>3.5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11.63</v>
      </c>
      <c r="W272" t="n">
        <v>244.13</v>
      </c>
      <c r="X272" t="n">
        <v>232.5</v>
      </c>
      <c r="Y272" t="n">
        <v>19</v>
      </c>
      <c r="Z272" t="n">
        <v>44.18</v>
      </c>
      <c r="AA272" t="n">
        <v>4.49</v>
      </c>
      <c r="AB272" t="n">
        <v>48.67</v>
      </c>
      <c r="AC272" t="n">
        <v>8.76</v>
      </c>
      <c r="AD272" t="n">
        <v>0</v>
      </c>
      <c r="AE272" t="n">
        <v>232.5</v>
      </c>
      <c r="AF272" t="n">
        <v>0</v>
      </c>
      <c r="AG272" t="n">
        <v>0</v>
      </c>
      <c r="AH272" t="n">
        <v>0.23</v>
      </c>
      <c r="AI272" t="n">
        <v>11.63</v>
      </c>
      <c r="AJ272" t="n">
        <v>0</v>
      </c>
      <c r="AK272" t="n">
        <v>20.62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69.29000000000001</v>
      </c>
      <c r="AV272" t="n">
        <v>0</v>
      </c>
      <c r="AW272" t="n">
        <v>174.84</v>
      </c>
      <c r="AX272" t="inlineStr">
        <is>
          <t>settled</t>
        </is>
      </c>
      <c r="AY272" t="inlineStr">
        <is>
          <t>2026-01-21 05:30:00</t>
        </is>
      </c>
      <c r="AZ272" t="inlineStr">
        <is>
          <t>CITIN26608218588</t>
        </is>
      </c>
      <c r="BA272" t="n">
        <v>0</v>
      </c>
      <c r="BB272" t="inlineStr">
        <is>
          <t>038bbcc0e04a15b565341283707cfa8728e77ab93023534ed6192cfcb09d4b91</t>
        </is>
      </c>
    </row>
    <row r="273">
      <c r="A273" t="inlineStr">
        <is>
          <t>268</t>
        </is>
      </c>
      <c r="B273" t="inlineStr">
        <is>
          <t>7705866712</t>
        </is>
      </c>
      <c r="C273" t="inlineStr">
        <is>
          <t>2026-01-18 20:09:20</t>
        </is>
      </c>
      <c r="D273" t="inlineStr">
        <is>
          <t>3</t>
        </is>
      </c>
      <c r="E273" t="inlineStr">
        <is>
          <t>Sha Sha - Shandaar Shawarma</t>
        </is>
      </c>
      <c r="F273" t="inlineStr">
        <is>
          <t>18557902</t>
        </is>
      </c>
      <c r="G273" t="inlineStr">
        <is>
          <t>30% off upto ₹75 (2025-06-25 - 2031-01-01)</t>
        </is>
      </c>
      <c r="H273" t="inlineStr">
        <is>
          <t>ONLINE</t>
        </is>
      </c>
      <c r="I273" t="inlineStr">
        <is>
          <t>DELIVERED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O2</t>
        </is>
      </c>
      <c r="N273" t="inlineStr">
        <is>
          <t>36</t>
        </is>
      </c>
      <c r="O273" t="n">
        <v>229</v>
      </c>
      <c r="P273" t="n">
        <v>3.5</v>
      </c>
      <c r="Q273" t="n">
        <v>0</v>
      </c>
      <c r="R273" t="n">
        <v>68.7</v>
      </c>
      <c r="S273" t="n">
        <v>0</v>
      </c>
      <c r="T273" t="n">
        <v>0</v>
      </c>
      <c r="U273" t="n">
        <v>0</v>
      </c>
      <c r="V273" t="n">
        <v>8.19</v>
      </c>
      <c r="W273" t="n">
        <v>171.99</v>
      </c>
      <c r="X273" t="n">
        <v>163.8</v>
      </c>
      <c r="Y273" t="n">
        <v>19</v>
      </c>
      <c r="Z273" t="n">
        <v>31.12</v>
      </c>
      <c r="AA273" t="n">
        <v>3.16</v>
      </c>
      <c r="AB273" t="n">
        <v>34.28</v>
      </c>
      <c r="AC273" t="n">
        <v>6.17</v>
      </c>
      <c r="AD273" t="n">
        <v>0</v>
      </c>
      <c r="AE273" t="n">
        <v>163.8</v>
      </c>
      <c r="AF273" t="n">
        <v>0</v>
      </c>
      <c r="AG273" t="n">
        <v>0</v>
      </c>
      <c r="AH273" t="n">
        <v>0.16</v>
      </c>
      <c r="AI273" t="n">
        <v>8.199999999999999</v>
      </c>
      <c r="AJ273" t="n">
        <v>-0.01</v>
      </c>
      <c r="AK273" t="n">
        <v>14.53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48.81</v>
      </c>
      <c r="AV273" t="n">
        <v>0</v>
      </c>
      <c r="AW273" t="n">
        <v>123.18</v>
      </c>
      <c r="AX273" t="inlineStr">
        <is>
          <t>settled</t>
        </is>
      </c>
      <c r="AY273" t="inlineStr">
        <is>
          <t>2026-01-21 05:30:00</t>
        </is>
      </c>
      <c r="AZ273" t="inlineStr">
        <is>
          <t>CITIN26608218588</t>
        </is>
      </c>
      <c r="BA273" t="n">
        <v>0</v>
      </c>
      <c r="BB273" t="inlineStr">
        <is>
          <t>74f0a6db88b2a634f555aff2b6f9180ba1a60f3e1032a1cc633ce7f92799b062</t>
        </is>
      </c>
    </row>
    <row r="274">
      <c r="A274" t="inlineStr">
        <is>
          <t>269</t>
        </is>
      </c>
      <c r="B274" t="inlineStr">
        <is>
          <t>7695823675</t>
        </is>
      </c>
      <c r="C274" t="inlineStr">
        <is>
          <t>2026-01-18 20:20:03</t>
        </is>
      </c>
      <c r="D274" t="inlineStr">
        <is>
          <t>3</t>
        </is>
      </c>
      <c r="E274" t="inlineStr">
        <is>
          <t>Sha Sha - Shandaar Shawarma</t>
        </is>
      </c>
      <c r="F274" t="inlineStr">
        <is>
          <t>18557902</t>
        </is>
      </c>
      <c r="G274" t="inlineStr">
        <is>
          <t>30% off upto ₹75 (2025-06-25 - 2031-01-01)</t>
        </is>
      </c>
      <c r="H274" t="inlineStr">
        <is>
          <t>ONLINE</t>
        </is>
      </c>
      <c r="I274" t="inlineStr">
        <is>
          <t>DELIVERED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O2</t>
        </is>
      </c>
      <c r="N274" t="inlineStr">
        <is>
          <t>36</t>
        </is>
      </c>
      <c r="O274" t="n">
        <v>229</v>
      </c>
      <c r="P274" t="n">
        <v>3.5</v>
      </c>
      <c r="Q274" t="n">
        <v>0</v>
      </c>
      <c r="R274" t="n">
        <v>68.7</v>
      </c>
      <c r="S274" t="n">
        <v>0</v>
      </c>
      <c r="T274" t="n">
        <v>0</v>
      </c>
      <c r="U274" t="n">
        <v>0</v>
      </c>
      <c r="V274" t="n">
        <v>8.19</v>
      </c>
      <c r="W274" t="n">
        <v>171.99</v>
      </c>
      <c r="X274" t="n">
        <v>163.8</v>
      </c>
      <c r="Y274" t="n">
        <v>19</v>
      </c>
      <c r="Z274" t="n">
        <v>31.12</v>
      </c>
      <c r="AA274" t="n">
        <v>3.16</v>
      </c>
      <c r="AB274" t="n">
        <v>34.28</v>
      </c>
      <c r="AC274" t="n">
        <v>6.17</v>
      </c>
      <c r="AD274" t="n">
        <v>0</v>
      </c>
      <c r="AE274" t="n">
        <v>163.8</v>
      </c>
      <c r="AF274" t="n">
        <v>0</v>
      </c>
      <c r="AG274" t="n">
        <v>0</v>
      </c>
      <c r="AH274" t="n">
        <v>0.16</v>
      </c>
      <c r="AI274" t="n">
        <v>8.199999999999999</v>
      </c>
      <c r="AJ274" t="n">
        <v>-0.01</v>
      </c>
      <c r="AK274" t="n">
        <v>14.53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48.81</v>
      </c>
      <c r="AV274" t="n">
        <v>0</v>
      </c>
      <c r="AW274" t="n">
        <v>123.18</v>
      </c>
      <c r="AX274" t="inlineStr">
        <is>
          <t>settled</t>
        </is>
      </c>
      <c r="AY274" t="inlineStr">
        <is>
          <t>2026-01-21 05:30:00</t>
        </is>
      </c>
      <c r="AZ274" t="inlineStr">
        <is>
          <t>CITIN26608218588</t>
        </is>
      </c>
      <c r="BA274" t="n">
        <v>0</v>
      </c>
      <c r="BB274" t="inlineStr">
        <is>
          <t>4c8e93866305956b8405a85b36f325351c22737a37786dfa5b9354ac0bb897cf</t>
        </is>
      </c>
    </row>
    <row r="275">
      <c r="A275" t="inlineStr">
        <is>
          <t>270</t>
        </is>
      </c>
      <c r="B275" t="inlineStr">
        <is>
          <t>7697735939</t>
        </is>
      </c>
      <c r="C275" t="inlineStr">
        <is>
          <t>2026-01-18 20:23:39</t>
        </is>
      </c>
      <c r="D275" t="inlineStr">
        <is>
          <t>3</t>
        </is>
      </c>
      <c r="E275" t="inlineStr">
        <is>
          <t>Sha Sha - Shandaar Shawarma</t>
        </is>
      </c>
      <c r="F275" t="inlineStr">
        <is>
          <t>18557902</t>
        </is>
      </c>
      <c r="G275" t="inlineStr">
        <is>
          <t>30% off upto ₹75 (2025-06-25 - 2031-01-01)</t>
        </is>
      </c>
      <c r="H275" t="inlineStr">
        <is>
          <t>ONLINE</t>
        </is>
      </c>
      <c r="I275" t="inlineStr">
        <is>
          <t>DELIVERED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O2</t>
        </is>
      </c>
      <c r="N275" t="inlineStr">
        <is>
          <t>36</t>
        </is>
      </c>
      <c r="O275" t="n">
        <v>229</v>
      </c>
      <c r="P275" t="n">
        <v>3.5</v>
      </c>
      <c r="Q275" t="n">
        <v>0</v>
      </c>
      <c r="R275" t="n">
        <v>68.7</v>
      </c>
      <c r="S275" t="n">
        <v>0</v>
      </c>
      <c r="T275" t="n">
        <v>0</v>
      </c>
      <c r="U275" t="n">
        <v>0</v>
      </c>
      <c r="V275" t="n">
        <v>8.19</v>
      </c>
      <c r="W275" t="n">
        <v>171.99</v>
      </c>
      <c r="X275" t="n">
        <v>163.8</v>
      </c>
      <c r="Y275" t="n">
        <v>19</v>
      </c>
      <c r="Z275" t="n">
        <v>31.12</v>
      </c>
      <c r="AA275" t="n">
        <v>3.16</v>
      </c>
      <c r="AB275" t="n">
        <v>34.28</v>
      </c>
      <c r="AC275" t="n">
        <v>6.17</v>
      </c>
      <c r="AD275" t="n">
        <v>0</v>
      </c>
      <c r="AE275" t="n">
        <v>163.8</v>
      </c>
      <c r="AF275" t="n">
        <v>0</v>
      </c>
      <c r="AG275" t="n">
        <v>0</v>
      </c>
      <c r="AH275" t="n">
        <v>0.16</v>
      </c>
      <c r="AI275" t="n">
        <v>8.199999999999999</v>
      </c>
      <c r="AJ275" t="n">
        <v>-0.01</v>
      </c>
      <c r="AK275" t="n">
        <v>14.53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48.81</v>
      </c>
      <c r="AV275" t="n">
        <v>0</v>
      </c>
      <c r="AW275" t="n">
        <v>123.18</v>
      </c>
      <c r="AX275" t="inlineStr">
        <is>
          <t>settled</t>
        </is>
      </c>
      <c r="AY275" t="inlineStr">
        <is>
          <t>2026-01-21 05:30:00</t>
        </is>
      </c>
      <c r="AZ275" t="inlineStr">
        <is>
          <t>CITIN26608218588</t>
        </is>
      </c>
      <c r="BA275" t="n">
        <v>0</v>
      </c>
      <c r="BB275" t="inlineStr">
        <is>
          <t>b09dc827a594f8554ae35677ac1565d7ebbd34b90d2be12e6bc03bc2b0ee2c11</t>
        </is>
      </c>
    </row>
    <row r="276">
      <c r="A276" t="inlineStr">
        <is>
          <t>271</t>
        </is>
      </c>
      <c r="B276" t="inlineStr">
        <is>
          <t>7702467590</t>
        </is>
      </c>
      <c r="C276" t="inlineStr">
        <is>
          <t>2026-01-18 20:32:32</t>
        </is>
      </c>
      <c r="D276" t="inlineStr">
        <is>
          <t>3</t>
        </is>
      </c>
      <c r="E276" t="inlineStr">
        <is>
          <t>Sha Sha - Shandaar Shawarma</t>
        </is>
      </c>
      <c r="F276" t="inlineStr">
        <is>
          <t>18557902</t>
        </is>
      </c>
      <c r="G276" t="inlineStr">
        <is>
          <t>30% off upto ₹75 (2025-06-25 - 2031-01-01)</t>
        </is>
      </c>
      <c r="H276" t="inlineStr">
        <is>
          <t>ONLINE</t>
        </is>
      </c>
      <c r="I276" t="inlineStr">
        <is>
          <t>DELIVERED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O2</t>
        </is>
      </c>
      <c r="N276" t="inlineStr">
        <is>
          <t>36</t>
        </is>
      </c>
      <c r="O276" t="n">
        <v>345</v>
      </c>
      <c r="P276" t="n">
        <v>3.5</v>
      </c>
      <c r="Q276" t="n">
        <v>0</v>
      </c>
      <c r="R276" t="n">
        <v>75</v>
      </c>
      <c r="S276" t="n">
        <v>0</v>
      </c>
      <c r="T276" t="n">
        <v>0</v>
      </c>
      <c r="U276" t="n">
        <v>0</v>
      </c>
      <c r="V276" t="n">
        <v>13.68</v>
      </c>
      <c r="W276" t="n">
        <v>287.18</v>
      </c>
      <c r="X276" t="n">
        <v>273.5</v>
      </c>
      <c r="Y276" t="n">
        <v>19</v>
      </c>
      <c r="Z276" t="n">
        <v>51.96</v>
      </c>
      <c r="AA276" t="n">
        <v>5.28</v>
      </c>
      <c r="AB276" t="n">
        <v>57.24</v>
      </c>
      <c r="AC276" t="n">
        <v>10.3</v>
      </c>
      <c r="AD276" t="n">
        <v>0</v>
      </c>
      <c r="AE276" t="n">
        <v>273.5</v>
      </c>
      <c r="AF276" t="n">
        <v>0</v>
      </c>
      <c r="AG276" t="n">
        <v>0</v>
      </c>
      <c r="AH276" t="n">
        <v>0.27</v>
      </c>
      <c r="AI276" t="n">
        <v>13.68</v>
      </c>
      <c r="AJ276" t="n">
        <v>0</v>
      </c>
      <c r="AK276" t="n">
        <v>24.25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81.48999999999999</v>
      </c>
      <c r="AV276" t="n">
        <v>0</v>
      </c>
      <c r="AW276" t="n">
        <v>205.69</v>
      </c>
      <c r="AX276" t="inlineStr">
        <is>
          <t>settled</t>
        </is>
      </c>
      <c r="AY276" t="inlineStr">
        <is>
          <t>2026-01-21 05:30:00</t>
        </is>
      </c>
      <c r="AZ276" t="inlineStr">
        <is>
          <t>CITIN26608218588</t>
        </is>
      </c>
      <c r="BA276" t="n">
        <v>0</v>
      </c>
      <c r="BB276" t="inlineStr">
        <is>
          <t>72c34bce6d886f4439ed9a14721d2f6c56d2d574ad27f7951e7a7696dc8f6144</t>
        </is>
      </c>
    </row>
    <row r="277">
      <c r="A277" t="inlineStr">
        <is>
          <t>272</t>
        </is>
      </c>
      <c r="B277" t="inlineStr">
        <is>
          <t>7691524944</t>
        </is>
      </c>
      <c r="C277" t="inlineStr">
        <is>
          <t>2026-01-18 20:53:53</t>
        </is>
      </c>
      <c r="D277" t="inlineStr">
        <is>
          <t>3</t>
        </is>
      </c>
      <c r="E277" t="inlineStr">
        <is>
          <t>Sha Sha - Shandaar Shawarma</t>
        </is>
      </c>
      <c r="F277" t="inlineStr">
        <is>
          <t>18557902</t>
        </is>
      </c>
      <c r="G277" t="inlineStr">
        <is>
          <t>NA</t>
        </is>
      </c>
      <c r="H277" t="inlineStr">
        <is>
          <t>ONLINE</t>
        </is>
      </c>
      <c r="I277" t="inlineStr">
        <is>
          <t>DELIVERED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O2</t>
        </is>
      </c>
      <c r="N277" t="inlineStr">
        <is>
          <t>36</t>
        </is>
      </c>
      <c r="O277" t="n">
        <v>229</v>
      </c>
      <c r="P277" t="n">
        <v>3.5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11.63</v>
      </c>
      <c r="W277" t="n">
        <v>244.13</v>
      </c>
      <c r="X277" t="n">
        <v>232.5</v>
      </c>
      <c r="Y277" t="n">
        <v>19</v>
      </c>
      <c r="Z277" t="n">
        <v>44.18</v>
      </c>
      <c r="AA277" t="n">
        <v>4.49</v>
      </c>
      <c r="AB277" t="n">
        <v>48.67</v>
      </c>
      <c r="AC277" t="n">
        <v>8.76</v>
      </c>
      <c r="AD277" t="n">
        <v>0</v>
      </c>
      <c r="AE277" t="n">
        <v>232.5</v>
      </c>
      <c r="AF277" t="n">
        <v>0</v>
      </c>
      <c r="AG277" t="n">
        <v>0</v>
      </c>
      <c r="AH277" t="n">
        <v>0.23</v>
      </c>
      <c r="AI277" t="n">
        <v>11.63</v>
      </c>
      <c r="AJ277" t="n">
        <v>0</v>
      </c>
      <c r="AK277" t="n">
        <v>20.62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69.29000000000001</v>
      </c>
      <c r="AV277" t="n">
        <v>0</v>
      </c>
      <c r="AW277" t="n">
        <v>174.84</v>
      </c>
      <c r="AX277" t="inlineStr">
        <is>
          <t>settled</t>
        </is>
      </c>
      <c r="AY277" t="inlineStr">
        <is>
          <t>2026-01-21 05:30:00</t>
        </is>
      </c>
      <c r="AZ277" t="inlineStr">
        <is>
          <t>CITIN26608218588</t>
        </is>
      </c>
      <c r="BA277" t="n">
        <v>0</v>
      </c>
      <c r="BB277" t="inlineStr">
        <is>
          <t>f37915abb1c8965ad0464ed5ed4acb3f480f45656069556004558d8cc3be4d4f</t>
        </is>
      </c>
    </row>
    <row r="278">
      <c r="A278" t="inlineStr">
        <is>
          <t>273</t>
        </is>
      </c>
      <c r="B278" t="inlineStr">
        <is>
          <t>7693895894</t>
        </is>
      </c>
      <c r="C278" t="inlineStr">
        <is>
          <t>2026-01-18 20:56:27</t>
        </is>
      </c>
      <c r="D278" t="inlineStr">
        <is>
          <t>3</t>
        </is>
      </c>
      <c r="E278" t="inlineStr">
        <is>
          <t>Sha Sha - Shandaar Shawarma</t>
        </is>
      </c>
      <c r="F278" t="inlineStr">
        <is>
          <t>18557902</t>
        </is>
      </c>
      <c r="G278" t="inlineStr">
        <is>
          <t>NA</t>
        </is>
      </c>
      <c r="H278" t="inlineStr">
        <is>
          <t>ONLINE</t>
        </is>
      </c>
      <c r="I278" t="inlineStr">
        <is>
          <t>DELIVERED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O2</t>
        </is>
      </c>
      <c r="N278" t="inlineStr">
        <is>
          <t>36</t>
        </is>
      </c>
      <c r="O278" t="n">
        <v>458</v>
      </c>
      <c r="P278" t="n">
        <v>3.5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23.08</v>
      </c>
      <c r="W278" t="n">
        <v>484.58</v>
      </c>
      <c r="X278" t="n">
        <v>461.5</v>
      </c>
      <c r="Y278" t="n">
        <v>19</v>
      </c>
      <c r="Z278" t="n">
        <v>87.68000000000001</v>
      </c>
      <c r="AA278" t="n">
        <v>8.92</v>
      </c>
      <c r="AB278" t="n">
        <v>96.59999999999999</v>
      </c>
      <c r="AC278" t="n">
        <v>17.39</v>
      </c>
      <c r="AD278" t="n">
        <v>0</v>
      </c>
      <c r="AE278" t="n">
        <v>461.5</v>
      </c>
      <c r="AF278" t="n">
        <v>0</v>
      </c>
      <c r="AG278" t="n">
        <v>0</v>
      </c>
      <c r="AH278" t="n">
        <v>0.46</v>
      </c>
      <c r="AI278" t="n">
        <v>23.08</v>
      </c>
      <c r="AJ278" t="n">
        <v>0</v>
      </c>
      <c r="AK278" t="n">
        <v>40.93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137.53</v>
      </c>
      <c r="AV278" t="n">
        <v>0</v>
      </c>
      <c r="AW278" t="n">
        <v>347.05</v>
      </c>
      <c r="AX278" t="inlineStr">
        <is>
          <t>settled</t>
        </is>
      </c>
      <c r="AY278" t="inlineStr">
        <is>
          <t>2026-01-21 05:30:00</t>
        </is>
      </c>
      <c r="AZ278" t="inlineStr">
        <is>
          <t>CITIN26608218588</t>
        </is>
      </c>
      <c r="BA278" t="n">
        <v>0</v>
      </c>
      <c r="BB278" t="inlineStr">
        <is>
          <t>30609c8495ef11b472a1e8aeae485b287214bea591e5486b360a6afaee30794c</t>
        </is>
      </c>
    </row>
    <row r="279">
      <c r="A279" t="inlineStr">
        <is>
          <t>274</t>
        </is>
      </c>
      <c r="B279" t="inlineStr">
        <is>
          <t>7705220713</t>
        </is>
      </c>
      <c r="C279" t="inlineStr">
        <is>
          <t>2026-01-18 21:05:47</t>
        </is>
      </c>
      <c r="D279" t="inlineStr">
        <is>
          <t>3</t>
        </is>
      </c>
      <c r="E279" t="inlineStr">
        <is>
          <t>Sha Sha - Shandaar Shawarma</t>
        </is>
      </c>
      <c r="F279" t="inlineStr">
        <is>
          <t>18557902</t>
        </is>
      </c>
      <c r="G279" t="inlineStr">
        <is>
          <t>30% off upto ₹75 (2025-06-25 - 2031-01-01)</t>
        </is>
      </c>
      <c r="H279" t="inlineStr">
        <is>
          <t>ONLINE</t>
        </is>
      </c>
      <c r="I279" t="inlineStr">
        <is>
          <t>DELIVERED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O2</t>
        </is>
      </c>
      <c r="N279" t="inlineStr">
        <is>
          <t>36</t>
        </is>
      </c>
      <c r="O279" t="n">
        <v>458</v>
      </c>
      <c r="P279" t="n">
        <v>3.5</v>
      </c>
      <c r="Q279" t="n">
        <v>0</v>
      </c>
      <c r="R279" t="n">
        <v>75</v>
      </c>
      <c r="S279" t="n">
        <v>0</v>
      </c>
      <c r="T279" t="n">
        <v>0</v>
      </c>
      <c r="U279" t="n">
        <v>0</v>
      </c>
      <c r="V279" t="n">
        <v>19.33</v>
      </c>
      <c r="W279" t="n">
        <v>405.83</v>
      </c>
      <c r="X279" t="n">
        <v>386.5</v>
      </c>
      <c r="Y279" t="n">
        <v>19</v>
      </c>
      <c r="Z279" t="n">
        <v>73.44</v>
      </c>
      <c r="AA279" t="n">
        <v>7.47</v>
      </c>
      <c r="AB279" t="n">
        <v>80.91</v>
      </c>
      <c r="AC279" t="n">
        <v>14.56</v>
      </c>
      <c r="AD279" t="n">
        <v>0</v>
      </c>
      <c r="AE279" t="n">
        <v>386.5</v>
      </c>
      <c r="AF279" t="n">
        <v>0</v>
      </c>
      <c r="AG279" t="n">
        <v>0</v>
      </c>
      <c r="AH279" t="n">
        <v>0.39</v>
      </c>
      <c r="AI279" t="n">
        <v>19.33</v>
      </c>
      <c r="AJ279" t="n">
        <v>0</v>
      </c>
      <c r="AK279" t="n">
        <v>34.28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115.19</v>
      </c>
      <c r="AV279" t="n">
        <v>0</v>
      </c>
      <c r="AW279" t="n">
        <v>290.64</v>
      </c>
      <c r="AX279" t="inlineStr">
        <is>
          <t>settled</t>
        </is>
      </c>
      <c r="AY279" t="inlineStr">
        <is>
          <t>2026-01-21 05:30:00</t>
        </is>
      </c>
      <c r="AZ279" t="inlineStr">
        <is>
          <t>CITIN26608218588</t>
        </is>
      </c>
      <c r="BA279" t="n">
        <v>0</v>
      </c>
      <c r="BB279" t="inlineStr">
        <is>
          <t>b5ef8189e95f649ecff2aaabdd5ffcf54f37d3474d3b245a56ddbb52925d9663</t>
        </is>
      </c>
    </row>
    <row r="280">
      <c r="A280" t="inlineStr">
        <is>
          <t>275</t>
        </is>
      </c>
      <c r="B280" t="inlineStr">
        <is>
          <t>7706008010</t>
        </is>
      </c>
      <c r="C280" t="inlineStr">
        <is>
          <t>2026-01-18 21:15:36</t>
        </is>
      </c>
      <c r="D280" t="inlineStr">
        <is>
          <t>3</t>
        </is>
      </c>
      <c r="E280" t="inlineStr">
        <is>
          <t>Sha Sha - Shandaar Shawarma</t>
        </is>
      </c>
      <c r="F280" t="inlineStr">
        <is>
          <t>18557902</t>
        </is>
      </c>
      <c r="G280" t="inlineStr">
        <is>
          <t>30% off upto ₹75 (2025-06-25 - 2031-01-01)</t>
        </is>
      </c>
      <c r="H280" t="inlineStr">
        <is>
          <t>ONLINE</t>
        </is>
      </c>
      <c r="I280" t="inlineStr">
        <is>
          <t>DELIVERED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O2</t>
        </is>
      </c>
      <c r="N280" t="inlineStr">
        <is>
          <t>36</t>
        </is>
      </c>
      <c r="O280" t="n">
        <v>458</v>
      </c>
      <c r="P280" t="n">
        <v>3.5</v>
      </c>
      <c r="Q280" t="n">
        <v>0</v>
      </c>
      <c r="R280" t="n">
        <v>75</v>
      </c>
      <c r="S280" t="n">
        <v>0</v>
      </c>
      <c r="T280" t="n">
        <v>0</v>
      </c>
      <c r="U280" t="n">
        <v>0</v>
      </c>
      <c r="V280" t="n">
        <v>19.33</v>
      </c>
      <c r="W280" t="n">
        <v>405.83</v>
      </c>
      <c r="X280" t="n">
        <v>386.5</v>
      </c>
      <c r="Y280" t="n">
        <v>19</v>
      </c>
      <c r="Z280" t="n">
        <v>73.44</v>
      </c>
      <c r="AA280" t="n">
        <v>7.47</v>
      </c>
      <c r="AB280" t="n">
        <v>80.91</v>
      </c>
      <c r="AC280" t="n">
        <v>14.56</v>
      </c>
      <c r="AD280" t="n">
        <v>0</v>
      </c>
      <c r="AE280" t="n">
        <v>386.5</v>
      </c>
      <c r="AF280" t="n">
        <v>0</v>
      </c>
      <c r="AG280" t="n">
        <v>0</v>
      </c>
      <c r="AH280" t="n">
        <v>0.39</v>
      </c>
      <c r="AI280" t="n">
        <v>19.33</v>
      </c>
      <c r="AJ280" t="n">
        <v>0</v>
      </c>
      <c r="AK280" t="n">
        <v>34.28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115.19</v>
      </c>
      <c r="AV280" t="n">
        <v>0</v>
      </c>
      <c r="AW280" t="n">
        <v>290.64</v>
      </c>
      <c r="AX280" t="inlineStr">
        <is>
          <t>settled</t>
        </is>
      </c>
      <c r="AY280" t="inlineStr">
        <is>
          <t>2026-01-21 05:30:00</t>
        </is>
      </c>
      <c r="AZ280" t="inlineStr">
        <is>
          <t>CITIN26608218588</t>
        </is>
      </c>
      <c r="BA280" t="n">
        <v>0</v>
      </c>
      <c r="BB280" t="inlineStr">
        <is>
          <t>de4f6543ce6eaa7a9f14f2a9588ef9ff5cd849d1cf03f86f3087542a0c62420e</t>
        </is>
      </c>
    </row>
    <row r="281">
      <c r="A281" t="inlineStr">
        <is>
          <t>276</t>
        </is>
      </c>
      <c r="B281" t="inlineStr">
        <is>
          <t>7687341720</t>
        </is>
      </c>
      <c r="C281" t="inlineStr">
        <is>
          <t>2026-01-18 21:17:24</t>
        </is>
      </c>
      <c r="D281" t="inlineStr">
        <is>
          <t>3</t>
        </is>
      </c>
      <c r="E281" t="inlineStr">
        <is>
          <t>Sha Sha - Shandaar Shawarma</t>
        </is>
      </c>
      <c r="F281" t="inlineStr">
        <is>
          <t>18557902</t>
        </is>
      </c>
      <c r="G281" t="inlineStr">
        <is>
          <t>30% off upto ₹75 (2025-06-25 - 2031-01-01)</t>
        </is>
      </c>
      <c r="H281" t="inlineStr">
        <is>
          <t>ONLINE</t>
        </is>
      </c>
      <c r="I281" t="inlineStr">
        <is>
          <t>DELIVERED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O2</t>
        </is>
      </c>
      <c r="N281" t="inlineStr">
        <is>
          <t>36</t>
        </is>
      </c>
      <c r="O281" t="n">
        <v>229</v>
      </c>
      <c r="P281" t="n">
        <v>3.5</v>
      </c>
      <c r="Q281" t="n">
        <v>0</v>
      </c>
      <c r="R281" t="n">
        <v>68.7</v>
      </c>
      <c r="S281" t="n">
        <v>0</v>
      </c>
      <c r="T281" t="n">
        <v>0</v>
      </c>
      <c r="U281" t="n">
        <v>0</v>
      </c>
      <c r="V281" t="n">
        <v>8.19</v>
      </c>
      <c r="W281" t="n">
        <v>171.99</v>
      </c>
      <c r="X281" t="n">
        <v>163.8</v>
      </c>
      <c r="Y281" t="n">
        <v>19</v>
      </c>
      <c r="Z281" t="n">
        <v>31.12</v>
      </c>
      <c r="AA281" t="n">
        <v>3.16</v>
      </c>
      <c r="AB281" t="n">
        <v>34.28</v>
      </c>
      <c r="AC281" t="n">
        <v>6.17</v>
      </c>
      <c r="AD281" t="n">
        <v>0</v>
      </c>
      <c r="AE281" t="n">
        <v>163.8</v>
      </c>
      <c r="AF281" t="n">
        <v>0</v>
      </c>
      <c r="AG281" t="n">
        <v>0</v>
      </c>
      <c r="AH281" t="n">
        <v>0.16</v>
      </c>
      <c r="AI281" t="n">
        <v>8.199999999999999</v>
      </c>
      <c r="AJ281" t="n">
        <v>-0.01</v>
      </c>
      <c r="AK281" t="n">
        <v>14.53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48.81</v>
      </c>
      <c r="AV281" t="n">
        <v>0</v>
      </c>
      <c r="AW281" t="n">
        <v>123.18</v>
      </c>
      <c r="AX281" t="inlineStr">
        <is>
          <t>settled</t>
        </is>
      </c>
      <c r="AY281" t="inlineStr">
        <is>
          <t>2026-01-21 05:30:00</t>
        </is>
      </c>
      <c r="AZ281" t="inlineStr">
        <is>
          <t>CITIN26608218588</t>
        </is>
      </c>
      <c r="BA281" t="n">
        <v>0</v>
      </c>
      <c r="BB281" t="inlineStr">
        <is>
          <t>19c169837356dda29ad2098f97811adc3df979375d0883a8c58c45f35caaeeae</t>
        </is>
      </c>
    </row>
    <row r="282">
      <c r="A282" t="inlineStr">
        <is>
          <t>277</t>
        </is>
      </c>
      <c r="B282" t="inlineStr">
        <is>
          <t>7705059480</t>
        </is>
      </c>
      <c r="C282" t="inlineStr">
        <is>
          <t>2026-01-18 21:38:52</t>
        </is>
      </c>
      <c r="D282" t="inlineStr">
        <is>
          <t>3</t>
        </is>
      </c>
      <c r="E282" t="inlineStr">
        <is>
          <t>Sha Sha - Shandaar Shawarma</t>
        </is>
      </c>
      <c r="F282" t="inlineStr">
        <is>
          <t>18557902</t>
        </is>
      </c>
      <c r="G282" t="inlineStr">
        <is>
          <t>30% off upto ₹75 (2025-06-25 - 2031-01-01)</t>
        </is>
      </c>
      <c r="H282" t="inlineStr">
        <is>
          <t>ONLINE</t>
        </is>
      </c>
      <c r="I282" t="inlineStr">
        <is>
          <t>DELIVERED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O2</t>
        </is>
      </c>
      <c r="N282" t="inlineStr">
        <is>
          <t>36</t>
        </is>
      </c>
      <c r="O282" t="n">
        <v>358</v>
      </c>
      <c r="P282" t="n">
        <v>3.5</v>
      </c>
      <c r="Q282" t="n">
        <v>0</v>
      </c>
      <c r="R282" t="n">
        <v>75</v>
      </c>
      <c r="S282" t="n">
        <v>0</v>
      </c>
      <c r="T282" t="n">
        <v>0</v>
      </c>
      <c r="U282" t="n">
        <v>0</v>
      </c>
      <c r="V282" t="n">
        <v>14.33</v>
      </c>
      <c r="W282" t="n">
        <v>300.83</v>
      </c>
      <c r="X282" t="n">
        <v>286.5</v>
      </c>
      <c r="Y282" t="n">
        <v>19</v>
      </c>
      <c r="Z282" t="n">
        <v>54.44</v>
      </c>
      <c r="AA282" t="n">
        <v>5.54</v>
      </c>
      <c r="AB282" t="n">
        <v>59.98</v>
      </c>
      <c r="AC282" t="n">
        <v>10.8</v>
      </c>
      <c r="AD282" t="n">
        <v>0</v>
      </c>
      <c r="AE282" t="n">
        <v>286.5</v>
      </c>
      <c r="AF282" t="n">
        <v>0</v>
      </c>
      <c r="AG282" t="n">
        <v>0</v>
      </c>
      <c r="AH282" t="n">
        <v>0.29</v>
      </c>
      <c r="AI282" t="n">
        <v>14.33</v>
      </c>
      <c r="AJ282" t="n">
        <v>0</v>
      </c>
      <c r="AK282" t="n">
        <v>25.42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85.40000000000001</v>
      </c>
      <c r="AV282" t="n">
        <v>0</v>
      </c>
      <c r="AW282" t="n">
        <v>215.43</v>
      </c>
      <c r="AX282" t="inlineStr">
        <is>
          <t>settled</t>
        </is>
      </c>
      <c r="AY282" t="inlineStr">
        <is>
          <t>2026-01-21 05:30:00</t>
        </is>
      </c>
      <c r="AZ282" t="inlineStr">
        <is>
          <t>CITIN26608218588</t>
        </is>
      </c>
      <c r="BA282" t="n">
        <v>0</v>
      </c>
      <c r="BB282" t="inlineStr">
        <is>
          <t>d83fe9a6e88d91106b1289c7e37ce5a4f6356a320a8aec3b81a341c2b1012691</t>
        </is>
      </c>
    </row>
    <row r="283">
      <c r="A283" t="inlineStr">
        <is>
          <t>278</t>
        </is>
      </c>
      <c r="B283" t="inlineStr">
        <is>
          <t>7705720050</t>
        </is>
      </c>
      <c r="C283" t="inlineStr">
        <is>
          <t>2026-01-18 22:00:34</t>
        </is>
      </c>
      <c r="D283" t="inlineStr">
        <is>
          <t>3</t>
        </is>
      </c>
      <c r="E283" t="inlineStr">
        <is>
          <t>Sha Sha - Shandaar Shawarma</t>
        </is>
      </c>
      <c r="F283" t="inlineStr">
        <is>
          <t>18557902</t>
        </is>
      </c>
      <c r="G283" t="inlineStr">
        <is>
          <t>NA</t>
        </is>
      </c>
      <c r="H283" t="inlineStr">
        <is>
          <t>ONLINE</t>
        </is>
      </c>
      <c r="I283" t="inlineStr">
        <is>
          <t>DELIVERED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O2</t>
        </is>
      </c>
      <c r="N283" t="inlineStr">
        <is>
          <t>36</t>
        </is>
      </c>
      <c r="O283" t="n">
        <v>219</v>
      </c>
      <c r="P283" t="n">
        <v>3.5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11.13</v>
      </c>
      <c r="W283" t="n">
        <v>233.63</v>
      </c>
      <c r="X283" t="n">
        <v>222.5</v>
      </c>
      <c r="Y283" t="n">
        <v>19</v>
      </c>
      <c r="Z283" t="n">
        <v>42.28</v>
      </c>
      <c r="AA283" t="n">
        <v>4.3</v>
      </c>
      <c r="AB283" t="n">
        <v>46.58</v>
      </c>
      <c r="AC283" t="n">
        <v>8.380000000000001</v>
      </c>
      <c r="AD283" t="n">
        <v>0</v>
      </c>
      <c r="AE283" t="n">
        <v>222.5</v>
      </c>
      <c r="AF283" t="n">
        <v>0</v>
      </c>
      <c r="AG283" t="n">
        <v>0</v>
      </c>
      <c r="AH283" t="n">
        <v>0.22</v>
      </c>
      <c r="AI283" t="n">
        <v>11.13</v>
      </c>
      <c r="AJ283" t="n">
        <v>0</v>
      </c>
      <c r="AK283" t="n">
        <v>19.73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66.31</v>
      </c>
      <c r="AV283" t="n">
        <v>0</v>
      </c>
      <c r="AW283" t="n">
        <v>167.32</v>
      </c>
      <c r="AX283" t="inlineStr">
        <is>
          <t>settled</t>
        </is>
      </c>
      <c r="AY283" t="inlineStr">
        <is>
          <t>2026-01-21 05:30:00</t>
        </is>
      </c>
      <c r="AZ283" t="inlineStr">
        <is>
          <t>CITIN26608218588</t>
        </is>
      </c>
      <c r="BA283" t="n">
        <v>0</v>
      </c>
      <c r="BB283" t="inlineStr">
        <is>
          <t>918a7ea3045ee7203c2b97907aaed927f6c1e59b7c50eeb49e67abdb11590527</t>
        </is>
      </c>
    </row>
    <row r="284">
      <c r="A284" t="inlineStr">
        <is>
          <t>279</t>
        </is>
      </c>
      <c r="B284" t="inlineStr">
        <is>
          <t>7693965530</t>
        </is>
      </c>
      <c r="C284" t="inlineStr">
        <is>
          <t>2026-01-18 22:11:58</t>
        </is>
      </c>
      <c r="D284" t="inlineStr">
        <is>
          <t>3</t>
        </is>
      </c>
      <c r="E284" t="inlineStr">
        <is>
          <t>Sha Sha - Shandaar Shawarma</t>
        </is>
      </c>
      <c r="F284" t="inlineStr">
        <is>
          <t>18557902</t>
        </is>
      </c>
      <c r="G284" t="inlineStr">
        <is>
          <t>30% off upto ₹75 (2025-06-25 - 2031-01-01)</t>
        </is>
      </c>
      <c r="H284" t="inlineStr">
        <is>
          <t>ONLINE</t>
        </is>
      </c>
      <c r="I284" t="inlineStr">
        <is>
          <t>DELIVERED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O2</t>
        </is>
      </c>
      <c r="N284" t="inlineStr">
        <is>
          <t>36</t>
        </is>
      </c>
      <c r="O284" t="n">
        <v>636</v>
      </c>
      <c r="P284" t="n">
        <v>3.5</v>
      </c>
      <c r="Q284" t="n">
        <v>0</v>
      </c>
      <c r="R284" t="n">
        <v>75</v>
      </c>
      <c r="S284" t="n">
        <v>0</v>
      </c>
      <c r="T284" t="n">
        <v>0</v>
      </c>
      <c r="U284" t="n">
        <v>0</v>
      </c>
      <c r="V284" t="n">
        <v>28.23</v>
      </c>
      <c r="W284" t="n">
        <v>592.73</v>
      </c>
      <c r="X284" t="n">
        <v>564.5</v>
      </c>
      <c r="Y284" t="n">
        <v>19</v>
      </c>
      <c r="Z284" t="n">
        <v>107.26</v>
      </c>
      <c r="AA284" t="n">
        <v>10.91</v>
      </c>
      <c r="AB284" t="n">
        <v>118.17</v>
      </c>
      <c r="AC284" t="n">
        <v>21.27</v>
      </c>
      <c r="AD284" t="n">
        <v>0</v>
      </c>
      <c r="AE284" t="n">
        <v>564.5</v>
      </c>
      <c r="AF284" t="n">
        <v>0</v>
      </c>
      <c r="AG284" t="n">
        <v>0</v>
      </c>
      <c r="AH284" t="n">
        <v>0.5600000000000001</v>
      </c>
      <c r="AI284" t="n">
        <v>28.23</v>
      </c>
      <c r="AJ284" t="n">
        <v>0</v>
      </c>
      <c r="AK284" t="n">
        <v>50.06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168.23</v>
      </c>
      <c r="AV284" t="n">
        <v>0</v>
      </c>
      <c r="AW284" t="n">
        <v>424.5</v>
      </c>
      <c r="AX284" t="inlineStr">
        <is>
          <t>settled</t>
        </is>
      </c>
      <c r="AY284" t="inlineStr">
        <is>
          <t>2026-01-21 05:30:00</t>
        </is>
      </c>
      <c r="AZ284" t="inlineStr">
        <is>
          <t>CITIN26608218588</t>
        </is>
      </c>
      <c r="BA284" t="n">
        <v>0</v>
      </c>
      <c r="BB284" t="inlineStr">
        <is>
          <t>f8692bb33af1e2b5f5533c912db68b6a6c5a6bb89c9921e0ccad24e37639c3b7</t>
        </is>
      </c>
    </row>
    <row r="285">
      <c r="A285" t="inlineStr">
        <is>
          <t>280</t>
        </is>
      </c>
      <c r="B285" t="inlineStr">
        <is>
          <t>7702778752</t>
        </is>
      </c>
      <c r="C285" t="inlineStr">
        <is>
          <t>2026-01-18 22:21:14</t>
        </is>
      </c>
      <c r="D285" t="inlineStr">
        <is>
          <t>3</t>
        </is>
      </c>
      <c r="E285" t="inlineStr">
        <is>
          <t>Sha Sha - Shandaar Shawarma</t>
        </is>
      </c>
      <c r="F285" t="inlineStr">
        <is>
          <t>18557902</t>
        </is>
      </c>
      <c r="G285" t="inlineStr">
        <is>
          <t>30% off upto ₹75 (2025-06-25 - 2031-01-01)</t>
        </is>
      </c>
      <c r="H285" t="inlineStr">
        <is>
          <t>ONLINE</t>
        </is>
      </c>
      <c r="I285" t="inlineStr">
        <is>
          <t>DELIVERED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O2</t>
        </is>
      </c>
      <c r="N285" t="inlineStr">
        <is>
          <t>36</t>
        </is>
      </c>
      <c r="O285" t="n">
        <v>219</v>
      </c>
      <c r="P285" t="n">
        <v>3.5</v>
      </c>
      <c r="Q285" t="n">
        <v>0</v>
      </c>
      <c r="R285" t="n">
        <v>65.7</v>
      </c>
      <c r="S285" t="n">
        <v>0</v>
      </c>
      <c r="T285" t="n">
        <v>0</v>
      </c>
      <c r="U285" t="n">
        <v>0</v>
      </c>
      <c r="V285" t="n">
        <v>7.84</v>
      </c>
      <c r="W285" t="n">
        <v>164.64</v>
      </c>
      <c r="X285" t="n">
        <v>156.8</v>
      </c>
      <c r="Y285" t="n">
        <v>19</v>
      </c>
      <c r="Z285" t="n">
        <v>29.79</v>
      </c>
      <c r="AA285" t="n">
        <v>3.03</v>
      </c>
      <c r="AB285" t="n">
        <v>32.82</v>
      </c>
      <c r="AC285" t="n">
        <v>5.91</v>
      </c>
      <c r="AD285" t="n">
        <v>0</v>
      </c>
      <c r="AE285" t="n">
        <v>156.8</v>
      </c>
      <c r="AF285" t="n">
        <v>0</v>
      </c>
      <c r="AG285" t="n">
        <v>0</v>
      </c>
      <c r="AH285" t="n">
        <v>0.16</v>
      </c>
      <c r="AI285" t="n">
        <v>7.85</v>
      </c>
      <c r="AJ285" t="n">
        <v>-0.01</v>
      </c>
      <c r="AK285" t="n">
        <v>13.92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46.74</v>
      </c>
      <c r="AV285" t="n">
        <v>0</v>
      </c>
      <c r="AW285" t="n">
        <v>117.9</v>
      </c>
      <c r="AX285" t="inlineStr">
        <is>
          <t>settled</t>
        </is>
      </c>
      <c r="AY285" t="inlineStr">
        <is>
          <t>2026-01-21 05:30:00</t>
        </is>
      </c>
      <c r="AZ285" t="inlineStr">
        <is>
          <t>CITIN26608218588</t>
        </is>
      </c>
      <c r="BA285" t="n">
        <v>0</v>
      </c>
      <c r="BB285" t="inlineStr">
        <is>
          <t>8444ae22b32a9ad2035fe5c2372de185a8ecddc6a1eb4e031c593146348ea36f</t>
        </is>
      </c>
    </row>
    <row r="286">
      <c r="A286" t="inlineStr">
        <is>
          <t>281</t>
        </is>
      </c>
      <c r="B286" t="inlineStr">
        <is>
          <t>7705237929</t>
        </is>
      </c>
      <c r="C286" t="inlineStr">
        <is>
          <t>2026-01-18 23:04:34</t>
        </is>
      </c>
      <c r="D286" t="inlineStr">
        <is>
          <t>3</t>
        </is>
      </c>
      <c r="E286" t="inlineStr">
        <is>
          <t>Sha Sha - Shandaar Shawarma</t>
        </is>
      </c>
      <c r="F286" t="inlineStr">
        <is>
          <t>18557902</t>
        </is>
      </c>
      <c r="G286" t="inlineStr">
        <is>
          <t>30% off upto ₹75 (2025-06-25 - 2031-01-01)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O2</t>
        </is>
      </c>
      <c r="N286" t="inlineStr">
        <is>
          <t>36</t>
        </is>
      </c>
      <c r="O286" t="n">
        <v>219</v>
      </c>
      <c r="P286" t="n">
        <v>3.5</v>
      </c>
      <c r="Q286" t="n">
        <v>0</v>
      </c>
      <c r="R286" t="n">
        <v>65.7</v>
      </c>
      <c r="S286" t="n">
        <v>0</v>
      </c>
      <c r="T286" t="n">
        <v>0</v>
      </c>
      <c r="U286" t="n">
        <v>0</v>
      </c>
      <c r="V286" t="n">
        <v>7.84</v>
      </c>
      <c r="W286" t="n">
        <v>164.64</v>
      </c>
      <c r="X286" t="n">
        <v>156.8</v>
      </c>
      <c r="Y286" t="n">
        <v>19</v>
      </c>
      <c r="Z286" t="n">
        <v>29.79</v>
      </c>
      <c r="AA286" t="n">
        <v>3.03</v>
      </c>
      <c r="AB286" t="n">
        <v>32.82</v>
      </c>
      <c r="AC286" t="n">
        <v>5.91</v>
      </c>
      <c r="AD286" t="n">
        <v>0</v>
      </c>
      <c r="AE286" t="n">
        <v>156.8</v>
      </c>
      <c r="AF286" t="n">
        <v>0</v>
      </c>
      <c r="AG286" t="n">
        <v>0</v>
      </c>
      <c r="AH286" t="n">
        <v>0.16</v>
      </c>
      <c r="AI286" t="n">
        <v>7.85</v>
      </c>
      <c r="AJ286" t="n">
        <v>-0.01</v>
      </c>
      <c r="AK286" t="n">
        <v>13.92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46.74</v>
      </c>
      <c r="AV286" t="n">
        <v>0</v>
      </c>
      <c r="AW286" t="n">
        <v>117.9</v>
      </c>
      <c r="AX286" t="inlineStr">
        <is>
          <t>settled</t>
        </is>
      </c>
      <c r="AY286" t="inlineStr">
        <is>
          <t>2026-01-21 05:30:00</t>
        </is>
      </c>
      <c r="AZ286" t="inlineStr">
        <is>
          <t>CITIN26608218588</t>
        </is>
      </c>
      <c r="BA286" t="n">
        <v>0</v>
      </c>
      <c r="BB286" t="inlineStr">
        <is>
          <t>048b7bb4dffded5a51a207ef0be34b74cd1dafc22a948ff6a63cae5be6e77e12</t>
        </is>
      </c>
    </row>
    <row r="287">
      <c r="A287" t="inlineStr">
        <is>
          <t>282</t>
        </is>
      </c>
      <c r="B287" t="inlineStr">
        <is>
          <t>7704865051</t>
        </is>
      </c>
      <c r="C287" t="inlineStr">
        <is>
          <t>2026-01-18 23:25:42</t>
        </is>
      </c>
      <c r="D287" t="inlineStr">
        <is>
          <t>3</t>
        </is>
      </c>
      <c r="E287" t="inlineStr">
        <is>
          <t>Sha Sha - Shandaar Shawarma</t>
        </is>
      </c>
      <c r="F287" t="inlineStr">
        <is>
          <t>18557902</t>
        </is>
      </c>
      <c r="G287" t="inlineStr">
        <is>
          <t>30% off upto ₹75 (2025-06-25 - 2031-01-01)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O2</t>
        </is>
      </c>
      <c r="N287" t="inlineStr">
        <is>
          <t>36</t>
        </is>
      </c>
      <c r="O287" t="n">
        <v>219</v>
      </c>
      <c r="P287" t="n">
        <v>3.5</v>
      </c>
      <c r="Q287" t="n">
        <v>0</v>
      </c>
      <c r="R287" t="n">
        <v>65.7</v>
      </c>
      <c r="S287" t="n">
        <v>0</v>
      </c>
      <c r="T287" t="n">
        <v>0</v>
      </c>
      <c r="U287" t="n">
        <v>0</v>
      </c>
      <c r="V287" t="n">
        <v>7.84</v>
      </c>
      <c r="W287" t="n">
        <v>164.64</v>
      </c>
      <c r="X287" t="n">
        <v>156.8</v>
      </c>
      <c r="Y287" t="n">
        <v>19</v>
      </c>
      <c r="Z287" t="n">
        <v>29.79</v>
      </c>
      <c r="AA287" t="n">
        <v>3.03</v>
      </c>
      <c r="AB287" t="n">
        <v>32.82</v>
      </c>
      <c r="AC287" t="n">
        <v>5.91</v>
      </c>
      <c r="AD287" t="n">
        <v>0</v>
      </c>
      <c r="AE287" t="n">
        <v>156.8</v>
      </c>
      <c r="AF287" t="n">
        <v>0</v>
      </c>
      <c r="AG287" t="n">
        <v>0</v>
      </c>
      <c r="AH287" t="n">
        <v>0.16</v>
      </c>
      <c r="AI287" t="n">
        <v>7.85</v>
      </c>
      <c r="AJ287" t="n">
        <v>-0.01</v>
      </c>
      <c r="AK287" t="n">
        <v>13.92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46.74</v>
      </c>
      <c r="AV287" t="n">
        <v>0</v>
      </c>
      <c r="AW287" t="n">
        <v>117.9</v>
      </c>
      <c r="AX287" t="inlineStr">
        <is>
          <t>settled</t>
        </is>
      </c>
      <c r="AY287" t="inlineStr">
        <is>
          <t>2026-01-21 05:30:00</t>
        </is>
      </c>
      <c r="AZ287" t="inlineStr">
        <is>
          <t>CITIN26608218588</t>
        </is>
      </c>
      <c r="BA287" t="n">
        <v>0</v>
      </c>
      <c r="BB287" t="inlineStr">
        <is>
          <t>0a91798499109d5e4685d208527ea108aef07dad895da7d6cb9c487f4e05c110</t>
        </is>
      </c>
    </row>
    <row r="288">
      <c r="A288" t="inlineStr">
        <is>
          <t>283</t>
        </is>
      </c>
      <c r="B288" t="inlineStr">
        <is>
          <t>7705034254</t>
        </is>
      </c>
      <c r="C288" t="inlineStr">
        <is>
          <t>2026-01-18 23:52:53</t>
        </is>
      </c>
      <c r="D288" t="inlineStr">
        <is>
          <t>3</t>
        </is>
      </c>
      <c r="E288" t="inlineStr">
        <is>
          <t>Sha Sha - Shandaar Shawarma</t>
        </is>
      </c>
      <c r="F288" t="inlineStr">
        <is>
          <t>18557902</t>
        </is>
      </c>
      <c r="G288" t="inlineStr">
        <is>
          <t>30% off upto ₹75 (2025-06-25 - 2031-01-01)</t>
        </is>
      </c>
      <c r="H288" t="inlineStr">
        <is>
          <t>ONLINE</t>
        </is>
      </c>
      <c r="I288" t="inlineStr">
        <is>
          <t>DELIVERED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O2</t>
        </is>
      </c>
      <c r="N288" t="inlineStr">
        <is>
          <t>36</t>
        </is>
      </c>
      <c r="O288" t="n">
        <v>289</v>
      </c>
      <c r="P288" t="n">
        <v>3.5</v>
      </c>
      <c r="Q288" t="n">
        <v>0</v>
      </c>
      <c r="R288" t="n">
        <v>75</v>
      </c>
      <c r="S288" t="n">
        <v>0</v>
      </c>
      <c r="T288" t="n">
        <v>0</v>
      </c>
      <c r="U288" t="n">
        <v>0</v>
      </c>
      <c r="V288" t="n">
        <v>10.88</v>
      </c>
      <c r="W288" t="n">
        <v>228.38</v>
      </c>
      <c r="X288" t="n">
        <v>217.5</v>
      </c>
      <c r="Y288" t="n">
        <v>19</v>
      </c>
      <c r="Z288" t="n">
        <v>41.32</v>
      </c>
      <c r="AA288" t="n">
        <v>4.2</v>
      </c>
      <c r="AB288" t="n">
        <v>45.52</v>
      </c>
      <c r="AC288" t="n">
        <v>8.199999999999999</v>
      </c>
      <c r="AD288" t="n">
        <v>0</v>
      </c>
      <c r="AE288" t="n">
        <v>217.5</v>
      </c>
      <c r="AF288" t="n">
        <v>0</v>
      </c>
      <c r="AG288" t="n">
        <v>0</v>
      </c>
      <c r="AH288" t="n">
        <v>0.22</v>
      </c>
      <c r="AI288" t="n">
        <v>10.88</v>
      </c>
      <c r="AJ288" t="n">
        <v>0</v>
      </c>
      <c r="AK288" t="n">
        <v>19.3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64.81999999999999</v>
      </c>
      <c r="AV288" t="n">
        <v>0</v>
      </c>
      <c r="AW288" t="n">
        <v>163.56</v>
      </c>
      <c r="AX288" t="inlineStr">
        <is>
          <t>settled</t>
        </is>
      </c>
      <c r="AY288" t="inlineStr">
        <is>
          <t>2026-01-21 05:30:00</t>
        </is>
      </c>
      <c r="AZ288" t="inlineStr">
        <is>
          <t>CITIN26608218588</t>
        </is>
      </c>
      <c r="BA288" t="n">
        <v>0</v>
      </c>
      <c r="BB288" t="inlineStr">
        <is>
          <t>a588ff2bbb188f0393cc975d5bddf1ee902b9a1883d8c015249351b1de4a19d3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33318977</t>
        </is>
      </c>
      <c r="E13" t="inlineStr">
        <is>
          <t>14 January 26 - 18 January 26</t>
        </is>
      </c>
      <c r="F13" t="inlineStr">
        <is>
          <t>settled</t>
        </is>
      </c>
      <c r="G13" t="n">
        <v>4001.61</v>
      </c>
      <c r="H13" t="n">
        <v>4001.61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33168698</t>
        </is>
      </c>
      <c r="E14" t="inlineStr">
        <is>
          <t>12 January 26 - 13 January 26</t>
        </is>
      </c>
      <c r="F14" t="inlineStr">
        <is>
          <t>settled</t>
        </is>
      </c>
      <c r="G14" t="n">
        <v>943.0599999999999</v>
      </c>
      <c r="H14" t="n">
        <v>943.0599999999999</v>
      </c>
      <c r="I14" t="n">
        <v>0</v>
      </c>
    </row>
    <row r="15">
      <c r="B15" t="inlineStr">
        <is>
          <t>Total Ads &amp; miscellaneous services</t>
        </is>
      </c>
      <c r="G15" t="n">
        <v>4944.67</v>
      </c>
      <c r="H15" t="n">
        <v>4944.67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4944.67</v>
      </c>
      <c r="H23" t="n">
        <v>4944.67</v>
      </c>
      <c r="I2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B285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81387</v>
      </c>
      <c r="P2" t="n">
        <v>980</v>
      </c>
      <c r="Q2" t="n">
        <v>0</v>
      </c>
      <c r="R2" t="n">
        <v>14546.40000000003</v>
      </c>
      <c r="S2" t="n">
        <v>0</v>
      </c>
      <c r="T2" t="n">
        <v>0</v>
      </c>
      <c r="U2" t="n">
        <v>0</v>
      </c>
      <c r="V2" t="n">
        <v>3391.700000000008</v>
      </c>
      <c r="W2" t="n">
        <v>71212.29999999997</v>
      </c>
      <c r="X2" t="n">
        <v>67820.60000000014</v>
      </c>
      <c r="Y2" t="n">
        <v>5320</v>
      </c>
      <c r="Z2" t="n">
        <v>12885.86000000004</v>
      </c>
      <c r="AA2" t="n">
        <v>1309.830000000001</v>
      </c>
      <c r="AB2" t="n">
        <v>14195.69000000001</v>
      </c>
      <c r="AC2" t="n">
        <v>2555.160000000005</v>
      </c>
      <c r="AD2" t="n">
        <v>0</v>
      </c>
      <c r="AE2" t="n">
        <v>67820.60000000014</v>
      </c>
      <c r="AF2" t="n">
        <v>0</v>
      </c>
      <c r="AG2" t="n">
        <v>0</v>
      </c>
      <c r="AH2" t="n">
        <v>67.48999999999981</v>
      </c>
      <c r="AI2" t="n">
        <v>3393.159999999999</v>
      </c>
      <c r="AJ2" t="n">
        <v>-1.460000000000001</v>
      </c>
      <c r="AK2" t="n">
        <v>6015.81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20211.50000000004</v>
      </c>
      <c r="AV2" t="n">
        <v>0</v>
      </c>
      <c r="AW2" t="n">
        <v>51000.8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96036.65999999999</v>
      </c>
      <c r="P3" t="n">
        <v>1156.4</v>
      </c>
      <c r="Q3" t="n">
        <v>0</v>
      </c>
      <c r="R3" t="n">
        <v>17164.75200000004</v>
      </c>
      <c r="S3" t="n">
        <v>0</v>
      </c>
      <c r="T3" t="n">
        <v>0</v>
      </c>
      <c r="U3" t="n">
        <v>0</v>
      </c>
      <c r="V3" t="n">
        <v>4002.20600000001</v>
      </c>
      <c r="W3" t="n">
        <v>84030.51399999997</v>
      </c>
      <c r="X3" t="n">
        <v>80028.30800000015</v>
      </c>
      <c r="Y3" t="n">
        <v>6277.599999999999</v>
      </c>
      <c r="Z3" t="n">
        <v>15205.31480000004</v>
      </c>
      <c r="AA3" t="n">
        <v>1545.599400000001</v>
      </c>
      <c r="AB3" t="n">
        <v>16750.91420000001</v>
      </c>
      <c r="AC3" t="n">
        <v>3015.088800000006</v>
      </c>
      <c r="AD3" t="n">
        <v>0</v>
      </c>
      <c r="AE3" t="n">
        <v>80028.30800000015</v>
      </c>
      <c r="AF3" t="n">
        <v>0</v>
      </c>
      <c r="AG3" t="n">
        <v>0</v>
      </c>
      <c r="AH3" t="n">
        <v>79.63819999999977</v>
      </c>
      <c r="AI3" t="n">
        <v>4003.928799999998</v>
      </c>
      <c r="AJ3" t="n">
        <v>-1.722800000000001</v>
      </c>
      <c r="AK3" t="n">
        <v>7098.6558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23849.57000000005</v>
      </c>
      <c r="AV3" t="n">
        <v>0</v>
      </c>
      <c r="AW3" t="n">
        <v>60180.94399999999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81387</v>
      </c>
      <c r="P4" t="n">
        <v>980</v>
      </c>
      <c r="Q4" t="n">
        <v>0</v>
      </c>
      <c r="R4" t="n">
        <v>14546.40000000003</v>
      </c>
      <c r="S4" t="n">
        <v>0</v>
      </c>
      <c r="T4" t="n">
        <v>0</v>
      </c>
      <c r="U4" t="n">
        <v>0</v>
      </c>
      <c r="V4" t="n">
        <v>3391.700000000008</v>
      </c>
      <c r="W4" t="n">
        <v>71212.29999999997</v>
      </c>
      <c r="X4" t="n">
        <v>67820.60000000014</v>
      </c>
      <c r="Y4" t="n">
        <v>5320</v>
      </c>
      <c r="Z4" t="n">
        <v>12885.86000000004</v>
      </c>
      <c r="AA4" t="n">
        <v>1309.830000000001</v>
      </c>
      <c r="AB4" t="n">
        <v>14195.69000000001</v>
      </c>
      <c r="AC4" t="n">
        <v>2555.160000000005</v>
      </c>
      <c r="AD4" t="n">
        <v>0</v>
      </c>
      <c r="AE4" t="n">
        <v>67820.60000000014</v>
      </c>
      <c r="AF4" t="n">
        <v>0</v>
      </c>
      <c r="AG4" t="n">
        <v>0</v>
      </c>
      <c r="AH4" t="n">
        <v>67.48999999999981</v>
      </c>
      <c r="AI4" t="n">
        <v>3393.159999999999</v>
      </c>
      <c r="AJ4" t="n">
        <v>-1.460000000000001</v>
      </c>
      <c r="AK4" t="n">
        <v>6015.81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20211.50000000004</v>
      </c>
      <c r="AV4" t="n">
        <v>0</v>
      </c>
      <c r="AW4" t="n">
        <v>51000.8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</t>
        </is>
      </c>
      <c r="B6" t="inlineStr">
        <is>
          <t>7702979345</t>
        </is>
      </c>
      <c r="C6" t="inlineStr">
        <is>
          <t>2026-01-19 00:11:13</t>
        </is>
      </c>
      <c r="D6" t="inlineStr">
        <is>
          <t>4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289</v>
      </c>
      <c r="P6" t="n">
        <v>3.5</v>
      </c>
      <c r="Q6" t="n">
        <v>0</v>
      </c>
      <c r="R6" t="n">
        <v>75</v>
      </c>
      <c r="S6" t="n">
        <v>0</v>
      </c>
      <c r="T6" t="n">
        <v>0</v>
      </c>
      <c r="U6" t="n">
        <v>0</v>
      </c>
      <c r="V6" t="n">
        <v>10.88</v>
      </c>
      <c r="W6" t="n">
        <v>228.38</v>
      </c>
      <c r="X6" t="n">
        <v>217.5</v>
      </c>
      <c r="Y6" t="n">
        <v>19</v>
      </c>
      <c r="Z6" t="n">
        <v>41.32</v>
      </c>
      <c r="AA6" t="n">
        <v>4.2</v>
      </c>
      <c r="AB6" t="n">
        <v>45.52</v>
      </c>
      <c r="AC6" t="n">
        <v>8.199999999999999</v>
      </c>
      <c r="AD6" t="n">
        <v>0</v>
      </c>
      <c r="AE6" t="n">
        <v>217.5</v>
      </c>
      <c r="AF6" t="n">
        <v>0</v>
      </c>
      <c r="AG6" t="n">
        <v>0</v>
      </c>
      <c r="AH6" t="n">
        <v>0.22</v>
      </c>
      <c r="AI6" t="n">
        <v>10.88</v>
      </c>
      <c r="AJ6" t="n">
        <v>0</v>
      </c>
      <c r="AK6" t="n">
        <v>19.3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64.81999999999999</v>
      </c>
      <c r="AV6" t="n">
        <v>0</v>
      </c>
      <c r="AW6" t="n">
        <v>163.56</v>
      </c>
      <c r="AX6" t="inlineStr">
        <is>
          <t>settled</t>
        </is>
      </c>
      <c r="AY6" t="inlineStr">
        <is>
          <t>2026-01-28 05:30:00</t>
        </is>
      </c>
      <c r="AZ6" t="inlineStr">
        <is>
          <t>CITIN26611504159</t>
        </is>
      </c>
      <c r="BA6" t="n">
        <v>0</v>
      </c>
      <c r="BB6" t="inlineStr">
        <is>
          <t>e673f2ac60d1e0083216ae882954940ad02bddce9eaf8fe4c023acb44a23c5c0</t>
        </is>
      </c>
    </row>
    <row r="7">
      <c r="A7" t="inlineStr">
        <is>
          <t>2</t>
        </is>
      </c>
      <c r="B7" t="inlineStr">
        <is>
          <t>7702603651</t>
        </is>
      </c>
      <c r="C7" t="inlineStr">
        <is>
          <t>2026-01-19 00:21:47</t>
        </is>
      </c>
      <c r="D7" t="inlineStr">
        <is>
          <t>4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30% off upto ₹75 (2025-06-25 - 2031-01-01)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458</v>
      </c>
      <c r="P7" t="n">
        <v>3.5</v>
      </c>
      <c r="Q7" t="n">
        <v>0</v>
      </c>
      <c r="R7" t="n">
        <v>75</v>
      </c>
      <c r="S7" t="n">
        <v>0</v>
      </c>
      <c r="T7" t="n">
        <v>0</v>
      </c>
      <c r="U7" t="n">
        <v>0</v>
      </c>
      <c r="V7" t="n">
        <v>19.33</v>
      </c>
      <c r="W7" t="n">
        <v>405.83</v>
      </c>
      <c r="X7" t="n">
        <v>386.5</v>
      </c>
      <c r="Y7" t="n">
        <v>19</v>
      </c>
      <c r="Z7" t="n">
        <v>73.44</v>
      </c>
      <c r="AA7" t="n">
        <v>7.47</v>
      </c>
      <c r="AB7" t="n">
        <v>80.91</v>
      </c>
      <c r="AC7" t="n">
        <v>14.56</v>
      </c>
      <c r="AD7" t="n">
        <v>0</v>
      </c>
      <c r="AE7" t="n">
        <v>386.5</v>
      </c>
      <c r="AF7" t="n">
        <v>0</v>
      </c>
      <c r="AG7" t="n">
        <v>0</v>
      </c>
      <c r="AH7" t="n">
        <v>0.39</v>
      </c>
      <c r="AI7" t="n">
        <v>19.33</v>
      </c>
      <c r="AJ7" t="n">
        <v>0</v>
      </c>
      <c r="AK7" t="n">
        <v>34.28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115.19</v>
      </c>
      <c r="AV7" t="n">
        <v>0</v>
      </c>
      <c r="AW7" t="n">
        <v>290.64</v>
      </c>
      <c r="AX7" t="inlineStr">
        <is>
          <t>settled</t>
        </is>
      </c>
      <c r="AY7" t="inlineStr">
        <is>
          <t>2026-01-28 05:30:00</t>
        </is>
      </c>
      <c r="AZ7" t="inlineStr">
        <is>
          <t>CITIN26611504159</t>
        </is>
      </c>
      <c r="BA7" t="n">
        <v>0</v>
      </c>
      <c r="BB7" t="inlineStr">
        <is>
          <t>63a9b416ae490c06bca4d45e57b5fbb2e3c531fefcfac6e817225e4a0dea3ea2</t>
        </is>
      </c>
    </row>
    <row r="8">
      <c r="A8" t="inlineStr">
        <is>
          <t>3</t>
        </is>
      </c>
      <c r="B8" t="inlineStr">
        <is>
          <t>7705850665</t>
        </is>
      </c>
      <c r="C8" t="inlineStr">
        <is>
          <t>2026-01-19 00:26:47</t>
        </is>
      </c>
      <c r="D8" t="inlineStr">
        <is>
          <t>4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30% off upto ₹75 (2025-06-25 - 2031-01-01)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229</v>
      </c>
      <c r="P8" t="n">
        <v>3.5</v>
      </c>
      <c r="Q8" t="n">
        <v>0</v>
      </c>
      <c r="R8" t="n">
        <v>68.7</v>
      </c>
      <c r="S8" t="n">
        <v>0</v>
      </c>
      <c r="T8" t="n">
        <v>0</v>
      </c>
      <c r="U8" t="n">
        <v>0</v>
      </c>
      <c r="V8" t="n">
        <v>8.19</v>
      </c>
      <c r="W8" t="n">
        <v>171.99</v>
      </c>
      <c r="X8" t="n">
        <v>163.8</v>
      </c>
      <c r="Y8" t="n">
        <v>19</v>
      </c>
      <c r="Z8" t="n">
        <v>31.12</v>
      </c>
      <c r="AA8" t="n">
        <v>3.16</v>
      </c>
      <c r="AB8" t="n">
        <v>34.28</v>
      </c>
      <c r="AC8" t="n">
        <v>6.17</v>
      </c>
      <c r="AD8" t="n">
        <v>0</v>
      </c>
      <c r="AE8" t="n">
        <v>163.8</v>
      </c>
      <c r="AF8" t="n">
        <v>0</v>
      </c>
      <c r="AG8" t="n">
        <v>0</v>
      </c>
      <c r="AH8" t="n">
        <v>0.16</v>
      </c>
      <c r="AI8" t="n">
        <v>8.199999999999999</v>
      </c>
      <c r="AJ8" t="n">
        <v>-0.01</v>
      </c>
      <c r="AK8" t="n">
        <v>14.53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48.81</v>
      </c>
      <c r="AV8" t="n">
        <v>0</v>
      </c>
      <c r="AW8" t="n">
        <v>123.18</v>
      </c>
      <c r="AX8" t="inlineStr">
        <is>
          <t>settled</t>
        </is>
      </c>
      <c r="AY8" t="inlineStr">
        <is>
          <t>2026-01-28 05:30:00</t>
        </is>
      </c>
      <c r="AZ8" t="inlineStr">
        <is>
          <t>CITIN26611504159</t>
        </is>
      </c>
      <c r="BA8" t="n">
        <v>0</v>
      </c>
      <c r="BB8" t="inlineStr">
        <is>
          <t>dc01520751245b71cf6bef06966e5d2f024c785ea44e39c74bbe2411db8a2f07</t>
        </is>
      </c>
    </row>
    <row r="9">
      <c r="A9" t="inlineStr">
        <is>
          <t>4</t>
        </is>
      </c>
      <c r="B9" t="inlineStr">
        <is>
          <t>7705317191</t>
        </is>
      </c>
      <c r="C9" t="inlineStr">
        <is>
          <t>2026-01-19 00:53:29</t>
        </is>
      </c>
      <c r="D9" t="inlineStr">
        <is>
          <t>4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229</v>
      </c>
      <c r="P9" t="n">
        <v>3.5</v>
      </c>
      <c r="Q9" t="n">
        <v>0</v>
      </c>
      <c r="R9" t="n">
        <v>68.7</v>
      </c>
      <c r="S9" t="n">
        <v>0</v>
      </c>
      <c r="T9" t="n">
        <v>0</v>
      </c>
      <c r="U9" t="n">
        <v>0</v>
      </c>
      <c r="V9" t="n">
        <v>8.19</v>
      </c>
      <c r="W9" t="n">
        <v>171.99</v>
      </c>
      <c r="X9" t="n">
        <v>163.8</v>
      </c>
      <c r="Y9" t="n">
        <v>19</v>
      </c>
      <c r="Z9" t="n">
        <v>31.12</v>
      </c>
      <c r="AA9" t="n">
        <v>3.16</v>
      </c>
      <c r="AB9" t="n">
        <v>34.28</v>
      </c>
      <c r="AC9" t="n">
        <v>6.17</v>
      </c>
      <c r="AD9" t="n">
        <v>0</v>
      </c>
      <c r="AE9" t="n">
        <v>163.8</v>
      </c>
      <c r="AF9" t="n">
        <v>0</v>
      </c>
      <c r="AG9" t="n">
        <v>0</v>
      </c>
      <c r="AH9" t="n">
        <v>0.16</v>
      </c>
      <c r="AI9" t="n">
        <v>8.199999999999999</v>
      </c>
      <c r="AJ9" t="n">
        <v>-0.01</v>
      </c>
      <c r="AK9" t="n">
        <v>14.53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48.81</v>
      </c>
      <c r="AV9" t="n">
        <v>0</v>
      </c>
      <c r="AW9" t="n">
        <v>123.18</v>
      </c>
      <c r="AX9" t="inlineStr">
        <is>
          <t>settled</t>
        </is>
      </c>
      <c r="AY9" t="inlineStr">
        <is>
          <t>2026-01-28 05:30:00</t>
        </is>
      </c>
      <c r="AZ9" t="inlineStr">
        <is>
          <t>CITIN26611504159</t>
        </is>
      </c>
      <c r="BA9" t="n">
        <v>0</v>
      </c>
      <c r="BB9" t="inlineStr">
        <is>
          <t>9989403b5ad9b8294ad860c86c8ac4425cf42a853dcea489dbec2bb9a90b65bf</t>
        </is>
      </c>
    </row>
    <row r="10">
      <c r="A10" t="inlineStr">
        <is>
          <t>5</t>
        </is>
      </c>
      <c r="B10" t="inlineStr">
        <is>
          <t>7706217206</t>
        </is>
      </c>
      <c r="C10" t="inlineStr">
        <is>
          <t>2026-01-19 00:57:26</t>
        </is>
      </c>
      <c r="D10" t="inlineStr">
        <is>
          <t>4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199</v>
      </c>
      <c r="P10" t="n">
        <v>3.5</v>
      </c>
      <c r="Q10" t="n">
        <v>0</v>
      </c>
      <c r="R10" t="n">
        <v>59.7</v>
      </c>
      <c r="S10" t="n">
        <v>0</v>
      </c>
      <c r="T10" t="n">
        <v>0</v>
      </c>
      <c r="U10" t="n">
        <v>0</v>
      </c>
      <c r="V10" t="n">
        <v>7.14</v>
      </c>
      <c r="W10" t="n">
        <v>149.94</v>
      </c>
      <c r="X10" t="n">
        <v>142.8</v>
      </c>
      <c r="Y10" t="n">
        <v>19</v>
      </c>
      <c r="Z10" t="n">
        <v>27.13</v>
      </c>
      <c r="AA10" t="n">
        <v>2.76</v>
      </c>
      <c r="AB10" t="n">
        <v>29.89</v>
      </c>
      <c r="AC10" t="n">
        <v>5.38</v>
      </c>
      <c r="AD10" t="n">
        <v>0</v>
      </c>
      <c r="AE10" t="n">
        <v>142.8</v>
      </c>
      <c r="AF10" t="n">
        <v>0</v>
      </c>
      <c r="AG10" t="n">
        <v>0</v>
      </c>
      <c r="AH10" t="n">
        <v>0.14</v>
      </c>
      <c r="AI10" t="n">
        <v>7.15</v>
      </c>
      <c r="AJ10" t="n">
        <v>-0.01</v>
      </c>
      <c r="AK10" t="n">
        <v>12.67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42.56</v>
      </c>
      <c r="AV10" t="n">
        <v>0</v>
      </c>
      <c r="AW10" t="n">
        <v>107.38</v>
      </c>
      <c r="AX10" t="inlineStr">
        <is>
          <t>settled</t>
        </is>
      </c>
      <c r="AY10" t="inlineStr">
        <is>
          <t>2026-01-28 05:30:00</t>
        </is>
      </c>
      <c r="AZ10" t="inlineStr">
        <is>
          <t>CITIN26611504159</t>
        </is>
      </c>
      <c r="BA10" t="n">
        <v>0</v>
      </c>
      <c r="BB10" t="inlineStr">
        <is>
          <t>93502df1d5955ac2a6a48250653cf30217150ceed7e588ff0d09e7e15d8dc2aa</t>
        </is>
      </c>
    </row>
    <row r="11">
      <c r="A11" t="inlineStr">
        <is>
          <t>6</t>
        </is>
      </c>
      <c r="B11" t="inlineStr">
        <is>
          <t>7695521364</t>
        </is>
      </c>
      <c r="C11" t="inlineStr">
        <is>
          <t>2026-01-19 00:58:11</t>
        </is>
      </c>
      <c r="D11" t="inlineStr">
        <is>
          <t>4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30% off upto ₹75 (2025-06-25 - 2031-01-01)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229</v>
      </c>
      <c r="P11" t="n">
        <v>3.5</v>
      </c>
      <c r="Q11" t="n">
        <v>0</v>
      </c>
      <c r="R11" t="n">
        <v>68.7</v>
      </c>
      <c r="S11" t="n">
        <v>0</v>
      </c>
      <c r="T11" t="n">
        <v>0</v>
      </c>
      <c r="U11" t="n">
        <v>0</v>
      </c>
      <c r="V11" t="n">
        <v>8.19</v>
      </c>
      <c r="W11" t="n">
        <v>171.99</v>
      </c>
      <c r="X11" t="n">
        <v>163.8</v>
      </c>
      <c r="Y11" t="n">
        <v>19</v>
      </c>
      <c r="Z11" t="n">
        <v>31.12</v>
      </c>
      <c r="AA11" t="n">
        <v>3.16</v>
      </c>
      <c r="AB11" t="n">
        <v>34.28</v>
      </c>
      <c r="AC11" t="n">
        <v>6.17</v>
      </c>
      <c r="AD11" t="n">
        <v>0</v>
      </c>
      <c r="AE11" t="n">
        <v>163.8</v>
      </c>
      <c r="AF11" t="n">
        <v>0</v>
      </c>
      <c r="AG11" t="n">
        <v>0</v>
      </c>
      <c r="AH11" t="n">
        <v>0.16</v>
      </c>
      <c r="AI11" t="n">
        <v>8.199999999999999</v>
      </c>
      <c r="AJ11" t="n">
        <v>-0.01</v>
      </c>
      <c r="AK11" t="n">
        <v>14.53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48.81</v>
      </c>
      <c r="AV11" t="n">
        <v>0</v>
      </c>
      <c r="AW11" t="n">
        <v>123.18</v>
      </c>
      <c r="AX11" t="inlineStr">
        <is>
          <t>settled</t>
        </is>
      </c>
      <c r="AY11" t="inlineStr">
        <is>
          <t>2026-01-28 05:30:00</t>
        </is>
      </c>
      <c r="AZ11" t="inlineStr">
        <is>
          <t>CITIN26611504159</t>
        </is>
      </c>
      <c r="BA11" t="n">
        <v>0</v>
      </c>
      <c r="BB11" t="inlineStr">
        <is>
          <t>e9f1308dc3b8d9f4e4edcdaec0039815027b6fe1ef9bd40e58c848ee1ee2e5e7</t>
        </is>
      </c>
    </row>
    <row r="12">
      <c r="A12" t="inlineStr">
        <is>
          <t>7</t>
        </is>
      </c>
      <c r="B12" t="inlineStr">
        <is>
          <t>7699481822</t>
        </is>
      </c>
      <c r="C12" t="inlineStr">
        <is>
          <t>2026-01-19 01:09:57</t>
        </is>
      </c>
      <c r="D12" t="inlineStr">
        <is>
          <t>4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30% off upto ₹75 (2025-06-25 - 2031-01-01)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229</v>
      </c>
      <c r="P12" t="n">
        <v>3.5</v>
      </c>
      <c r="Q12" t="n">
        <v>0</v>
      </c>
      <c r="R12" t="n">
        <v>68.7</v>
      </c>
      <c r="S12" t="n">
        <v>0</v>
      </c>
      <c r="T12" t="n">
        <v>0</v>
      </c>
      <c r="U12" t="n">
        <v>0</v>
      </c>
      <c r="V12" t="n">
        <v>8.19</v>
      </c>
      <c r="W12" t="n">
        <v>171.99</v>
      </c>
      <c r="X12" t="n">
        <v>163.8</v>
      </c>
      <c r="Y12" t="n">
        <v>19</v>
      </c>
      <c r="Z12" t="n">
        <v>31.12</v>
      </c>
      <c r="AA12" t="n">
        <v>3.16</v>
      </c>
      <c r="AB12" t="n">
        <v>34.28</v>
      </c>
      <c r="AC12" t="n">
        <v>6.17</v>
      </c>
      <c r="AD12" t="n">
        <v>0</v>
      </c>
      <c r="AE12" t="n">
        <v>163.8</v>
      </c>
      <c r="AF12" t="n">
        <v>0</v>
      </c>
      <c r="AG12" t="n">
        <v>0</v>
      </c>
      <c r="AH12" t="n">
        <v>0.16</v>
      </c>
      <c r="AI12" t="n">
        <v>8.199999999999999</v>
      </c>
      <c r="AJ12" t="n">
        <v>-0.01</v>
      </c>
      <c r="AK12" t="n">
        <v>14.53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48.81</v>
      </c>
      <c r="AV12" t="n">
        <v>0</v>
      </c>
      <c r="AW12" t="n">
        <v>123.18</v>
      </c>
      <c r="AX12" t="inlineStr">
        <is>
          <t>settled</t>
        </is>
      </c>
      <c r="AY12" t="inlineStr">
        <is>
          <t>2026-01-28 05:30:00</t>
        </is>
      </c>
      <c r="AZ12" t="inlineStr">
        <is>
          <t>CITIN26611504159</t>
        </is>
      </c>
      <c r="BA12" t="n">
        <v>0</v>
      </c>
      <c r="BB12" t="inlineStr">
        <is>
          <t>218632630ad9fc43ae206c2932d5bf7ccd42ed4de1d3e430540e219cc9b72fc3</t>
        </is>
      </c>
    </row>
    <row r="13">
      <c r="A13" t="inlineStr">
        <is>
          <t>8</t>
        </is>
      </c>
      <c r="B13" t="inlineStr">
        <is>
          <t>7705411968</t>
        </is>
      </c>
      <c r="C13" t="inlineStr">
        <is>
          <t>2026-01-19 01:59:19</t>
        </is>
      </c>
      <c r="D13" t="inlineStr">
        <is>
          <t>4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378</v>
      </c>
      <c r="P13" t="n">
        <v>3.5</v>
      </c>
      <c r="Q13" t="n">
        <v>0</v>
      </c>
      <c r="R13" t="n">
        <v>75</v>
      </c>
      <c r="S13" t="n">
        <v>0</v>
      </c>
      <c r="T13" t="n">
        <v>0</v>
      </c>
      <c r="U13" t="n">
        <v>0</v>
      </c>
      <c r="V13" t="n">
        <v>15.33</v>
      </c>
      <c r="W13" t="n">
        <v>321.83</v>
      </c>
      <c r="X13" t="n">
        <v>306.5</v>
      </c>
      <c r="Y13" t="n">
        <v>19</v>
      </c>
      <c r="Z13" t="n">
        <v>58.24</v>
      </c>
      <c r="AA13" t="n">
        <v>5.92</v>
      </c>
      <c r="AB13" t="n">
        <v>64.16</v>
      </c>
      <c r="AC13" t="n">
        <v>11.55</v>
      </c>
      <c r="AD13" t="n">
        <v>0</v>
      </c>
      <c r="AE13" t="n">
        <v>306.5</v>
      </c>
      <c r="AF13" t="n">
        <v>0</v>
      </c>
      <c r="AG13" t="n">
        <v>0</v>
      </c>
      <c r="AH13" t="n">
        <v>0.31</v>
      </c>
      <c r="AI13" t="n">
        <v>15.33</v>
      </c>
      <c r="AJ13" t="n">
        <v>0</v>
      </c>
      <c r="AK13" t="n">
        <v>27.19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91.34999999999999</v>
      </c>
      <c r="AV13" t="n">
        <v>0</v>
      </c>
      <c r="AW13" t="n">
        <v>230.48</v>
      </c>
      <c r="AX13" t="inlineStr">
        <is>
          <t>settled</t>
        </is>
      </c>
      <c r="AY13" t="inlineStr">
        <is>
          <t>2026-01-28 05:30:00</t>
        </is>
      </c>
      <c r="AZ13" t="inlineStr">
        <is>
          <t>CITIN26611504159</t>
        </is>
      </c>
      <c r="BA13" t="n">
        <v>0</v>
      </c>
      <c r="BB13" t="inlineStr">
        <is>
          <t>80491ba6d013c1b6704e5ad10d28208c5342b75af01d97ba71866631fcf1847c</t>
        </is>
      </c>
    </row>
    <row r="14">
      <c r="A14" t="inlineStr">
        <is>
          <t>9</t>
        </is>
      </c>
      <c r="B14" t="inlineStr">
        <is>
          <t>7706899116</t>
        </is>
      </c>
      <c r="C14" t="inlineStr">
        <is>
          <t>2026-01-19 02:00:56</t>
        </is>
      </c>
      <c r="D14" t="inlineStr">
        <is>
          <t>4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2026-01-28 05:30:00</t>
        </is>
      </c>
      <c r="AZ14" t="inlineStr">
        <is>
          <t>CITIN26611504159</t>
        </is>
      </c>
      <c r="BA14" t="n">
        <v>0</v>
      </c>
      <c r="BB14" t="inlineStr">
        <is>
          <t>76bb045e785781805dca5e3b9f3dc9ea70fcec46395d95a272d4c932072433ff</t>
        </is>
      </c>
    </row>
    <row r="15">
      <c r="A15" t="inlineStr">
        <is>
          <t>10</t>
        </is>
      </c>
      <c r="B15" t="inlineStr">
        <is>
          <t>7686438077</t>
        </is>
      </c>
      <c r="C15" t="inlineStr">
        <is>
          <t>2026-01-19 02:11:19</t>
        </is>
      </c>
      <c r="D15" t="inlineStr">
        <is>
          <t>4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30% off upto ₹75 (2025-06-25 - 2031-01-01)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448</v>
      </c>
      <c r="P15" t="n">
        <v>3.5</v>
      </c>
      <c r="Q15" t="n">
        <v>0</v>
      </c>
      <c r="R15" t="n">
        <v>75</v>
      </c>
      <c r="S15" t="n">
        <v>0</v>
      </c>
      <c r="T15" t="n">
        <v>0</v>
      </c>
      <c r="U15" t="n">
        <v>0</v>
      </c>
      <c r="V15" t="n">
        <v>18.83</v>
      </c>
      <c r="W15" t="n">
        <v>395.33</v>
      </c>
      <c r="X15" t="n">
        <v>376.5</v>
      </c>
      <c r="Y15" t="n">
        <v>19</v>
      </c>
      <c r="Z15" t="n">
        <v>71.54000000000001</v>
      </c>
      <c r="AA15" t="n">
        <v>7.27</v>
      </c>
      <c r="AB15" t="n">
        <v>78.81</v>
      </c>
      <c r="AC15" t="n">
        <v>14.19</v>
      </c>
      <c r="AD15" t="n">
        <v>0</v>
      </c>
      <c r="AE15" t="n">
        <v>376.5</v>
      </c>
      <c r="AF15" t="n">
        <v>0</v>
      </c>
      <c r="AG15" t="n">
        <v>0</v>
      </c>
      <c r="AH15" t="n">
        <v>0.38</v>
      </c>
      <c r="AI15" t="n">
        <v>18.83</v>
      </c>
      <c r="AJ15" t="n">
        <v>0</v>
      </c>
      <c r="AK15" t="n">
        <v>33.4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112.21</v>
      </c>
      <c r="AV15" t="n">
        <v>0</v>
      </c>
      <c r="AW15" t="n">
        <v>283.12</v>
      </c>
      <c r="AX15" t="inlineStr">
        <is>
          <t>settled</t>
        </is>
      </c>
      <c r="AY15" t="inlineStr">
        <is>
          <t>2026-01-28 05:30:00</t>
        </is>
      </c>
      <c r="AZ15" t="inlineStr">
        <is>
          <t>CITIN26611504159</t>
        </is>
      </c>
      <c r="BA15" t="n">
        <v>0</v>
      </c>
      <c r="BB15" t="inlineStr">
        <is>
          <t>1ca68c5caf59219743e7e88ab76743042b17bad30721a64ed25512ae5d84cb89</t>
        </is>
      </c>
    </row>
    <row r="16">
      <c r="A16" t="inlineStr">
        <is>
          <t>11</t>
        </is>
      </c>
      <c r="B16" t="inlineStr">
        <is>
          <t>7707085225</t>
        </is>
      </c>
      <c r="C16" t="inlineStr">
        <is>
          <t>2026-01-19 03:08:14</t>
        </is>
      </c>
      <c r="D16" t="inlineStr">
        <is>
          <t>4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384</v>
      </c>
      <c r="P16" t="n">
        <v>3.5</v>
      </c>
      <c r="Q16" t="n">
        <v>0</v>
      </c>
      <c r="R16" t="n">
        <v>75</v>
      </c>
      <c r="S16" t="n">
        <v>0</v>
      </c>
      <c r="T16" t="n">
        <v>0</v>
      </c>
      <c r="U16" t="n">
        <v>0</v>
      </c>
      <c r="V16" t="n">
        <v>15.63</v>
      </c>
      <c r="W16" t="n">
        <v>328.13</v>
      </c>
      <c r="X16" t="n">
        <v>312.5</v>
      </c>
      <c r="Y16" t="n">
        <v>19</v>
      </c>
      <c r="Z16" t="n">
        <v>59.38</v>
      </c>
      <c r="AA16" t="n">
        <v>6.04</v>
      </c>
      <c r="AB16" t="n">
        <v>65.42</v>
      </c>
      <c r="AC16" t="n">
        <v>11.78</v>
      </c>
      <c r="AD16" t="n">
        <v>0</v>
      </c>
      <c r="AE16" t="n">
        <v>312.5</v>
      </c>
      <c r="AF16" t="n">
        <v>0</v>
      </c>
      <c r="AG16" t="n">
        <v>0</v>
      </c>
      <c r="AH16" t="n">
        <v>0.31</v>
      </c>
      <c r="AI16" t="n">
        <v>15.63</v>
      </c>
      <c r="AJ16" t="n">
        <v>0</v>
      </c>
      <c r="AK16" t="n">
        <v>27.72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93.14</v>
      </c>
      <c r="AV16" t="n">
        <v>0</v>
      </c>
      <c r="AW16" t="n">
        <v>234.99</v>
      </c>
      <c r="AX16" t="inlineStr">
        <is>
          <t>settled</t>
        </is>
      </c>
      <c r="AY16" t="inlineStr">
        <is>
          <t>2026-01-28 05:30:00</t>
        </is>
      </c>
      <c r="AZ16" t="inlineStr">
        <is>
          <t>CITIN26611504159</t>
        </is>
      </c>
      <c r="BA16" t="n">
        <v>0</v>
      </c>
      <c r="BB16" t="inlineStr">
        <is>
          <t>9345cc543ba5227e454a0d83606484643ec88122a41e578ddb521c4dd0fc491f</t>
        </is>
      </c>
    </row>
    <row r="17">
      <c r="A17" t="inlineStr">
        <is>
          <t>12</t>
        </is>
      </c>
      <c r="B17" t="inlineStr">
        <is>
          <t>7704141791</t>
        </is>
      </c>
      <c r="C17" t="inlineStr">
        <is>
          <t>2026-01-19 03:39:54</t>
        </is>
      </c>
      <c r="D17" t="inlineStr">
        <is>
          <t>4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657</v>
      </c>
      <c r="P17" t="n">
        <v>3.5</v>
      </c>
      <c r="Q17" t="n">
        <v>0</v>
      </c>
      <c r="R17" t="n">
        <v>75</v>
      </c>
      <c r="S17" t="n">
        <v>0</v>
      </c>
      <c r="T17" t="n">
        <v>0</v>
      </c>
      <c r="U17" t="n">
        <v>0</v>
      </c>
      <c r="V17" t="n">
        <v>29.28</v>
      </c>
      <c r="W17" t="n">
        <v>614.78</v>
      </c>
      <c r="X17" t="n">
        <v>585.5</v>
      </c>
      <c r="Y17" t="n">
        <v>19</v>
      </c>
      <c r="Z17" t="n">
        <v>111.24</v>
      </c>
      <c r="AA17" t="n">
        <v>11.31</v>
      </c>
      <c r="AB17" t="n">
        <v>122.55</v>
      </c>
      <c r="AC17" t="n">
        <v>22.06</v>
      </c>
      <c r="AD17" t="n">
        <v>0</v>
      </c>
      <c r="AE17" t="n">
        <v>585.5</v>
      </c>
      <c r="AF17" t="n">
        <v>0</v>
      </c>
      <c r="AG17" t="n">
        <v>0</v>
      </c>
      <c r="AH17" t="n">
        <v>0.59</v>
      </c>
      <c r="AI17" t="n">
        <v>29.28</v>
      </c>
      <c r="AJ17" t="n">
        <v>0</v>
      </c>
      <c r="AK17" t="n">
        <v>51.93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174.48</v>
      </c>
      <c r="AV17" t="n">
        <v>0</v>
      </c>
      <c r="AW17" t="n">
        <v>440.3</v>
      </c>
      <c r="AX17" t="inlineStr">
        <is>
          <t>settled</t>
        </is>
      </c>
      <c r="AY17" t="inlineStr">
        <is>
          <t>2026-01-28 05:30:00</t>
        </is>
      </c>
      <c r="AZ17" t="inlineStr">
        <is>
          <t>CITIN26611504159</t>
        </is>
      </c>
      <c r="BA17" t="n">
        <v>0</v>
      </c>
      <c r="BB17" t="inlineStr">
        <is>
          <t>0498a2bbef5198ca50bc9735efdc1bc310bc9d5a9f704bd76e209f3c2dd083ad</t>
        </is>
      </c>
    </row>
    <row r="18">
      <c r="A18" t="inlineStr">
        <is>
          <t>13</t>
        </is>
      </c>
      <c r="B18" t="inlineStr">
        <is>
          <t>7706219690</t>
        </is>
      </c>
      <c r="C18" t="inlineStr">
        <is>
          <t>2026-01-19 03:58:54</t>
        </is>
      </c>
      <c r="D18" t="inlineStr">
        <is>
          <t>4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229</v>
      </c>
      <c r="P18" t="n">
        <v>3.5</v>
      </c>
      <c r="Q18" t="n">
        <v>0</v>
      </c>
      <c r="R18" t="n">
        <v>68.7</v>
      </c>
      <c r="S18" t="n">
        <v>0</v>
      </c>
      <c r="T18" t="n">
        <v>0</v>
      </c>
      <c r="U18" t="n">
        <v>0</v>
      </c>
      <c r="V18" t="n">
        <v>8.19</v>
      </c>
      <c r="W18" t="n">
        <v>171.99</v>
      </c>
      <c r="X18" t="n">
        <v>163.8</v>
      </c>
      <c r="Y18" t="n">
        <v>19</v>
      </c>
      <c r="Z18" t="n">
        <v>31.12</v>
      </c>
      <c r="AA18" t="n">
        <v>3.16</v>
      </c>
      <c r="AB18" t="n">
        <v>34.28</v>
      </c>
      <c r="AC18" t="n">
        <v>6.17</v>
      </c>
      <c r="AD18" t="n">
        <v>0</v>
      </c>
      <c r="AE18" t="n">
        <v>163.8</v>
      </c>
      <c r="AF18" t="n">
        <v>0</v>
      </c>
      <c r="AG18" t="n">
        <v>0</v>
      </c>
      <c r="AH18" t="n">
        <v>0.16</v>
      </c>
      <c r="AI18" t="n">
        <v>8.199999999999999</v>
      </c>
      <c r="AJ18" t="n">
        <v>-0.01</v>
      </c>
      <c r="AK18" t="n">
        <v>14.53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48.81</v>
      </c>
      <c r="AV18" t="n">
        <v>0</v>
      </c>
      <c r="AW18" t="n">
        <v>123.18</v>
      </c>
      <c r="AX18" t="inlineStr">
        <is>
          <t>settled</t>
        </is>
      </c>
      <c r="AY18" t="inlineStr">
        <is>
          <t>2026-01-28 05:30:00</t>
        </is>
      </c>
      <c r="AZ18" t="inlineStr">
        <is>
          <t>CITIN26611504159</t>
        </is>
      </c>
      <c r="BA18" t="n">
        <v>0</v>
      </c>
      <c r="BB18" t="inlineStr">
        <is>
          <t>5aa6d797b19c91f21e27cb63882476ed8cdc122c4754a8ab21da931c0c490cc4</t>
        </is>
      </c>
    </row>
    <row r="19">
      <c r="A19" t="inlineStr">
        <is>
          <t>14</t>
        </is>
      </c>
      <c r="B19" t="inlineStr">
        <is>
          <t>7703289118</t>
        </is>
      </c>
      <c r="C19" t="inlineStr">
        <is>
          <t>2026-01-19 04:19:44</t>
        </is>
      </c>
      <c r="D19" t="inlineStr">
        <is>
          <t>4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229</v>
      </c>
      <c r="P19" t="n">
        <v>3.5</v>
      </c>
      <c r="Q19" t="n">
        <v>0</v>
      </c>
      <c r="R19" t="n">
        <v>68.7</v>
      </c>
      <c r="S19" t="n">
        <v>0</v>
      </c>
      <c r="T19" t="n">
        <v>0</v>
      </c>
      <c r="U19" t="n">
        <v>0</v>
      </c>
      <c r="V19" t="n">
        <v>8.19</v>
      </c>
      <c r="W19" t="n">
        <v>171.99</v>
      </c>
      <c r="X19" t="n">
        <v>163.8</v>
      </c>
      <c r="Y19" t="n">
        <v>19</v>
      </c>
      <c r="Z19" t="n">
        <v>31.12</v>
      </c>
      <c r="AA19" t="n">
        <v>3.16</v>
      </c>
      <c r="AB19" t="n">
        <v>34.28</v>
      </c>
      <c r="AC19" t="n">
        <v>6.17</v>
      </c>
      <c r="AD19" t="n">
        <v>0</v>
      </c>
      <c r="AE19" t="n">
        <v>163.8</v>
      </c>
      <c r="AF19" t="n">
        <v>0</v>
      </c>
      <c r="AG19" t="n">
        <v>0</v>
      </c>
      <c r="AH19" t="n">
        <v>0.16</v>
      </c>
      <c r="AI19" t="n">
        <v>8.199999999999999</v>
      </c>
      <c r="AJ19" t="n">
        <v>-0.01</v>
      </c>
      <c r="AK19" t="n">
        <v>14.53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48.81</v>
      </c>
      <c r="AV19" t="n">
        <v>0</v>
      </c>
      <c r="AW19" t="n">
        <v>123.18</v>
      </c>
      <c r="AX19" t="inlineStr">
        <is>
          <t>settled</t>
        </is>
      </c>
      <c r="AY19" t="inlineStr">
        <is>
          <t>2026-01-28 05:30:00</t>
        </is>
      </c>
      <c r="AZ19" t="inlineStr">
        <is>
          <t>CITIN26611504159</t>
        </is>
      </c>
      <c r="BA19" t="n">
        <v>0</v>
      </c>
      <c r="BB19" t="inlineStr">
        <is>
          <t>c7237325469985d956005359d2eb7a6a258e167c6928bcf24f788a08a2abe612</t>
        </is>
      </c>
    </row>
    <row r="20">
      <c r="A20" t="inlineStr">
        <is>
          <t>15</t>
        </is>
      </c>
      <c r="B20" t="inlineStr">
        <is>
          <t>7706323710</t>
        </is>
      </c>
      <c r="C20" t="inlineStr">
        <is>
          <t>2026-01-19 04:36:24</t>
        </is>
      </c>
      <c r="D20" t="inlineStr">
        <is>
          <t>4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NA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229</v>
      </c>
      <c r="P20" t="n">
        <v>3.5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11.63</v>
      </c>
      <c r="W20" t="n">
        <v>244.13</v>
      </c>
      <c r="X20" t="n">
        <v>232.5</v>
      </c>
      <c r="Y20" t="n">
        <v>19</v>
      </c>
      <c r="Z20" t="n">
        <v>44.18</v>
      </c>
      <c r="AA20" t="n">
        <v>4.49</v>
      </c>
      <c r="AB20" t="n">
        <v>48.67</v>
      </c>
      <c r="AC20" t="n">
        <v>8.76</v>
      </c>
      <c r="AD20" t="n">
        <v>0</v>
      </c>
      <c r="AE20" t="n">
        <v>232.5</v>
      </c>
      <c r="AF20" t="n">
        <v>0</v>
      </c>
      <c r="AG20" t="n">
        <v>0</v>
      </c>
      <c r="AH20" t="n">
        <v>0.23</v>
      </c>
      <c r="AI20" t="n">
        <v>11.63</v>
      </c>
      <c r="AJ20" t="n">
        <v>0</v>
      </c>
      <c r="AK20" t="n">
        <v>20.62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69.29000000000001</v>
      </c>
      <c r="AV20" t="n">
        <v>0</v>
      </c>
      <c r="AW20" t="n">
        <v>174.84</v>
      </c>
      <c r="AX20" t="inlineStr">
        <is>
          <t>settled</t>
        </is>
      </c>
      <c r="AY20" t="inlineStr">
        <is>
          <t>2026-01-28 05:30:00</t>
        </is>
      </c>
      <c r="AZ20" t="inlineStr">
        <is>
          <t>CITIN26611504159</t>
        </is>
      </c>
      <c r="BA20" t="n">
        <v>0</v>
      </c>
      <c r="BB20" t="inlineStr">
        <is>
          <t>65b49994e85f17b2611ac6f207132ed2414b6c72da6b7af385224bcfb97f97cd</t>
        </is>
      </c>
    </row>
    <row r="21">
      <c r="A21" t="inlineStr">
        <is>
          <t>16</t>
        </is>
      </c>
      <c r="B21" t="inlineStr">
        <is>
          <t>7702142459</t>
        </is>
      </c>
      <c r="C21" t="inlineStr">
        <is>
          <t>2026-01-19 12:02:08</t>
        </is>
      </c>
      <c r="D21" t="inlineStr">
        <is>
          <t>4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30% off upto ₹75 (2025-06-25 - 2031-01-01)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219</v>
      </c>
      <c r="P21" t="n">
        <v>3.5</v>
      </c>
      <c r="Q21" t="n">
        <v>0</v>
      </c>
      <c r="R21" t="n">
        <v>65.7</v>
      </c>
      <c r="S21" t="n">
        <v>0</v>
      </c>
      <c r="T21" t="n">
        <v>0</v>
      </c>
      <c r="U21" t="n">
        <v>0</v>
      </c>
      <c r="V21" t="n">
        <v>7.84</v>
      </c>
      <c r="W21" t="n">
        <v>164.64</v>
      </c>
      <c r="X21" t="n">
        <v>156.8</v>
      </c>
      <c r="Y21" t="n">
        <v>19</v>
      </c>
      <c r="Z21" t="n">
        <v>29.79</v>
      </c>
      <c r="AA21" t="n">
        <v>3.03</v>
      </c>
      <c r="AB21" t="n">
        <v>32.82</v>
      </c>
      <c r="AC21" t="n">
        <v>5.91</v>
      </c>
      <c r="AD21" t="n">
        <v>0</v>
      </c>
      <c r="AE21" t="n">
        <v>156.8</v>
      </c>
      <c r="AF21" t="n">
        <v>0</v>
      </c>
      <c r="AG21" t="n">
        <v>0</v>
      </c>
      <c r="AH21" t="n">
        <v>0.16</v>
      </c>
      <c r="AI21" t="n">
        <v>7.85</v>
      </c>
      <c r="AJ21" t="n">
        <v>-0.01</v>
      </c>
      <c r="AK21" t="n">
        <v>13.92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46.74</v>
      </c>
      <c r="AV21" t="n">
        <v>0</v>
      </c>
      <c r="AW21" t="n">
        <v>117.9</v>
      </c>
      <c r="AX21" t="inlineStr">
        <is>
          <t>settled</t>
        </is>
      </c>
      <c r="AY21" t="inlineStr">
        <is>
          <t>2026-01-28 05:30:00</t>
        </is>
      </c>
      <c r="AZ21" t="inlineStr">
        <is>
          <t>CITIN26611504159</t>
        </is>
      </c>
      <c r="BA21" t="n">
        <v>0</v>
      </c>
      <c r="BB21" t="inlineStr">
        <is>
          <t>daa04af0cebcab8848a2d816fdd79038b7e181e971f49fe06756355fb97e1cc4</t>
        </is>
      </c>
    </row>
    <row r="22">
      <c r="A22" t="inlineStr">
        <is>
          <t>17</t>
        </is>
      </c>
      <c r="B22" t="inlineStr">
        <is>
          <t>7704139277</t>
        </is>
      </c>
      <c r="C22" t="inlineStr">
        <is>
          <t>2026-01-19 12:32:49</t>
        </is>
      </c>
      <c r="D22" t="inlineStr">
        <is>
          <t>4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229</v>
      </c>
      <c r="P22" t="n">
        <v>3.5</v>
      </c>
      <c r="Q22" t="n">
        <v>0</v>
      </c>
      <c r="R22" t="n">
        <v>68.7</v>
      </c>
      <c r="S22" t="n">
        <v>0</v>
      </c>
      <c r="T22" t="n">
        <v>0</v>
      </c>
      <c r="U22" t="n">
        <v>0</v>
      </c>
      <c r="V22" t="n">
        <v>8.19</v>
      </c>
      <c r="W22" t="n">
        <v>171.99</v>
      </c>
      <c r="X22" t="n">
        <v>163.8</v>
      </c>
      <c r="Y22" t="n">
        <v>19</v>
      </c>
      <c r="Z22" t="n">
        <v>31.12</v>
      </c>
      <c r="AA22" t="n">
        <v>3.16</v>
      </c>
      <c r="AB22" t="n">
        <v>34.28</v>
      </c>
      <c r="AC22" t="n">
        <v>6.17</v>
      </c>
      <c r="AD22" t="n">
        <v>0</v>
      </c>
      <c r="AE22" t="n">
        <v>163.8</v>
      </c>
      <c r="AF22" t="n">
        <v>0</v>
      </c>
      <c r="AG22" t="n">
        <v>0</v>
      </c>
      <c r="AH22" t="n">
        <v>0.16</v>
      </c>
      <c r="AI22" t="n">
        <v>8.199999999999999</v>
      </c>
      <c r="AJ22" t="n">
        <v>-0.01</v>
      </c>
      <c r="AK22" t="n">
        <v>14.53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48.81</v>
      </c>
      <c r="AV22" t="n">
        <v>0</v>
      </c>
      <c r="AW22" t="n">
        <v>123.18</v>
      </c>
      <c r="AX22" t="inlineStr">
        <is>
          <t>settled</t>
        </is>
      </c>
      <c r="AY22" t="inlineStr">
        <is>
          <t>2026-01-28 05:30:00</t>
        </is>
      </c>
      <c r="AZ22" t="inlineStr">
        <is>
          <t>CITIN26611504159</t>
        </is>
      </c>
      <c r="BA22" t="n">
        <v>0</v>
      </c>
      <c r="BB22" t="inlineStr">
        <is>
          <t>0aaa66a78698618b6e27dfb4cb880221b75c17d4a83886449f40e9d2f59129d1</t>
        </is>
      </c>
    </row>
    <row r="23">
      <c r="A23" t="inlineStr">
        <is>
          <t>18</t>
        </is>
      </c>
      <c r="B23" t="inlineStr">
        <is>
          <t>7704941942</t>
        </is>
      </c>
      <c r="C23" t="inlineStr">
        <is>
          <t>2026-01-19 13:38:32</t>
        </is>
      </c>
      <c r="D23" t="inlineStr">
        <is>
          <t>4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229</v>
      </c>
      <c r="P23" t="n">
        <v>3.5</v>
      </c>
      <c r="Q23" t="n">
        <v>0</v>
      </c>
      <c r="R23" t="n">
        <v>68.7</v>
      </c>
      <c r="S23" t="n">
        <v>0</v>
      </c>
      <c r="T23" t="n">
        <v>0</v>
      </c>
      <c r="U23" t="n">
        <v>0</v>
      </c>
      <c r="V23" t="n">
        <v>8.19</v>
      </c>
      <c r="W23" t="n">
        <v>171.99</v>
      </c>
      <c r="X23" t="n">
        <v>163.8</v>
      </c>
      <c r="Y23" t="n">
        <v>19</v>
      </c>
      <c r="Z23" t="n">
        <v>31.12</v>
      </c>
      <c r="AA23" t="n">
        <v>3.16</v>
      </c>
      <c r="AB23" t="n">
        <v>34.28</v>
      </c>
      <c r="AC23" t="n">
        <v>6.17</v>
      </c>
      <c r="AD23" t="n">
        <v>0</v>
      </c>
      <c r="AE23" t="n">
        <v>163.8</v>
      </c>
      <c r="AF23" t="n">
        <v>0</v>
      </c>
      <c r="AG23" t="n">
        <v>0</v>
      </c>
      <c r="AH23" t="n">
        <v>0.16</v>
      </c>
      <c r="AI23" t="n">
        <v>8.199999999999999</v>
      </c>
      <c r="AJ23" t="n">
        <v>-0.01</v>
      </c>
      <c r="AK23" t="n">
        <v>14.53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48.81</v>
      </c>
      <c r="AV23" t="n">
        <v>0</v>
      </c>
      <c r="AW23" t="n">
        <v>123.18</v>
      </c>
      <c r="AX23" t="inlineStr">
        <is>
          <t>settled</t>
        </is>
      </c>
      <c r="AY23" t="inlineStr">
        <is>
          <t>2026-01-28 05:30:00</t>
        </is>
      </c>
      <c r="AZ23" t="inlineStr">
        <is>
          <t>CITIN26611504159</t>
        </is>
      </c>
      <c r="BA23" t="n">
        <v>0</v>
      </c>
      <c r="BB23" t="inlineStr">
        <is>
          <t>86571aee00767136d2e8e605f335d0ab315c3d6bbc8f107cf3b37694d5e0ff2b</t>
        </is>
      </c>
    </row>
    <row r="24">
      <c r="A24" t="inlineStr">
        <is>
          <t>19</t>
        </is>
      </c>
      <c r="B24" t="inlineStr">
        <is>
          <t>7705732510</t>
        </is>
      </c>
      <c r="C24" t="inlineStr">
        <is>
          <t>2026-01-19 13:49:44</t>
        </is>
      </c>
      <c r="D24" t="inlineStr">
        <is>
          <t>4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NA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229</v>
      </c>
      <c r="P24" t="n">
        <v>3.5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11.63</v>
      </c>
      <c r="W24" t="n">
        <v>244.13</v>
      </c>
      <c r="X24" t="n">
        <v>232.5</v>
      </c>
      <c r="Y24" t="n">
        <v>19</v>
      </c>
      <c r="Z24" t="n">
        <v>44.18</v>
      </c>
      <c r="AA24" t="n">
        <v>4.49</v>
      </c>
      <c r="AB24" t="n">
        <v>48.67</v>
      </c>
      <c r="AC24" t="n">
        <v>8.76</v>
      </c>
      <c r="AD24" t="n">
        <v>0</v>
      </c>
      <c r="AE24" t="n">
        <v>232.5</v>
      </c>
      <c r="AF24" t="n">
        <v>0</v>
      </c>
      <c r="AG24" t="n">
        <v>0</v>
      </c>
      <c r="AH24" t="n">
        <v>0.23</v>
      </c>
      <c r="AI24" t="n">
        <v>11.63</v>
      </c>
      <c r="AJ24" t="n">
        <v>0</v>
      </c>
      <c r="AK24" t="n">
        <v>20.62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69.29000000000001</v>
      </c>
      <c r="AV24" t="n">
        <v>0</v>
      </c>
      <c r="AW24" t="n">
        <v>174.84</v>
      </c>
      <c r="AX24" t="inlineStr">
        <is>
          <t>settled</t>
        </is>
      </c>
      <c r="AY24" t="inlineStr">
        <is>
          <t>2026-01-28 05:30:00</t>
        </is>
      </c>
      <c r="AZ24" t="inlineStr">
        <is>
          <t>CITIN26611504159</t>
        </is>
      </c>
      <c r="BA24" t="n">
        <v>0</v>
      </c>
      <c r="BB24" t="inlineStr">
        <is>
          <t>fc7fe0d2720da54710f57584040de4c82d8f0a2f07777505a424a321fd7426c8</t>
        </is>
      </c>
    </row>
    <row r="25">
      <c r="A25" t="inlineStr">
        <is>
          <t>20</t>
        </is>
      </c>
      <c r="B25" t="inlineStr">
        <is>
          <t>7705487372</t>
        </is>
      </c>
      <c r="C25" t="inlineStr">
        <is>
          <t>2026-01-19 15:11:35</t>
        </is>
      </c>
      <c r="D25" t="inlineStr">
        <is>
          <t>4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30% off upto ₹75 (2025-06-25 - 2031-01-01)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229</v>
      </c>
      <c r="P25" t="n">
        <v>3.5</v>
      </c>
      <c r="Q25" t="n">
        <v>0</v>
      </c>
      <c r="R25" t="n">
        <v>68.7</v>
      </c>
      <c r="S25" t="n">
        <v>0</v>
      </c>
      <c r="T25" t="n">
        <v>0</v>
      </c>
      <c r="U25" t="n">
        <v>0</v>
      </c>
      <c r="V25" t="n">
        <v>8.19</v>
      </c>
      <c r="W25" t="n">
        <v>171.99</v>
      </c>
      <c r="X25" t="n">
        <v>163.8</v>
      </c>
      <c r="Y25" t="n">
        <v>19</v>
      </c>
      <c r="Z25" t="n">
        <v>31.12</v>
      </c>
      <c r="AA25" t="n">
        <v>3.16</v>
      </c>
      <c r="AB25" t="n">
        <v>34.28</v>
      </c>
      <c r="AC25" t="n">
        <v>6.17</v>
      </c>
      <c r="AD25" t="n">
        <v>0</v>
      </c>
      <c r="AE25" t="n">
        <v>163.8</v>
      </c>
      <c r="AF25" t="n">
        <v>0</v>
      </c>
      <c r="AG25" t="n">
        <v>0</v>
      </c>
      <c r="AH25" t="n">
        <v>0.16</v>
      </c>
      <c r="AI25" t="n">
        <v>8.199999999999999</v>
      </c>
      <c r="AJ25" t="n">
        <v>-0.01</v>
      </c>
      <c r="AK25" t="n">
        <v>14.53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48.81</v>
      </c>
      <c r="AV25" t="n">
        <v>0</v>
      </c>
      <c r="AW25" t="n">
        <v>123.18</v>
      </c>
      <c r="AX25" t="inlineStr">
        <is>
          <t>settled</t>
        </is>
      </c>
      <c r="AY25" t="inlineStr">
        <is>
          <t>2026-01-28 05:30:00</t>
        </is>
      </c>
      <c r="AZ25" t="inlineStr">
        <is>
          <t>CITIN26611504159</t>
        </is>
      </c>
      <c r="BA25" t="n">
        <v>0</v>
      </c>
      <c r="BB25" t="inlineStr">
        <is>
          <t>becf0a1117b8a596e001acbcf9bb8a4751c6ed96f002e883dbbc4d3dbf51fbdc</t>
        </is>
      </c>
    </row>
    <row r="26">
      <c r="A26" t="inlineStr">
        <is>
          <t>21</t>
        </is>
      </c>
      <c r="B26" t="inlineStr">
        <is>
          <t>7701675726</t>
        </is>
      </c>
      <c r="C26" t="inlineStr">
        <is>
          <t>2026-01-19 16:30:19</t>
        </is>
      </c>
      <c r="D26" t="inlineStr">
        <is>
          <t>4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NA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229</v>
      </c>
      <c r="P26" t="n">
        <v>3.5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11.63</v>
      </c>
      <c r="W26" t="n">
        <v>244.13</v>
      </c>
      <c r="X26" t="n">
        <v>232.5</v>
      </c>
      <c r="Y26" t="n">
        <v>19</v>
      </c>
      <c r="Z26" t="n">
        <v>44.18</v>
      </c>
      <c r="AA26" t="n">
        <v>4.49</v>
      </c>
      <c r="AB26" t="n">
        <v>48.67</v>
      </c>
      <c r="AC26" t="n">
        <v>8.76</v>
      </c>
      <c r="AD26" t="n">
        <v>0</v>
      </c>
      <c r="AE26" t="n">
        <v>232.5</v>
      </c>
      <c r="AF26" t="n">
        <v>0</v>
      </c>
      <c r="AG26" t="n">
        <v>0</v>
      </c>
      <c r="AH26" t="n">
        <v>0.23</v>
      </c>
      <c r="AI26" t="n">
        <v>11.63</v>
      </c>
      <c r="AJ26" t="n">
        <v>0</v>
      </c>
      <c r="AK26" t="n">
        <v>20.62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69.29000000000001</v>
      </c>
      <c r="AV26" t="n">
        <v>0</v>
      </c>
      <c r="AW26" t="n">
        <v>174.84</v>
      </c>
      <c r="AX26" t="inlineStr">
        <is>
          <t>settled</t>
        </is>
      </c>
      <c r="AY26" t="inlineStr">
        <is>
          <t>2026-01-28 05:30:00</t>
        </is>
      </c>
      <c r="AZ26" t="inlineStr">
        <is>
          <t>CITIN26611504159</t>
        </is>
      </c>
      <c r="BA26" t="n">
        <v>0</v>
      </c>
      <c r="BB26" t="inlineStr">
        <is>
          <t>800b620c7ac00d430b1fc2b4005adfa55029404b8513bb78bbe77d6efcea420a</t>
        </is>
      </c>
    </row>
    <row r="27">
      <c r="A27" t="inlineStr">
        <is>
          <t>22</t>
        </is>
      </c>
      <c r="B27" t="inlineStr">
        <is>
          <t>7707383578</t>
        </is>
      </c>
      <c r="C27" t="inlineStr">
        <is>
          <t>2026-01-19 18:19:46</t>
        </is>
      </c>
      <c r="D27" t="inlineStr">
        <is>
          <t>4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30% off upto ₹75 (2025-06-25 - 2031-01-01)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229</v>
      </c>
      <c r="P27" t="n">
        <v>3.5</v>
      </c>
      <c r="Q27" t="n">
        <v>0</v>
      </c>
      <c r="R27" t="n">
        <v>68.7</v>
      </c>
      <c r="S27" t="n">
        <v>0</v>
      </c>
      <c r="T27" t="n">
        <v>0</v>
      </c>
      <c r="U27" t="n">
        <v>0</v>
      </c>
      <c r="V27" t="n">
        <v>8.19</v>
      </c>
      <c r="W27" t="n">
        <v>171.99</v>
      </c>
      <c r="X27" t="n">
        <v>163.8</v>
      </c>
      <c r="Y27" t="n">
        <v>19</v>
      </c>
      <c r="Z27" t="n">
        <v>31.12</v>
      </c>
      <c r="AA27" t="n">
        <v>3.16</v>
      </c>
      <c r="AB27" t="n">
        <v>34.28</v>
      </c>
      <c r="AC27" t="n">
        <v>6.17</v>
      </c>
      <c r="AD27" t="n">
        <v>0</v>
      </c>
      <c r="AE27" t="n">
        <v>163.8</v>
      </c>
      <c r="AF27" t="n">
        <v>0</v>
      </c>
      <c r="AG27" t="n">
        <v>0</v>
      </c>
      <c r="AH27" t="n">
        <v>0.16</v>
      </c>
      <c r="AI27" t="n">
        <v>8.199999999999999</v>
      </c>
      <c r="AJ27" t="n">
        <v>-0.01</v>
      </c>
      <c r="AK27" t="n">
        <v>14.53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48.81</v>
      </c>
      <c r="AV27" t="n">
        <v>0</v>
      </c>
      <c r="AW27" t="n">
        <v>123.18</v>
      </c>
      <c r="AX27" t="inlineStr">
        <is>
          <t>settled</t>
        </is>
      </c>
      <c r="AY27" t="inlineStr">
        <is>
          <t>2026-01-28 05:30:00</t>
        </is>
      </c>
      <c r="AZ27" t="inlineStr">
        <is>
          <t>CITIN26611504159</t>
        </is>
      </c>
      <c r="BA27" t="n">
        <v>0</v>
      </c>
      <c r="BB27" t="inlineStr">
        <is>
          <t>3159cd8d0f5ff123a1cff3b35ddbdba173220e5ee8b2befa7b865ba91dc09da1</t>
        </is>
      </c>
    </row>
    <row r="28">
      <c r="A28" t="inlineStr">
        <is>
          <t>23</t>
        </is>
      </c>
      <c r="B28" t="inlineStr">
        <is>
          <t>7707242834</t>
        </is>
      </c>
      <c r="C28" t="inlineStr">
        <is>
          <t>2026-01-19 18:21:06</t>
        </is>
      </c>
      <c r="D28" t="inlineStr">
        <is>
          <t>4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30% off upto ₹75 (2025-06-25 - 2031-01-01)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355</v>
      </c>
      <c r="P28" t="n">
        <v>3.5</v>
      </c>
      <c r="Q28" t="n">
        <v>0</v>
      </c>
      <c r="R28" t="n">
        <v>75</v>
      </c>
      <c r="S28" t="n">
        <v>0</v>
      </c>
      <c r="T28" t="n">
        <v>0</v>
      </c>
      <c r="U28" t="n">
        <v>0</v>
      </c>
      <c r="V28" t="n">
        <v>14.18</v>
      </c>
      <c r="W28" t="n">
        <v>297.68</v>
      </c>
      <c r="X28" t="n">
        <v>283.5</v>
      </c>
      <c r="Y28" t="n">
        <v>19</v>
      </c>
      <c r="Z28" t="n">
        <v>53.86</v>
      </c>
      <c r="AA28" t="n">
        <v>5.48</v>
      </c>
      <c r="AB28" t="n">
        <v>59.34</v>
      </c>
      <c r="AC28" t="n">
        <v>10.68</v>
      </c>
      <c r="AD28" t="n">
        <v>0</v>
      </c>
      <c r="AE28" t="n">
        <v>283.5</v>
      </c>
      <c r="AF28" t="n">
        <v>0</v>
      </c>
      <c r="AG28" t="n">
        <v>0</v>
      </c>
      <c r="AH28" t="n">
        <v>0.28</v>
      </c>
      <c r="AI28" t="n">
        <v>14.18</v>
      </c>
      <c r="AJ28" t="n">
        <v>0</v>
      </c>
      <c r="AK28" t="n">
        <v>25.14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84.48</v>
      </c>
      <c r="AV28" t="n">
        <v>0</v>
      </c>
      <c r="AW28" t="n">
        <v>213.2</v>
      </c>
      <c r="AX28" t="inlineStr">
        <is>
          <t>settled</t>
        </is>
      </c>
      <c r="AY28" t="inlineStr">
        <is>
          <t>2026-01-28 05:30:00</t>
        </is>
      </c>
      <c r="AZ28" t="inlineStr">
        <is>
          <t>CITIN26611504159</t>
        </is>
      </c>
      <c r="BA28" t="n">
        <v>0</v>
      </c>
      <c r="BB28" t="inlineStr">
        <is>
          <t>b855988b2301f3ef17cb48bc02c094cf46c3627fd61d10ecab2944b9e9db1c4c</t>
        </is>
      </c>
    </row>
    <row r="29">
      <c r="A29" t="inlineStr">
        <is>
          <t>24</t>
        </is>
      </c>
      <c r="B29" t="inlineStr">
        <is>
          <t>7706251068</t>
        </is>
      </c>
      <c r="C29" t="inlineStr">
        <is>
          <t>2026-01-19 18:24:00</t>
        </is>
      </c>
      <c r="D29" t="inlineStr">
        <is>
          <t>4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219</v>
      </c>
      <c r="P29" t="n">
        <v>3.5</v>
      </c>
      <c r="Q29" t="n">
        <v>0</v>
      </c>
      <c r="R29" t="n">
        <v>65.7</v>
      </c>
      <c r="S29" t="n">
        <v>0</v>
      </c>
      <c r="T29" t="n">
        <v>0</v>
      </c>
      <c r="U29" t="n">
        <v>0</v>
      </c>
      <c r="V29" t="n">
        <v>7.84</v>
      </c>
      <c r="W29" t="n">
        <v>164.64</v>
      </c>
      <c r="X29" t="n">
        <v>156.8</v>
      </c>
      <c r="Y29" t="n">
        <v>19</v>
      </c>
      <c r="Z29" t="n">
        <v>29.79</v>
      </c>
      <c r="AA29" t="n">
        <v>3.03</v>
      </c>
      <c r="AB29" t="n">
        <v>32.82</v>
      </c>
      <c r="AC29" t="n">
        <v>5.91</v>
      </c>
      <c r="AD29" t="n">
        <v>0</v>
      </c>
      <c r="AE29" t="n">
        <v>156.8</v>
      </c>
      <c r="AF29" t="n">
        <v>0</v>
      </c>
      <c r="AG29" t="n">
        <v>0</v>
      </c>
      <c r="AH29" t="n">
        <v>0.16</v>
      </c>
      <c r="AI29" t="n">
        <v>7.85</v>
      </c>
      <c r="AJ29" t="n">
        <v>-0.01</v>
      </c>
      <c r="AK29" t="n">
        <v>13.92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46.74</v>
      </c>
      <c r="AV29" t="n">
        <v>0</v>
      </c>
      <c r="AW29" t="n">
        <v>117.9</v>
      </c>
      <c r="AX29" t="inlineStr">
        <is>
          <t>settled</t>
        </is>
      </c>
      <c r="AY29" t="inlineStr">
        <is>
          <t>2026-01-28 05:30:00</t>
        </is>
      </c>
      <c r="AZ29" t="inlineStr">
        <is>
          <t>CITIN26611504159</t>
        </is>
      </c>
      <c r="BA29" t="n">
        <v>0</v>
      </c>
      <c r="BB29" t="inlineStr">
        <is>
          <t>601143826ff6cb58e87732b219be1ab208c02b8c23bea7859e5d70be7bf5bd78</t>
        </is>
      </c>
    </row>
    <row r="30">
      <c r="A30" t="inlineStr">
        <is>
          <t>25</t>
        </is>
      </c>
      <c r="B30" t="inlineStr">
        <is>
          <t>7707857531</t>
        </is>
      </c>
      <c r="C30" t="inlineStr">
        <is>
          <t>2026-01-19 18:24:23</t>
        </is>
      </c>
      <c r="D30" t="inlineStr">
        <is>
          <t>4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229</v>
      </c>
      <c r="P30" t="n">
        <v>3.5</v>
      </c>
      <c r="Q30" t="n">
        <v>0</v>
      </c>
      <c r="R30" t="n">
        <v>68.7</v>
      </c>
      <c r="S30" t="n">
        <v>0</v>
      </c>
      <c r="T30" t="n">
        <v>0</v>
      </c>
      <c r="U30" t="n">
        <v>0</v>
      </c>
      <c r="V30" t="n">
        <v>8.19</v>
      </c>
      <c r="W30" t="n">
        <v>171.99</v>
      </c>
      <c r="X30" t="n">
        <v>163.8</v>
      </c>
      <c r="Y30" t="n">
        <v>19</v>
      </c>
      <c r="Z30" t="n">
        <v>31.12</v>
      </c>
      <c r="AA30" t="n">
        <v>3.16</v>
      </c>
      <c r="AB30" t="n">
        <v>34.28</v>
      </c>
      <c r="AC30" t="n">
        <v>6.17</v>
      </c>
      <c r="AD30" t="n">
        <v>0</v>
      </c>
      <c r="AE30" t="n">
        <v>163.8</v>
      </c>
      <c r="AF30" t="n">
        <v>0</v>
      </c>
      <c r="AG30" t="n">
        <v>0</v>
      </c>
      <c r="AH30" t="n">
        <v>0.16</v>
      </c>
      <c r="AI30" t="n">
        <v>8.199999999999999</v>
      </c>
      <c r="AJ30" t="n">
        <v>-0.01</v>
      </c>
      <c r="AK30" t="n">
        <v>14.53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48.81</v>
      </c>
      <c r="AV30" t="n">
        <v>0</v>
      </c>
      <c r="AW30" t="n">
        <v>123.18</v>
      </c>
      <c r="AX30" t="inlineStr">
        <is>
          <t>settled</t>
        </is>
      </c>
      <c r="AY30" t="inlineStr">
        <is>
          <t>2026-01-28 05:30:00</t>
        </is>
      </c>
      <c r="AZ30" t="inlineStr">
        <is>
          <t>CITIN26611504159</t>
        </is>
      </c>
      <c r="BA30" t="n">
        <v>0</v>
      </c>
      <c r="BB30" t="inlineStr">
        <is>
          <t>4f5c700d29105b2ec5a07c95a6f95639daa3cc864841641becff26f484e35e0a</t>
        </is>
      </c>
    </row>
    <row r="31">
      <c r="A31" t="inlineStr">
        <is>
          <t>26</t>
        </is>
      </c>
      <c r="B31" t="inlineStr">
        <is>
          <t>7707437456</t>
        </is>
      </c>
      <c r="C31" t="inlineStr">
        <is>
          <t>2026-01-19 18:26:31</t>
        </is>
      </c>
      <c r="D31" t="inlineStr">
        <is>
          <t>4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NA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258</v>
      </c>
      <c r="P31" t="n">
        <v>3.5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13.08</v>
      </c>
      <c r="W31" t="n">
        <v>274.58</v>
      </c>
      <c r="X31" t="n">
        <v>261.5</v>
      </c>
      <c r="Y31" t="n">
        <v>19</v>
      </c>
      <c r="Z31" t="n">
        <v>49.68</v>
      </c>
      <c r="AA31" t="n">
        <v>5.05</v>
      </c>
      <c r="AB31" t="n">
        <v>54.73</v>
      </c>
      <c r="AC31" t="n">
        <v>9.85</v>
      </c>
      <c r="AD31" t="n">
        <v>0</v>
      </c>
      <c r="AE31" t="n">
        <v>261.5</v>
      </c>
      <c r="AF31" t="n">
        <v>0</v>
      </c>
      <c r="AG31" t="n">
        <v>0</v>
      </c>
      <c r="AH31" t="n">
        <v>0.26</v>
      </c>
      <c r="AI31" t="n">
        <v>13.08</v>
      </c>
      <c r="AJ31" t="n">
        <v>0</v>
      </c>
      <c r="AK31" t="n">
        <v>23.19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77.92</v>
      </c>
      <c r="AV31" t="n">
        <v>0</v>
      </c>
      <c r="AW31" t="n">
        <v>196.66</v>
      </c>
      <c r="AX31" t="inlineStr">
        <is>
          <t>settled</t>
        </is>
      </c>
      <c r="AY31" t="inlineStr">
        <is>
          <t>2026-01-28 05:30:00</t>
        </is>
      </c>
      <c r="AZ31" t="inlineStr">
        <is>
          <t>CITIN26611504159</t>
        </is>
      </c>
      <c r="BA31" t="n">
        <v>0</v>
      </c>
      <c r="BB31" t="inlineStr">
        <is>
          <t>5b40a2b0e07e292f6603a1bf2dd85b7d689452c2a6ec880b2aacdb9c077a83a9</t>
        </is>
      </c>
    </row>
    <row r="32">
      <c r="A32" t="inlineStr">
        <is>
          <t>27</t>
        </is>
      </c>
      <c r="B32" t="inlineStr">
        <is>
          <t>7705838898</t>
        </is>
      </c>
      <c r="C32" t="inlineStr">
        <is>
          <t>2026-01-19 18:34:34</t>
        </is>
      </c>
      <c r="D32" t="inlineStr">
        <is>
          <t>4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229</v>
      </c>
      <c r="P32" t="n">
        <v>3.5</v>
      </c>
      <c r="Q32" t="n">
        <v>0</v>
      </c>
      <c r="R32" t="n">
        <v>68.7</v>
      </c>
      <c r="S32" t="n">
        <v>0</v>
      </c>
      <c r="T32" t="n">
        <v>0</v>
      </c>
      <c r="U32" t="n">
        <v>0</v>
      </c>
      <c r="V32" t="n">
        <v>8.19</v>
      </c>
      <c r="W32" t="n">
        <v>171.99</v>
      </c>
      <c r="X32" t="n">
        <v>163.8</v>
      </c>
      <c r="Y32" t="n">
        <v>19</v>
      </c>
      <c r="Z32" t="n">
        <v>31.12</v>
      </c>
      <c r="AA32" t="n">
        <v>3.16</v>
      </c>
      <c r="AB32" t="n">
        <v>34.28</v>
      </c>
      <c r="AC32" t="n">
        <v>6.17</v>
      </c>
      <c r="AD32" t="n">
        <v>0</v>
      </c>
      <c r="AE32" t="n">
        <v>163.8</v>
      </c>
      <c r="AF32" t="n">
        <v>0</v>
      </c>
      <c r="AG32" t="n">
        <v>0</v>
      </c>
      <c r="AH32" t="n">
        <v>0.16</v>
      </c>
      <c r="AI32" t="n">
        <v>8.199999999999999</v>
      </c>
      <c r="AJ32" t="n">
        <v>-0.01</v>
      </c>
      <c r="AK32" t="n">
        <v>14.53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48.81</v>
      </c>
      <c r="AV32" t="n">
        <v>0</v>
      </c>
      <c r="AW32" t="n">
        <v>123.18</v>
      </c>
      <c r="AX32" t="inlineStr">
        <is>
          <t>settled</t>
        </is>
      </c>
      <c r="AY32" t="inlineStr">
        <is>
          <t>2026-01-28 05:30:00</t>
        </is>
      </c>
      <c r="AZ32" t="inlineStr">
        <is>
          <t>CITIN26611504159</t>
        </is>
      </c>
      <c r="BA32" t="n">
        <v>0</v>
      </c>
      <c r="BB32" t="inlineStr">
        <is>
          <t>3be4fe33dc0f2bc4a03c209522ff0589d89d9888a5d607f41c71e7e6282de7aa</t>
        </is>
      </c>
    </row>
    <row r="33">
      <c r="A33" t="inlineStr">
        <is>
          <t>28</t>
        </is>
      </c>
      <c r="B33" t="inlineStr">
        <is>
          <t>7706524665</t>
        </is>
      </c>
      <c r="C33" t="inlineStr">
        <is>
          <t>2026-01-19 18:35:15</t>
        </is>
      </c>
      <c r="D33" t="inlineStr">
        <is>
          <t>4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NA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508</v>
      </c>
      <c r="P33" t="n">
        <v>3.5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25.58</v>
      </c>
      <c r="W33" t="n">
        <v>537.08</v>
      </c>
      <c r="X33" t="n">
        <v>511.5</v>
      </c>
      <c r="Y33" t="n">
        <v>19</v>
      </c>
      <c r="Z33" t="n">
        <v>97.18000000000001</v>
      </c>
      <c r="AA33" t="n">
        <v>9.880000000000001</v>
      </c>
      <c r="AB33" t="n">
        <v>107.06</v>
      </c>
      <c r="AC33" t="n">
        <v>19.27</v>
      </c>
      <c r="AD33" t="n">
        <v>0</v>
      </c>
      <c r="AE33" t="n">
        <v>511.5</v>
      </c>
      <c r="AF33" t="n">
        <v>0</v>
      </c>
      <c r="AG33" t="n">
        <v>0</v>
      </c>
      <c r="AH33" t="n">
        <v>0.51</v>
      </c>
      <c r="AI33" t="n">
        <v>25.58</v>
      </c>
      <c r="AJ33" t="n">
        <v>0</v>
      </c>
      <c r="AK33" t="n">
        <v>45.36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152.42</v>
      </c>
      <c r="AV33" t="n">
        <v>0</v>
      </c>
      <c r="AW33" t="n">
        <v>384.66</v>
      </c>
      <c r="AX33" t="inlineStr">
        <is>
          <t>settled</t>
        </is>
      </c>
      <c r="AY33" t="inlineStr">
        <is>
          <t>2026-01-28 05:30:00</t>
        </is>
      </c>
      <c r="AZ33" t="inlineStr">
        <is>
          <t>CITIN26611504159</t>
        </is>
      </c>
      <c r="BA33" t="n">
        <v>0</v>
      </c>
      <c r="BB33" t="inlineStr">
        <is>
          <t>ec34b5e20b7f85a9feb69e958fd7184a27d778477625ea7e334e6d2e61e1c95c</t>
        </is>
      </c>
    </row>
    <row r="34">
      <c r="A34" t="inlineStr">
        <is>
          <t>29</t>
        </is>
      </c>
      <c r="B34" t="inlineStr">
        <is>
          <t>7702228686</t>
        </is>
      </c>
      <c r="C34" t="inlineStr">
        <is>
          <t>2026-01-19 18:36:25</t>
        </is>
      </c>
      <c r="D34" t="inlineStr">
        <is>
          <t>4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219</v>
      </c>
      <c r="P34" t="n">
        <v>3.5</v>
      </c>
      <c r="Q34" t="n">
        <v>0</v>
      </c>
      <c r="R34" t="n">
        <v>65.7</v>
      </c>
      <c r="S34" t="n">
        <v>0</v>
      </c>
      <c r="T34" t="n">
        <v>0</v>
      </c>
      <c r="U34" t="n">
        <v>0</v>
      </c>
      <c r="V34" t="n">
        <v>7.84</v>
      </c>
      <c r="W34" t="n">
        <v>164.64</v>
      </c>
      <c r="X34" t="n">
        <v>156.8</v>
      </c>
      <c r="Y34" t="n">
        <v>19</v>
      </c>
      <c r="Z34" t="n">
        <v>29.79</v>
      </c>
      <c r="AA34" t="n">
        <v>3.03</v>
      </c>
      <c r="AB34" t="n">
        <v>32.82</v>
      </c>
      <c r="AC34" t="n">
        <v>5.91</v>
      </c>
      <c r="AD34" t="n">
        <v>0</v>
      </c>
      <c r="AE34" t="n">
        <v>156.8</v>
      </c>
      <c r="AF34" t="n">
        <v>0</v>
      </c>
      <c r="AG34" t="n">
        <v>0</v>
      </c>
      <c r="AH34" t="n">
        <v>0.16</v>
      </c>
      <c r="AI34" t="n">
        <v>7.85</v>
      </c>
      <c r="AJ34" t="n">
        <v>-0.01</v>
      </c>
      <c r="AK34" t="n">
        <v>13.92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46.74</v>
      </c>
      <c r="AV34" t="n">
        <v>0</v>
      </c>
      <c r="AW34" t="n">
        <v>117.9</v>
      </c>
      <c r="AX34" t="inlineStr">
        <is>
          <t>settled</t>
        </is>
      </c>
      <c r="AY34" t="inlineStr">
        <is>
          <t>2026-01-28 05:30:00</t>
        </is>
      </c>
      <c r="AZ34" t="inlineStr">
        <is>
          <t>CITIN26611504159</t>
        </is>
      </c>
      <c r="BA34" t="n">
        <v>0</v>
      </c>
      <c r="BB34" t="inlineStr">
        <is>
          <t>91cbe29850514d755d800db643e3553bbd17bd6eadb6d5d68f4fd6c3a17dcbb8</t>
        </is>
      </c>
    </row>
    <row r="35">
      <c r="A35" t="inlineStr">
        <is>
          <t>30</t>
        </is>
      </c>
      <c r="B35" t="inlineStr">
        <is>
          <t>7708678654</t>
        </is>
      </c>
      <c r="C35" t="inlineStr">
        <is>
          <t>2026-01-19 19:01:03</t>
        </is>
      </c>
      <c r="D35" t="inlineStr">
        <is>
          <t>4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NA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229</v>
      </c>
      <c r="P35" t="n">
        <v>3.5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11.63</v>
      </c>
      <c r="W35" t="n">
        <v>244.13</v>
      </c>
      <c r="X35" t="n">
        <v>232.5</v>
      </c>
      <c r="Y35" t="n">
        <v>19</v>
      </c>
      <c r="Z35" t="n">
        <v>44.18</v>
      </c>
      <c r="AA35" t="n">
        <v>4.49</v>
      </c>
      <c r="AB35" t="n">
        <v>48.67</v>
      </c>
      <c r="AC35" t="n">
        <v>8.76</v>
      </c>
      <c r="AD35" t="n">
        <v>0</v>
      </c>
      <c r="AE35" t="n">
        <v>232.5</v>
      </c>
      <c r="AF35" t="n">
        <v>0</v>
      </c>
      <c r="AG35" t="n">
        <v>0</v>
      </c>
      <c r="AH35" t="n">
        <v>0.23</v>
      </c>
      <c r="AI35" t="n">
        <v>11.63</v>
      </c>
      <c r="AJ35" t="n">
        <v>0</v>
      </c>
      <c r="AK35" t="n">
        <v>20.62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69.29000000000001</v>
      </c>
      <c r="AV35" t="n">
        <v>0</v>
      </c>
      <c r="AW35" t="n">
        <v>174.84</v>
      </c>
      <c r="AX35" t="inlineStr">
        <is>
          <t>settled</t>
        </is>
      </c>
      <c r="AY35" t="inlineStr">
        <is>
          <t>2026-01-28 05:30:00</t>
        </is>
      </c>
      <c r="AZ35" t="inlineStr">
        <is>
          <t>CITIN26611504159</t>
        </is>
      </c>
      <c r="BA35" t="n">
        <v>0</v>
      </c>
      <c r="BB35" t="inlineStr">
        <is>
          <t>8adaa6fef65f7b0f78be2ffb2f0173762d93faa01651e8fcc74a947aca7e675c</t>
        </is>
      </c>
    </row>
    <row r="36">
      <c r="A36" t="inlineStr">
        <is>
          <t>31</t>
        </is>
      </c>
      <c r="B36" t="inlineStr">
        <is>
          <t>7705603084</t>
        </is>
      </c>
      <c r="C36" t="inlineStr">
        <is>
          <t>2026-01-19 20:03:25</t>
        </is>
      </c>
      <c r="D36" t="inlineStr">
        <is>
          <t>4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229</v>
      </c>
      <c r="P36" t="n">
        <v>3.5</v>
      </c>
      <c r="Q36" t="n">
        <v>0</v>
      </c>
      <c r="R36" t="n">
        <v>68.7</v>
      </c>
      <c r="S36" t="n">
        <v>0</v>
      </c>
      <c r="T36" t="n">
        <v>0</v>
      </c>
      <c r="U36" t="n">
        <v>0</v>
      </c>
      <c r="V36" t="n">
        <v>8.19</v>
      </c>
      <c r="W36" t="n">
        <v>171.99</v>
      </c>
      <c r="X36" t="n">
        <v>163.8</v>
      </c>
      <c r="Y36" t="n">
        <v>19</v>
      </c>
      <c r="Z36" t="n">
        <v>31.12</v>
      </c>
      <c r="AA36" t="n">
        <v>3.16</v>
      </c>
      <c r="AB36" t="n">
        <v>34.28</v>
      </c>
      <c r="AC36" t="n">
        <v>6.17</v>
      </c>
      <c r="AD36" t="n">
        <v>0</v>
      </c>
      <c r="AE36" t="n">
        <v>163.8</v>
      </c>
      <c r="AF36" t="n">
        <v>0</v>
      </c>
      <c r="AG36" t="n">
        <v>0</v>
      </c>
      <c r="AH36" t="n">
        <v>0.16</v>
      </c>
      <c r="AI36" t="n">
        <v>8.199999999999999</v>
      </c>
      <c r="AJ36" t="n">
        <v>-0.01</v>
      </c>
      <c r="AK36" t="n">
        <v>14.53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48.81</v>
      </c>
      <c r="AV36" t="n">
        <v>0</v>
      </c>
      <c r="AW36" t="n">
        <v>123.18</v>
      </c>
      <c r="AX36" t="inlineStr">
        <is>
          <t>settled</t>
        </is>
      </c>
      <c r="AY36" t="inlineStr">
        <is>
          <t>2026-01-28 05:30:00</t>
        </is>
      </c>
      <c r="AZ36" t="inlineStr">
        <is>
          <t>CITIN26611504159</t>
        </is>
      </c>
      <c r="BA36" t="n">
        <v>0</v>
      </c>
      <c r="BB36" t="inlineStr">
        <is>
          <t>9a0f7b25a156a373c433ec0cea37e41239f35314f79415ef03b978952004e753</t>
        </is>
      </c>
    </row>
    <row r="37">
      <c r="A37" t="inlineStr">
        <is>
          <t>32</t>
        </is>
      </c>
      <c r="B37" t="inlineStr">
        <is>
          <t>7704134435</t>
        </is>
      </c>
      <c r="C37" t="inlineStr">
        <is>
          <t>2026-01-19 20:55:09</t>
        </is>
      </c>
      <c r="D37" t="inlineStr">
        <is>
          <t>4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448</v>
      </c>
      <c r="P37" t="n">
        <v>3.5</v>
      </c>
      <c r="Q37" t="n">
        <v>0</v>
      </c>
      <c r="R37" t="n">
        <v>75</v>
      </c>
      <c r="S37" t="n">
        <v>0</v>
      </c>
      <c r="T37" t="n">
        <v>0</v>
      </c>
      <c r="U37" t="n">
        <v>0</v>
      </c>
      <c r="V37" t="n">
        <v>18.83</v>
      </c>
      <c r="W37" t="n">
        <v>395.33</v>
      </c>
      <c r="X37" t="n">
        <v>376.5</v>
      </c>
      <c r="Y37" t="n">
        <v>19</v>
      </c>
      <c r="Z37" t="n">
        <v>71.54000000000001</v>
      </c>
      <c r="AA37" t="n">
        <v>7.27</v>
      </c>
      <c r="AB37" t="n">
        <v>78.81</v>
      </c>
      <c r="AC37" t="n">
        <v>14.19</v>
      </c>
      <c r="AD37" t="n">
        <v>0</v>
      </c>
      <c r="AE37" t="n">
        <v>376.5</v>
      </c>
      <c r="AF37" t="n">
        <v>0</v>
      </c>
      <c r="AG37" t="n">
        <v>0</v>
      </c>
      <c r="AH37" t="n">
        <v>0.38</v>
      </c>
      <c r="AI37" t="n">
        <v>18.83</v>
      </c>
      <c r="AJ37" t="n">
        <v>0</v>
      </c>
      <c r="AK37" t="n">
        <v>33.4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112.21</v>
      </c>
      <c r="AV37" t="n">
        <v>0</v>
      </c>
      <c r="AW37" t="n">
        <v>283.12</v>
      </c>
      <c r="AX37" t="inlineStr">
        <is>
          <t>settled</t>
        </is>
      </c>
      <c r="AY37" t="inlineStr">
        <is>
          <t>2026-01-28 05:30:00</t>
        </is>
      </c>
      <c r="AZ37" t="inlineStr">
        <is>
          <t>CITIN26611504159</t>
        </is>
      </c>
      <c r="BA37" t="n">
        <v>0</v>
      </c>
      <c r="BB37" t="inlineStr">
        <is>
          <t>0189675e1ca591d9982ce79ded9fec301605a18b528afe9137221cd7dbc65622</t>
        </is>
      </c>
    </row>
    <row r="38">
      <c r="A38" t="inlineStr">
        <is>
          <t>33</t>
        </is>
      </c>
      <c r="B38" t="inlineStr">
        <is>
          <t>7706201686</t>
        </is>
      </c>
      <c r="C38" t="inlineStr">
        <is>
          <t>2026-01-19 21:07:37</t>
        </is>
      </c>
      <c r="D38" t="inlineStr">
        <is>
          <t>4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219</v>
      </c>
      <c r="P38" t="n">
        <v>3.5</v>
      </c>
      <c r="Q38" t="n">
        <v>0</v>
      </c>
      <c r="R38" t="n">
        <v>65.7</v>
      </c>
      <c r="S38" t="n">
        <v>0</v>
      </c>
      <c r="T38" t="n">
        <v>0</v>
      </c>
      <c r="U38" t="n">
        <v>0</v>
      </c>
      <c r="V38" t="n">
        <v>7.84</v>
      </c>
      <c r="W38" t="n">
        <v>164.64</v>
      </c>
      <c r="X38" t="n">
        <v>156.8</v>
      </c>
      <c r="Y38" t="n">
        <v>19</v>
      </c>
      <c r="Z38" t="n">
        <v>29.79</v>
      </c>
      <c r="AA38" t="n">
        <v>3.03</v>
      </c>
      <c r="AB38" t="n">
        <v>32.82</v>
      </c>
      <c r="AC38" t="n">
        <v>5.91</v>
      </c>
      <c r="AD38" t="n">
        <v>0</v>
      </c>
      <c r="AE38" t="n">
        <v>156.8</v>
      </c>
      <c r="AF38" t="n">
        <v>0</v>
      </c>
      <c r="AG38" t="n">
        <v>0</v>
      </c>
      <c r="AH38" t="n">
        <v>0.16</v>
      </c>
      <c r="AI38" t="n">
        <v>7.85</v>
      </c>
      <c r="AJ38" t="n">
        <v>-0.01</v>
      </c>
      <c r="AK38" t="n">
        <v>13.92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46.74</v>
      </c>
      <c r="AV38" t="n">
        <v>0</v>
      </c>
      <c r="AW38" t="n">
        <v>117.9</v>
      </c>
      <c r="AX38" t="inlineStr">
        <is>
          <t>settled</t>
        </is>
      </c>
      <c r="AY38" t="inlineStr">
        <is>
          <t>2026-01-28 05:30:00</t>
        </is>
      </c>
      <c r="AZ38" t="inlineStr">
        <is>
          <t>CITIN26611504159</t>
        </is>
      </c>
      <c r="BA38" t="n">
        <v>0</v>
      </c>
      <c r="BB38" t="inlineStr">
        <is>
          <t>cdc3a4dddfca730aba304caf473cf6407614563c44379c12bd3b73b8a8cdeeec</t>
        </is>
      </c>
    </row>
    <row r="39">
      <c r="A39" t="inlineStr">
        <is>
          <t>34</t>
        </is>
      </c>
      <c r="B39" t="inlineStr">
        <is>
          <t>7709095707</t>
        </is>
      </c>
      <c r="C39" t="inlineStr">
        <is>
          <t>2026-01-19 21:17:26</t>
        </is>
      </c>
      <c r="D39" t="inlineStr">
        <is>
          <t>4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settled</t>
        </is>
      </c>
      <c r="AY39" t="inlineStr">
        <is>
          <t>2026-01-28 05:30:00</t>
        </is>
      </c>
      <c r="AZ39" t="inlineStr">
        <is>
          <t>CITIN26611504159</t>
        </is>
      </c>
      <c r="BA39" t="n">
        <v>0</v>
      </c>
      <c r="BB39" t="inlineStr">
        <is>
          <t>19c169837356dda29ad2098f97811adc3df979375d0883a8c58c45f35caaeeae</t>
        </is>
      </c>
    </row>
    <row r="40">
      <c r="A40" t="inlineStr">
        <is>
          <t>35</t>
        </is>
      </c>
      <c r="B40" t="inlineStr">
        <is>
          <t>7709348927</t>
        </is>
      </c>
      <c r="C40" t="inlineStr">
        <is>
          <t>2026-01-19 21:18:30</t>
        </is>
      </c>
      <c r="D40" t="inlineStr">
        <is>
          <t>4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355</v>
      </c>
      <c r="P40" t="n">
        <v>3.5</v>
      </c>
      <c r="Q40" t="n">
        <v>0</v>
      </c>
      <c r="R40" t="n">
        <v>75</v>
      </c>
      <c r="S40" t="n">
        <v>0</v>
      </c>
      <c r="T40" t="n">
        <v>0</v>
      </c>
      <c r="U40" t="n">
        <v>0</v>
      </c>
      <c r="V40" t="n">
        <v>14.18</v>
      </c>
      <c r="W40" t="n">
        <v>297.68</v>
      </c>
      <c r="X40" t="n">
        <v>283.5</v>
      </c>
      <c r="Y40" t="n">
        <v>19</v>
      </c>
      <c r="Z40" t="n">
        <v>53.86</v>
      </c>
      <c r="AA40" t="n">
        <v>5.48</v>
      </c>
      <c r="AB40" t="n">
        <v>59.34</v>
      </c>
      <c r="AC40" t="n">
        <v>10.68</v>
      </c>
      <c r="AD40" t="n">
        <v>0</v>
      </c>
      <c r="AE40" t="n">
        <v>283.5</v>
      </c>
      <c r="AF40" t="n">
        <v>0</v>
      </c>
      <c r="AG40" t="n">
        <v>0</v>
      </c>
      <c r="AH40" t="n">
        <v>0.28</v>
      </c>
      <c r="AI40" t="n">
        <v>14.18</v>
      </c>
      <c r="AJ40" t="n">
        <v>0</v>
      </c>
      <c r="AK40" t="n">
        <v>25.14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84.48</v>
      </c>
      <c r="AV40" t="n">
        <v>0</v>
      </c>
      <c r="AW40" t="n">
        <v>213.2</v>
      </c>
      <c r="AX40" t="inlineStr">
        <is>
          <t>settled</t>
        </is>
      </c>
      <c r="AY40" t="inlineStr">
        <is>
          <t>2026-01-28 05:30:00</t>
        </is>
      </c>
      <c r="AZ40" t="inlineStr">
        <is>
          <t>CITIN26611504159</t>
        </is>
      </c>
      <c r="BA40" t="n">
        <v>0</v>
      </c>
      <c r="BB40" t="inlineStr">
        <is>
          <t>e543f273cc15f38f915fd9342eb4514eb73c46431cad16ad1bcc2f08deb34962</t>
        </is>
      </c>
    </row>
    <row r="41">
      <c r="A41" t="inlineStr">
        <is>
          <t>36</t>
        </is>
      </c>
      <c r="B41" t="inlineStr">
        <is>
          <t>7704345383</t>
        </is>
      </c>
      <c r="C41" t="inlineStr">
        <is>
          <t>2026-01-19 22:05:49</t>
        </is>
      </c>
      <c r="D41" t="inlineStr">
        <is>
          <t>4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229</v>
      </c>
      <c r="P41" t="n">
        <v>3.5</v>
      </c>
      <c r="Q41" t="n">
        <v>0</v>
      </c>
      <c r="R41" t="n">
        <v>68.7</v>
      </c>
      <c r="S41" t="n">
        <v>0</v>
      </c>
      <c r="T41" t="n">
        <v>0</v>
      </c>
      <c r="U41" t="n">
        <v>0</v>
      </c>
      <c r="V41" t="n">
        <v>8.19</v>
      </c>
      <c r="W41" t="n">
        <v>171.99</v>
      </c>
      <c r="X41" t="n">
        <v>163.8</v>
      </c>
      <c r="Y41" t="n">
        <v>19</v>
      </c>
      <c r="Z41" t="n">
        <v>31.12</v>
      </c>
      <c r="AA41" t="n">
        <v>3.16</v>
      </c>
      <c r="AB41" t="n">
        <v>34.28</v>
      </c>
      <c r="AC41" t="n">
        <v>6.17</v>
      </c>
      <c r="AD41" t="n">
        <v>0</v>
      </c>
      <c r="AE41" t="n">
        <v>163.8</v>
      </c>
      <c r="AF41" t="n">
        <v>0</v>
      </c>
      <c r="AG41" t="n">
        <v>0</v>
      </c>
      <c r="AH41" t="n">
        <v>0.16</v>
      </c>
      <c r="AI41" t="n">
        <v>8.199999999999999</v>
      </c>
      <c r="AJ41" t="n">
        <v>-0.01</v>
      </c>
      <c r="AK41" t="n">
        <v>14.53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48.81</v>
      </c>
      <c r="AV41" t="n">
        <v>0</v>
      </c>
      <c r="AW41" t="n">
        <v>123.18</v>
      </c>
      <c r="AX41" t="inlineStr">
        <is>
          <t>settled</t>
        </is>
      </c>
      <c r="AY41" t="inlineStr">
        <is>
          <t>2026-01-28 05:30:00</t>
        </is>
      </c>
      <c r="AZ41" t="inlineStr">
        <is>
          <t>CITIN26611504159</t>
        </is>
      </c>
      <c r="BA41" t="n">
        <v>0</v>
      </c>
      <c r="BB41" t="inlineStr">
        <is>
          <t>47f0d6b18ec4e523a0a3ca97d3e384c39cdcb862da34428133371c3b4b3dfb14</t>
        </is>
      </c>
    </row>
    <row r="42">
      <c r="A42" t="inlineStr">
        <is>
          <t>37</t>
        </is>
      </c>
      <c r="B42" t="inlineStr">
        <is>
          <t>7701629630</t>
        </is>
      </c>
      <c r="C42" t="inlineStr">
        <is>
          <t>2026-01-19 22:12:04</t>
        </is>
      </c>
      <c r="D42" t="inlineStr">
        <is>
          <t>4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229</v>
      </c>
      <c r="P42" t="n">
        <v>3.5</v>
      </c>
      <c r="Q42" t="n">
        <v>0</v>
      </c>
      <c r="R42" t="n">
        <v>68.7</v>
      </c>
      <c r="S42" t="n">
        <v>0</v>
      </c>
      <c r="T42" t="n">
        <v>0</v>
      </c>
      <c r="U42" t="n">
        <v>0</v>
      </c>
      <c r="V42" t="n">
        <v>8.19</v>
      </c>
      <c r="W42" t="n">
        <v>171.99</v>
      </c>
      <c r="X42" t="n">
        <v>163.8</v>
      </c>
      <c r="Y42" t="n">
        <v>19</v>
      </c>
      <c r="Z42" t="n">
        <v>31.12</v>
      </c>
      <c r="AA42" t="n">
        <v>3.16</v>
      </c>
      <c r="AB42" t="n">
        <v>34.28</v>
      </c>
      <c r="AC42" t="n">
        <v>6.17</v>
      </c>
      <c r="AD42" t="n">
        <v>0</v>
      </c>
      <c r="AE42" t="n">
        <v>163.8</v>
      </c>
      <c r="AF42" t="n">
        <v>0</v>
      </c>
      <c r="AG42" t="n">
        <v>0</v>
      </c>
      <c r="AH42" t="n">
        <v>0.16</v>
      </c>
      <c r="AI42" t="n">
        <v>8.199999999999999</v>
      </c>
      <c r="AJ42" t="n">
        <v>-0.01</v>
      </c>
      <c r="AK42" t="n">
        <v>14.53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48.81</v>
      </c>
      <c r="AV42" t="n">
        <v>0</v>
      </c>
      <c r="AW42" t="n">
        <v>123.18</v>
      </c>
      <c r="AX42" t="inlineStr">
        <is>
          <t>settled</t>
        </is>
      </c>
      <c r="AY42" t="inlineStr">
        <is>
          <t>2026-01-28 05:30:00</t>
        </is>
      </c>
      <c r="AZ42" t="inlineStr">
        <is>
          <t>CITIN26611504159</t>
        </is>
      </c>
      <c r="BA42" t="n">
        <v>0</v>
      </c>
      <c r="BB42" t="inlineStr">
        <is>
          <t>4950384a3e600bed510c42f17393c740921e308b55b91280adf77c4fd58a9afd</t>
        </is>
      </c>
    </row>
    <row r="43">
      <c r="A43" t="inlineStr">
        <is>
          <t>38</t>
        </is>
      </c>
      <c r="B43" t="inlineStr">
        <is>
          <t>7707480112</t>
        </is>
      </c>
      <c r="C43" t="inlineStr">
        <is>
          <t>2026-01-19 23:14:46</t>
        </is>
      </c>
      <c r="D43" t="inlineStr">
        <is>
          <t>4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229</v>
      </c>
      <c r="P43" t="n">
        <v>3.5</v>
      </c>
      <c r="Q43" t="n">
        <v>0</v>
      </c>
      <c r="R43" t="n">
        <v>68.7</v>
      </c>
      <c r="S43" t="n">
        <v>0</v>
      </c>
      <c r="T43" t="n">
        <v>0</v>
      </c>
      <c r="U43" t="n">
        <v>0</v>
      </c>
      <c r="V43" t="n">
        <v>8.19</v>
      </c>
      <c r="W43" t="n">
        <v>171.99</v>
      </c>
      <c r="X43" t="n">
        <v>163.8</v>
      </c>
      <c r="Y43" t="n">
        <v>19</v>
      </c>
      <c r="Z43" t="n">
        <v>31.12</v>
      </c>
      <c r="AA43" t="n">
        <v>3.16</v>
      </c>
      <c r="AB43" t="n">
        <v>34.28</v>
      </c>
      <c r="AC43" t="n">
        <v>6.17</v>
      </c>
      <c r="AD43" t="n">
        <v>0</v>
      </c>
      <c r="AE43" t="n">
        <v>163.8</v>
      </c>
      <c r="AF43" t="n">
        <v>0</v>
      </c>
      <c r="AG43" t="n">
        <v>0</v>
      </c>
      <c r="AH43" t="n">
        <v>0.16</v>
      </c>
      <c r="AI43" t="n">
        <v>8.199999999999999</v>
      </c>
      <c r="AJ43" t="n">
        <v>-0.01</v>
      </c>
      <c r="AK43" t="n">
        <v>14.53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48.81</v>
      </c>
      <c r="AV43" t="n">
        <v>0</v>
      </c>
      <c r="AW43" t="n">
        <v>123.18</v>
      </c>
      <c r="AX43" t="inlineStr">
        <is>
          <t>settled</t>
        </is>
      </c>
      <c r="AY43" t="inlineStr">
        <is>
          <t>2026-01-28 05:30:00</t>
        </is>
      </c>
      <c r="AZ43" t="inlineStr">
        <is>
          <t>CITIN26611504159</t>
        </is>
      </c>
      <c r="BA43" t="n">
        <v>0</v>
      </c>
      <c r="BB43" t="inlineStr">
        <is>
          <t>3c515e96660c7ab49e89507033d14fe6c9b6bd7cfabffe9ca71bf9fcc48ce398</t>
        </is>
      </c>
    </row>
    <row r="44">
      <c r="A44" t="inlineStr">
        <is>
          <t>39</t>
        </is>
      </c>
      <c r="B44" t="inlineStr">
        <is>
          <t>7704896716</t>
        </is>
      </c>
      <c r="C44" t="inlineStr">
        <is>
          <t>2026-01-19 23:18:33</t>
        </is>
      </c>
      <c r="D44" t="inlineStr">
        <is>
          <t>4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229</v>
      </c>
      <c r="P44" t="n">
        <v>3.5</v>
      </c>
      <c r="Q44" t="n">
        <v>0</v>
      </c>
      <c r="R44" t="n">
        <v>68.7</v>
      </c>
      <c r="S44" t="n">
        <v>0</v>
      </c>
      <c r="T44" t="n">
        <v>0</v>
      </c>
      <c r="U44" t="n">
        <v>0</v>
      </c>
      <c r="V44" t="n">
        <v>8.19</v>
      </c>
      <c r="W44" t="n">
        <v>171.99</v>
      </c>
      <c r="X44" t="n">
        <v>163.8</v>
      </c>
      <c r="Y44" t="n">
        <v>19</v>
      </c>
      <c r="Z44" t="n">
        <v>31.12</v>
      </c>
      <c r="AA44" t="n">
        <v>3.16</v>
      </c>
      <c r="AB44" t="n">
        <v>34.28</v>
      </c>
      <c r="AC44" t="n">
        <v>6.17</v>
      </c>
      <c r="AD44" t="n">
        <v>0</v>
      </c>
      <c r="AE44" t="n">
        <v>163.8</v>
      </c>
      <c r="AF44" t="n">
        <v>0</v>
      </c>
      <c r="AG44" t="n">
        <v>0</v>
      </c>
      <c r="AH44" t="n">
        <v>0.16</v>
      </c>
      <c r="AI44" t="n">
        <v>8.199999999999999</v>
      </c>
      <c r="AJ44" t="n">
        <v>-0.01</v>
      </c>
      <c r="AK44" t="n">
        <v>14.53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48.81</v>
      </c>
      <c r="AV44" t="n">
        <v>0</v>
      </c>
      <c r="AW44" t="n">
        <v>123.18</v>
      </c>
      <c r="AX44" t="inlineStr">
        <is>
          <t>settled</t>
        </is>
      </c>
      <c r="AY44" t="inlineStr">
        <is>
          <t>2026-01-28 05:30:00</t>
        </is>
      </c>
      <c r="AZ44" t="inlineStr">
        <is>
          <t>CITIN26611504159</t>
        </is>
      </c>
      <c r="BA44" t="n">
        <v>0</v>
      </c>
      <c r="BB44" t="inlineStr">
        <is>
          <t>77796fbb8bf08641e77b66e470716d6615e5ffb50f6c5c4b5e72cdaa9a5e9801</t>
        </is>
      </c>
    </row>
    <row r="45">
      <c r="A45" t="inlineStr">
        <is>
          <t>40</t>
        </is>
      </c>
      <c r="B45" t="inlineStr">
        <is>
          <t>7709714773</t>
        </is>
      </c>
      <c r="C45" t="inlineStr">
        <is>
          <t>2026-01-20 00:23:49</t>
        </is>
      </c>
      <c r="D45" t="inlineStr">
        <is>
          <t>4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229</v>
      </c>
      <c r="P45" t="n">
        <v>3.5</v>
      </c>
      <c r="Q45" t="n">
        <v>0</v>
      </c>
      <c r="R45" t="n">
        <v>68.7</v>
      </c>
      <c r="S45" t="n">
        <v>0</v>
      </c>
      <c r="T45" t="n">
        <v>0</v>
      </c>
      <c r="U45" t="n">
        <v>0</v>
      </c>
      <c r="V45" t="n">
        <v>8.19</v>
      </c>
      <c r="W45" t="n">
        <v>171.99</v>
      </c>
      <c r="X45" t="n">
        <v>163.8</v>
      </c>
      <c r="Y45" t="n">
        <v>19</v>
      </c>
      <c r="Z45" t="n">
        <v>31.12</v>
      </c>
      <c r="AA45" t="n">
        <v>3.16</v>
      </c>
      <c r="AB45" t="n">
        <v>34.28</v>
      </c>
      <c r="AC45" t="n">
        <v>6.17</v>
      </c>
      <c r="AD45" t="n">
        <v>0</v>
      </c>
      <c r="AE45" t="n">
        <v>163.8</v>
      </c>
      <c r="AF45" t="n">
        <v>0</v>
      </c>
      <c r="AG45" t="n">
        <v>0</v>
      </c>
      <c r="AH45" t="n">
        <v>0.16</v>
      </c>
      <c r="AI45" t="n">
        <v>8.199999999999999</v>
      </c>
      <c r="AJ45" t="n">
        <v>-0.01</v>
      </c>
      <c r="AK45" t="n">
        <v>14.53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48.81</v>
      </c>
      <c r="AV45" t="n">
        <v>0</v>
      </c>
      <c r="AW45" t="n">
        <v>123.18</v>
      </c>
      <c r="AX45" t="inlineStr">
        <is>
          <t>settled</t>
        </is>
      </c>
      <c r="AY45" t="inlineStr">
        <is>
          <t>2026-01-28 05:30:00</t>
        </is>
      </c>
      <c r="AZ45" t="inlineStr">
        <is>
          <t>CITIN26611504159</t>
        </is>
      </c>
      <c r="BA45" t="n">
        <v>0</v>
      </c>
      <c r="BB45" t="inlineStr">
        <is>
          <t>74f0a6db88b2a634f555aff2b6f9180ba1a60f3e1032a1cc633ce7f92799b062</t>
        </is>
      </c>
    </row>
    <row r="46">
      <c r="A46" t="inlineStr">
        <is>
          <t>41</t>
        </is>
      </c>
      <c r="B46" t="inlineStr">
        <is>
          <t>7706562698</t>
        </is>
      </c>
      <c r="C46" t="inlineStr">
        <is>
          <t>2026-01-20 01:02:51</t>
        </is>
      </c>
      <c r="D46" t="inlineStr">
        <is>
          <t>4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229</v>
      </c>
      <c r="P46" t="n">
        <v>3.5</v>
      </c>
      <c r="Q46" t="n">
        <v>0</v>
      </c>
      <c r="R46" t="n">
        <v>68.7</v>
      </c>
      <c r="S46" t="n">
        <v>0</v>
      </c>
      <c r="T46" t="n">
        <v>0</v>
      </c>
      <c r="U46" t="n">
        <v>0</v>
      </c>
      <c r="V46" t="n">
        <v>8.19</v>
      </c>
      <c r="W46" t="n">
        <v>171.99</v>
      </c>
      <c r="X46" t="n">
        <v>163.8</v>
      </c>
      <c r="Y46" t="n">
        <v>19</v>
      </c>
      <c r="Z46" t="n">
        <v>31.12</v>
      </c>
      <c r="AA46" t="n">
        <v>3.16</v>
      </c>
      <c r="AB46" t="n">
        <v>34.28</v>
      </c>
      <c r="AC46" t="n">
        <v>6.17</v>
      </c>
      <c r="AD46" t="n">
        <v>0</v>
      </c>
      <c r="AE46" t="n">
        <v>163.8</v>
      </c>
      <c r="AF46" t="n">
        <v>0</v>
      </c>
      <c r="AG46" t="n">
        <v>0</v>
      </c>
      <c r="AH46" t="n">
        <v>0.16</v>
      </c>
      <c r="AI46" t="n">
        <v>8.199999999999999</v>
      </c>
      <c r="AJ46" t="n">
        <v>-0.01</v>
      </c>
      <c r="AK46" t="n">
        <v>14.53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48.81</v>
      </c>
      <c r="AV46" t="n">
        <v>0</v>
      </c>
      <c r="AW46" t="n">
        <v>123.18</v>
      </c>
      <c r="AX46" t="inlineStr">
        <is>
          <t>settled</t>
        </is>
      </c>
      <c r="AY46" t="inlineStr">
        <is>
          <t>2026-01-28 05:30:00</t>
        </is>
      </c>
      <c r="AZ46" t="inlineStr">
        <is>
          <t>CITIN26611504159</t>
        </is>
      </c>
      <c r="BA46" t="n">
        <v>0</v>
      </c>
      <c r="BB46" t="inlineStr">
        <is>
          <t>37af6b70cc6f9c29b00dedc51b43bf8b8465538dd81504f11acbe771abff70d5</t>
        </is>
      </c>
    </row>
    <row r="47">
      <c r="A47" t="inlineStr">
        <is>
          <t>42</t>
        </is>
      </c>
      <c r="B47" t="inlineStr">
        <is>
          <t>7696930071</t>
        </is>
      </c>
      <c r="C47" t="inlineStr">
        <is>
          <t>2026-01-20 01:37:52</t>
        </is>
      </c>
      <c r="D47" t="inlineStr">
        <is>
          <t>4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219</v>
      </c>
      <c r="P47" t="n">
        <v>3.5</v>
      </c>
      <c r="Q47" t="n">
        <v>0</v>
      </c>
      <c r="R47" t="n">
        <v>65.7</v>
      </c>
      <c r="S47" t="n">
        <v>0</v>
      </c>
      <c r="T47" t="n">
        <v>0</v>
      </c>
      <c r="U47" t="n">
        <v>0</v>
      </c>
      <c r="V47" t="n">
        <v>7.84</v>
      </c>
      <c r="W47" t="n">
        <v>164.64</v>
      </c>
      <c r="X47" t="n">
        <v>156.8</v>
      </c>
      <c r="Y47" t="n">
        <v>19</v>
      </c>
      <c r="Z47" t="n">
        <v>29.79</v>
      </c>
      <c r="AA47" t="n">
        <v>3.03</v>
      </c>
      <c r="AB47" t="n">
        <v>32.82</v>
      </c>
      <c r="AC47" t="n">
        <v>5.91</v>
      </c>
      <c r="AD47" t="n">
        <v>0</v>
      </c>
      <c r="AE47" t="n">
        <v>156.8</v>
      </c>
      <c r="AF47" t="n">
        <v>0</v>
      </c>
      <c r="AG47" t="n">
        <v>0</v>
      </c>
      <c r="AH47" t="n">
        <v>0.16</v>
      </c>
      <c r="AI47" t="n">
        <v>7.85</v>
      </c>
      <c r="AJ47" t="n">
        <v>-0.01</v>
      </c>
      <c r="AK47" t="n">
        <v>13.92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46.74</v>
      </c>
      <c r="AV47" t="n">
        <v>0</v>
      </c>
      <c r="AW47" t="n">
        <v>117.9</v>
      </c>
      <c r="AX47" t="inlineStr">
        <is>
          <t>settled</t>
        </is>
      </c>
      <c r="AY47" t="inlineStr">
        <is>
          <t>2026-01-28 05:30:00</t>
        </is>
      </c>
      <c r="AZ47" t="inlineStr">
        <is>
          <t>CITIN26611504159</t>
        </is>
      </c>
      <c r="BA47" t="n">
        <v>0</v>
      </c>
      <c r="BB47" t="inlineStr">
        <is>
          <t>55e6341fbdde05000fe63510931d24845a9b8fdda623ad613a6fbcdeff04a33f</t>
        </is>
      </c>
    </row>
    <row r="48">
      <c r="A48" t="inlineStr">
        <is>
          <t>43</t>
        </is>
      </c>
      <c r="B48" t="inlineStr">
        <is>
          <t>7707693934</t>
        </is>
      </c>
      <c r="C48" t="inlineStr">
        <is>
          <t>2026-01-20 01:40:03</t>
        </is>
      </c>
      <c r="D48" t="inlineStr">
        <is>
          <t>4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30% off upto ₹75 (2025-06-25 - 2031-01-01)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268</v>
      </c>
      <c r="P48" t="n">
        <v>3.5</v>
      </c>
      <c r="Q48" t="n">
        <v>0</v>
      </c>
      <c r="R48" t="n">
        <v>75</v>
      </c>
      <c r="S48" t="n">
        <v>0</v>
      </c>
      <c r="T48" t="n">
        <v>0</v>
      </c>
      <c r="U48" t="n">
        <v>0</v>
      </c>
      <c r="V48" t="n">
        <v>9.83</v>
      </c>
      <c r="W48" t="n">
        <v>206.33</v>
      </c>
      <c r="X48" t="n">
        <v>196.5</v>
      </c>
      <c r="Y48" t="n">
        <v>19</v>
      </c>
      <c r="Z48" t="n">
        <v>37.34</v>
      </c>
      <c r="AA48" t="n">
        <v>3.8</v>
      </c>
      <c r="AB48" t="n">
        <v>41.14</v>
      </c>
      <c r="AC48" t="n">
        <v>7.4</v>
      </c>
      <c r="AD48" t="n">
        <v>0</v>
      </c>
      <c r="AE48" t="n">
        <v>196.5</v>
      </c>
      <c r="AF48" t="n">
        <v>0</v>
      </c>
      <c r="AG48" t="n">
        <v>0</v>
      </c>
      <c r="AH48" t="n">
        <v>0.2</v>
      </c>
      <c r="AI48" t="n">
        <v>9.83</v>
      </c>
      <c r="AJ48" t="n">
        <v>0</v>
      </c>
      <c r="AK48" t="n">
        <v>17.43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58.57</v>
      </c>
      <c r="AV48" t="n">
        <v>0</v>
      </c>
      <c r="AW48" t="n">
        <v>147.76</v>
      </c>
      <c r="AX48" t="inlineStr">
        <is>
          <t>settled</t>
        </is>
      </c>
      <c r="AY48" t="inlineStr">
        <is>
          <t>2026-01-28 05:30:00</t>
        </is>
      </c>
      <c r="AZ48" t="inlineStr">
        <is>
          <t>CITIN26611504159</t>
        </is>
      </c>
      <c r="BA48" t="n">
        <v>0</v>
      </c>
      <c r="BB48" t="inlineStr">
        <is>
          <t>cd7063722190e5dac9504ab8beb6d22c022467a3782c63d962eb031f9bec8558</t>
        </is>
      </c>
    </row>
    <row r="49">
      <c r="A49" t="inlineStr">
        <is>
          <t>44</t>
        </is>
      </c>
      <c r="B49" t="inlineStr">
        <is>
          <t>7703727322</t>
        </is>
      </c>
      <c r="C49" t="inlineStr">
        <is>
          <t>2026-01-20 01:41:38</t>
        </is>
      </c>
      <c r="D49" t="inlineStr">
        <is>
          <t>4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219</v>
      </c>
      <c r="P49" t="n">
        <v>3.5</v>
      </c>
      <c r="Q49" t="n">
        <v>0</v>
      </c>
      <c r="R49" t="n">
        <v>65.7</v>
      </c>
      <c r="S49" t="n">
        <v>0</v>
      </c>
      <c r="T49" t="n">
        <v>0</v>
      </c>
      <c r="U49" t="n">
        <v>0</v>
      </c>
      <c r="V49" t="n">
        <v>7.84</v>
      </c>
      <c r="W49" t="n">
        <v>164.64</v>
      </c>
      <c r="X49" t="n">
        <v>156.8</v>
      </c>
      <c r="Y49" t="n">
        <v>19</v>
      </c>
      <c r="Z49" t="n">
        <v>29.79</v>
      </c>
      <c r="AA49" t="n">
        <v>3.03</v>
      </c>
      <c r="AB49" t="n">
        <v>32.82</v>
      </c>
      <c r="AC49" t="n">
        <v>5.91</v>
      </c>
      <c r="AD49" t="n">
        <v>0</v>
      </c>
      <c r="AE49" t="n">
        <v>156.8</v>
      </c>
      <c r="AF49" t="n">
        <v>0</v>
      </c>
      <c r="AG49" t="n">
        <v>0</v>
      </c>
      <c r="AH49" t="n">
        <v>0.16</v>
      </c>
      <c r="AI49" t="n">
        <v>7.85</v>
      </c>
      <c r="AJ49" t="n">
        <v>-0.01</v>
      </c>
      <c r="AK49" t="n">
        <v>13.92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46.74</v>
      </c>
      <c r="AV49" t="n">
        <v>0</v>
      </c>
      <c r="AW49" t="n">
        <v>117.9</v>
      </c>
      <c r="AX49" t="inlineStr">
        <is>
          <t>settled</t>
        </is>
      </c>
      <c r="AY49" t="inlineStr">
        <is>
          <t>2026-01-28 05:30:00</t>
        </is>
      </c>
      <c r="AZ49" t="inlineStr">
        <is>
          <t>CITIN26611504159</t>
        </is>
      </c>
      <c r="BA49" t="n">
        <v>0</v>
      </c>
      <c r="BB49" t="inlineStr">
        <is>
          <t>f6933141b8b01b03e75452e62e06859ce3be09eab9a171d0604dcf756e5de676</t>
        </is>
      </c>
    </row>
    <row r="50">
      <c r="A50" t="inlineStr">
        <is>
          <t>45</t>
        </is>
      </c>
      <c r="B50" t="inlineStr">
        <is>
          <t>7708937319</t>
        </is>
      </c>
      <c r="C50" t="inlineStr">
        <is>
          <t>2026-01-20 01:46:40</t>
        </is>
      </c>
      <c r="D50" t="inlineStr">
        <is>
          <t>4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30% off upto ₹75 (2025-06-25 - 2031-01-01)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229</v>
      </c>
      <c r="P50" t="n">
        <v>3.5</v>
      </c>
      <c r="Q50" t="n">
        <v>0</v>
      </c>
      <c r="R50" t="n">
        <v>68.7</v>
      </c>
      <c r="S50" t="n">
        <v>0</v>
      </c>
      <c r="T50" t="n">
        <v>0</v>
      </c>
      <c r="U50" t="n">
        <v>0</v>
      </c>
      <c r="V50" t="n">
        <v>8.19</v>
      </c>
      <c r="W50" t="n">
        <v>171.99</v>
      </c>
      <c r="X50" t="n">
        <v>163.8</v>
      </c>
      <c r="Y50" t="n">
        <v>19</v>
      </c>
      <c r="Z50" t="n">
        <v>31.12</v>
      </c>
      <c r="AA50" t="n">
        <v>3.16</v>
      </c>
      <c r="AB50" t="n">
        <v>34.28</v>
      </c>
      <c r="AC50" t="n">
        <v>6.17</v>
      </c>
      <c r="AD50" t="n">
        <v>0</v>
      </c>
      <c r="AE50" t="n">
        <v>163.8</v>
      </c>
      <c r="AF50" t="n">
        <v>0</v>
      </c>
      <c r="AG50" t="n">
        <v>0</v>
      </c>
      <c r="AH50" t="n">
        <v>0.16</v>
      </c>
      <c r="AI50" t="n">
        <v>8.199999999999999</v>
      </c>
      <c r="AJ50" t="n">
        <v>-0.01</v>
      </c>
      <c r="AK50" t="n">
        <v>14.53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48.81</v>
      </c>
      <c r="AV50" t="n">
        <v>0</v>
      </c>
      <c r="AW50" t="n">
        <v>123.18</v>
      </c>
      <c r="AX50" t="inlineStr">
        <is>
          <t>settled</t>
        </is>
      </c>
      <c r="AY50" t="inlineStr">
        <is>
          <t>2026-01-28 05:30:00</t>
        </is>
      </c>
      <c r="AZ50" t="inlineStr">
        <is>
          <t>CITIN26611504159</t>
        </is>
      </c>
      <c r="BA50" t="n">
        <v>0</v>
      </c>
      <c r="BB50" t="inlineStr">
        <is>
          <t>a473c5b5bb794ca01f4d19a3ec626c490746118f75b511b664ea338a88f977e3</t>
        </is>
      </c>
    </row>
    <row r="51">
      <c r="A51" t="inlineStr">
        <is>
          <t>46</t>
        </is>
      </c>
      <c r="B51" t="inlineStr">
        <is>
          <t>7707550119</t>
        </is>
      </c>
      <c r="C51" t="inlineStr">
        <is>
          <t>2026-01-20 02:14:56</t>
        </is>
      </c>
      <c r="D51" t="inlineStr">
        <is>
          <t>4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219</v>
      </c>
      <c r="P51" t="n">
        <v>3.5</v>
      </c>
      <c r="Q51" t="n">
        <v>0</v>
      </c>
      <c r="R51" t="n">
        <v>65.7</v>
      </c>
      <c r="S51" t="n">
        <v>0</v>
      </c>
      <c r="T51" t="n">
        <v>0</v>
      </c>
      <c r="U51" t="n">
        <v>0</v>
      </c>
      <c r="V51" t="n">
        <v>7.84</v>
      </c>
      <c r="W51" t="n">
        <v>164.64</v>
      </c>
      <c r="X51" t="n">
        <v>156.8</v>
      </c>
      <c r="Y51" t="n">
        <v>19</v>
      </c>
      <c r="Z51" t="n">
        <v>29.79</v>
      </c>
      <c r="AA51" t="n">
        <v>3.03</v>
      </c>
      <c r="AB51" t="n">
        <v>32.82</v>
      </c>
      <c r="AC51" t="n">
        <v>5.91</v>
      </c>
      <c r="AD51" t="n">
        <v>0</v>
      </c>
      <c r="AE51" t="n">
        <v>156.8</v>
      </c>
      <c r="AF51" t="n">
        <v>0</v>
      </c>
      <c r="AG51" t="n">
        <v>0</v>
      </c>
      <c r="AH51" t="n">
        <v>0.16</v>
      </c>
      <c r="AI51" t="n">
        <v>7.85</v>
      </c>
      <c r="AJ51" t="n">
        <v>-0.01</v>
      </c>
      <c r="AK51" t="n">
        <v>13.92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46.74</v>
      </c>
      <c r="AV51" t="n">
        <v>0</v>
      </c>
      <c r="AW51" t="n">
        <v>117.9</v>
      </c>
      <c r="AX51" t="inlineStr">
        <is>
          <t>settled</t>
        </is>
      </c>
      <c r="AY51" t="inlineStr">
        <is>
          <t>2026-01-28 05:30:00</t>
        </is>
      </c>
      <c r="AZ51" t="inlineStr">
        <is>
          <t>CITIN26611504159</t>
        </is>
      </c>
      <c r="BA51" t="n">
        <v>0</v>
      </c>
      <c r="BB51" t="inlineStr">
        <is>
          <t>a4a70e0e977a73da377b4f40475eaf264e2652e623d22ae3ef862491d5035f2f</t>
        </is>
      </c>
    </row>
    <row r="52">
      <c r="A52" t="inlineStr">
        <is>
          <t>47</t>
        </is>
      </c>
      <c r="B52" t="inlineStr">
        <is>
          <t>7706038074</t>
        </is>
      </c>
      <c r="C52" t="inlineStr">
        <is>
          <t>2026-01-20 02:36:49</t>
        </is>
      </c>
      <c r="D52" t="inlineStr">
        <is>
          <t>4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428</v>
      </c>
      <c r="P52" t="n">
        <v>3.5</v>
      </c>
      <c r="Q52" t="n">
        <v>0</v>
      </c>
      <c r="R52" t="n">
        <v>75</v>
      </c>
      <c r="S52" t="n">
        <v>0</v>
      </c>
      <c r="T52" t="n">
        <v>0</v>
      </c>
      <c r="U52" t="n">
        <v>0</v>
      </c>
      <c r="V52" t="n">
        <v>17.83</v>
      </c>
      <c r="W52" t="n">
        <v>374.33</v>
      </c>
      <c r="X52" t="n">
        <v>356.5</v>
      </c>
      <c r="Y52" t="n">
        <v>19</v>
      </c>
      <c r="Z52" t="n">
        <v>67.73999999999999</v>
      </c>
      <c r="AA52" t="n">
        <v>6.89</v>
      </c>
      <c r="AB52" t="n">
        <v>74.63</v>
      </c>
      <c r="AC52" t="n">
        <v>13.43</v>
      </c>
      <c r="AD52" t="n">
        <v>0</v>
      </c>
      <c r="AE52" t="n">
        <v>356.5</v>
      </c>
      <c r="AF52" t="n">
        <v>0</v>
      </c>
      <c r="AG52" t="n">
        <v>0</v>
      </c>
      <c r="AH52" t="n">
        <v>0.36</v>
      </c>
      <c r="AI52" t="n">
        <v>17.83</v>
      </c>
      <c r="AJ52" t="n">
        <v>0</v>
      </c>
      <c r="AK52" t="n">
        <v>31.62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106.25</v>
      </c>
      <c r="AV52" t="n">
        <v>0</v>
      </c>
      <c r="AW52" t="n">
        <v>268.08</v>
      </c>
      <c r="AX52" t="inlineStr">
        <is>
          <t>settled</t>
        </is>
      </c>
      <c r="AY52" t="inlineStr">
        <is>
          <t>2026-01-28 05:30:00</t>
        </is>
      </c>
      <c r="AZ52" t="inlineStr">
        <is>
          <t>CITIN26611504159</t>
        </is>
      </c>
      <c r="BA52" t="n">
        <v>0</v>
      </c>
      <c r="BB52" t="inlineStr">
        <is>
          <t>340559a9bf9192ec8146e034939bfbd15045e4156c99e2be393e4c6193214a2e</t>
        </is>
      </c>
    </row>
    <row r="53">
      <c r="A53" t="inlineStr">
        <is>
          <t>48</t>
        </is>
      </c>
      <c r="B53" t="inlineStr">
        <is>
          <t>7708955195</t>
        </is>
      </c>
      <c r="C53" t="inlineStr">
        <is>
          <t>2026-01-20 02:54:03</t>
        </is>
      </c>
      <c r="D53" t="inlineStr">
        <is>
          <t>4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229</v>
      </c>
      <c r="P53" t="n">
        <v>3.5</v>
      </c>
      <c r="Q53" t="n">
        <v>0</v>
      </c>
      <c r="R53" t="n">
        <v>68.7</v>
      </c>
      <c r="S53" t="n">
        <v>0</v>
      </c>
      <c r="T53" t="n">
        <v>0</v>
      </c>
      <c r="U53" t="n">
        <v>0</v>
      </c>
      <c r="V53" t="n">
        <v>8.19</v>
      </c>
      <c r="W53" t="n">
        <v>171.99</v>
      </c>
      <c r="X53" t="n">
        <v>163.8</v>
      </c>
      <c r="Y53" t="n">
        <v>19</v>
      </c>
      <c r="Z53" t="n">
        <v>31.12</v>
      </c>
      <c r="AA53" t="n">
        <v>3.16</v>
      </c>
      <c r="AB53" t="n">
        <v>34.28</v>
      </c>
      <c r="AC53" t="n">
        <v>6.17</v>
      </c>
      <c r="AD53" t="n">
        <v>0</v>
      </c>
      <c r="AE53" t="n">
        <v>163.8</v>
      </c>
      <c r="AF53" t="n">
        <v>0</v>
      </c>
      <c r="AG53" t="n">
        <v>0</v>
      </c>
      <c r="AH53" t="n">
        <v>0.16</v>
      </c>
      <c r="AI53" t="n">
        <v>8.199999999999999</v>
      </c>
      <c r="AJ53" t="n">
        <v>-0.01</v>
      </c>
      <c r="AK53" t="n">
        <v>14.53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48.81</v>
      </c>
      <c r="AV53" t="n">
        <v>0</v>
      </c>
      <c r="AW53" t="n">
        <v>123.18</v>
      </c>
      <c r="AX53" t="inlineStr">
        <is>
          <t>settled</t>
        </is>
      </c>
      <c r="AY53" t="inlineStr">
        <is>
          <t>2026-01-28 05:30:00</t>
        </is>
      </c>
      <c r="AZ53" t="inlineStr">
        <is>
          <t>CITIN26611504159</t>
        </is>
      </c>
      <c r="BA53" t="n">
        <v>0</v>
      </c>
      <c r="BB53" t="inlineStr">
        <is>
          <t>8b4946f10545cdac6dbdfca787d3eaf53d440de1a0b14aab7a89991ab585ada2</t>
        </is>
      </c>
    </row>
    <row r="54">
      <c r="A54" t="inlineStr">
        <is>
          <t>49</t>
        </is>
      </c>
      <c r="B54" t="inlineStr">
        <is>
          <t>7709870395</t>
        </is>
      </c>
      <c r="C54" t="inlineStr">
        <is>
          <t>2026-01-20 03:08:53</t>
        </is>
      </c>
      <c r="D54" t="inlineStr">
        <is>
          <t>4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458</v>
      </c>
      <c r="P54" t="n">
        <v>3.5</v>
      </c>
      <c r="Q54" t="n">
        <v>0</v>
      </c>
      <c r="R54" t="n">
        <v>75</v>
      </c>
      <c r="S54" t="n">
        <v>0</v>
      </c>
      <c r="T54" t="n">
        <v>0</v>
      </c>
      <c r="U54" t="n">
        <v>0</v>
      </c>
      <c r="V54" t="n">
        <v>19.33</v>
      </c>
      <c r="W54" t="n">
        <v>405.83</v>
      </c>
      <c r="X54" t="n">
        <v>386.5</v>
      </c>
      <c r="Y54" t="n">
        <v>19</v>
      </c>
      <c r="Z54" t="n">
        <v>73.44</v>
      </c>
      <c r="AA54" t="n">
        <v>7.47</v>
      </c>
      <c r="AB54" t="n">
        <v>80.91</v>
      </c>
      <c r="AC54" t="n">
        <v>14.56</v>
      </c>
      <c r="AD54" t="n">
        <v>0</v>
      </c>
      <c r="AE54" t="n">
        <v>386.5</v>
      </c>
      <c r="AF54" t="n">
        <v>0</v>
      </c>
      <c r="AG54" t="n">
        <v>0</v>
      </c>
      <c r="AH54" t="n">
        <v>0.39</v>
      </c>
      <c r="AI54" t="n">
        <v>19.33</v>
      </c>
      <c r="AJ54" t="n">
        <v>0</v>
      </c>
      <c r="AK54" t="n">
        <v>34.28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115.19</v>
      </c>
      <c r="AV54" t="n">
        <v>0</v>
      </c>
      <c r="AW54" t="n">
        <v>290.64</v>
      </c>
      <c r="AX54" t="inlineStr">
        <is>
          <t>settled</t>
        </is>
      </c>
      <c r="AY54" t="inlineStr">
        <is>
          <t>2026-01-28 05:30:00</t>
        </is>
      </c>
      <c r="AZ54" t="inlineStr">
        <is>
          <t>CITIN26611504159</t>
        </is>
      </c>
      <c r="BA54" t="n">
        <v>0</v>
      </c>
      <c r="BB54" t="inlineStr">
        <is>
          <t>e5228408a5db279b9b867680754b18d79e76d46e41b266acad8ad82790e0b0b9</t>
        </is>
      </c>
    </row>
    <row r="55">
      <c r="A55" t="inlineStr">
        <is>
          <t>50</t>
        </is>
      </c>
      <c r="B55" t="inlineStr">
        <is>
          <t>7704778556</t>
        </is>
      </c>
      <c r="C55" t="inlineStr">
        <is>
          <t>2026-01-20 03:42:46</t>
        </is>
      </c>
      <c r="D55" t="inlineStr">
        <is>
          <t>4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219</v>
      </c>
      <c r="P55" t="n">
        <v>3.5</v>
      </c>
      <c r="Q55" t="n">
        <v>0</v>
      </c>
      <c r="R55" t="n">
        <v>65.7</v>
      </c>
      <c r="S55" t="n">
        <v>0</v>
      </c>
      <c r="T55" t="n">
        <v>0</v>
      </c>
      <c r="U55" t="n">
        <v>0</v>
      </c>
      <c r="V55" t="n">
        <v>7.84</v>
      </c>
      <c r="W55" t="n">
        <v>164.64</v>
      </c>
      <c r="X55" t="n">
        <v>156.8</v>
      </c>
      <c r="Y55" t="n">
        <v>19</v>
      </c>
      <c r="Z55" t="n">
        <v>29.79</v>
      </c>
      <c r="AA55" t="n">
        <v>3.03</v>
      </c>
      <c r="AB55" t="n">
        <v>32.82</v>
      </c>
      <c r="AC55" t="n">
        <v>5.91</v>
      </c>
      <c r="AD55" t="n">
        <v>0</v>
      </c>
      <c r="AE55" t="n">
        <v>156.8</v>
      </c>
      <c r="AF55" t="n">
        <v>0</v>
      </c>
      <c r="AG55" t="n">
        <v>0</v>
      </c>
      <c r="AH55" t="n">
        <v>0.16</v>
      </c>
      <c r="AI55" t="n">
        <v>7.85</v>
      </c>
      <c r="AJ55" t="n">
        <v>-0.01</v>
      </c>
      <c r="AK55" t="n">
        <v>13.92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46.74</v>
      </c>
      <c r="AV55" t="n">
        <v>0</v>
      </c>
      <c r="AW55" t="n">
        <v>117.9</v>
      </c>
      <c r="AX55" t="inlineStr">
        <is>
          <t>settled</t>
        </is>
      </c>
      <c r="AY55" t="inlineStr">
        <is>
          <t>2026-01-28 05:30:00</t>
        </is>
      </c>
      <c r="AZ55" t="inlineStr">
        <is>
          <t>CITIN26611504159</t>
        </is>
      </c>
      <c r="BA55" t="n">
        <v>0</v>
      </c>
      <c r="BB55" t="inlineStr">
        <is>
          <t>185cbfdb59e6f39207e7e37bcf84de6ee7f820b378e5e9a0aa67fd000cc1960e</t>
        </is>
      </c>
    </row>
    <row r="56">
      <c r="A56" t="inlineStr">
        <is>
          <t>51</t>
        </is>
      </c>
      <c r="B56" t="inlineStr">
        <is>
          <t>7710156182</t>
        </is>
      </c>
      <c r="C56" t="inlineStr">
        <is>
          <t>2026-01-20 04:11:42</t>
        </is>
      </c>
      <c r="D56" t="inlineStr">
        <is>
          <t>4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30% off upto ₹75 (2025-06-25 - 2031-01-01)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229</v>
      </c>
      <c r="P56" t="n">
        <v>3.5</v>
      </c>
      <c r="Q56" t="n">
        <v>0</v>
      </c>
      <c r="R56" t="n">
        <v>68.7</v>
      </c>
      <c r="S56" t="n">
        <v>0</v>
      </c>
      <c r="T56" t="n">
        <v>0</v>
      </c>
      <c r="U56" t="n">
        <v>0</v>
      </c>
      <c r="V56" t="n">
        <v>8.19</v>
      </c>
      <c r="W56" t="n">
        <v>171.99</v>
      </c>
      <c r="X56" t="n">
        <v>163.8</v>
      </c>
      <c r="Y56" t="n">
        <v>19</v>
      </c>
      <c r="Z56" t="n">
        <v>31.12</v>
      </c>
      <c r="AA56" t="n">
        <v>3.16</v>
      </c>
      <c r="AB56" t="n">
        <v>34.28</v>
      </c>
      <c r="AC56" t="n">
        <v>6.17</v>
      </c>
      <c r="AD56" t="n">
        <v>0</v>
      </c>
      <c r="AE56" t="n">
        <v>163.8</v>
      </c>
      <c r="AF56" t="n">
        <v>0</v>
      </c>
      <c r="AG56" t="n">
        <v>0</v>
      </c>
      <c r="AH56" t="n">
        <v>0.16</v>
      </c>
      <c r="AI56" t="n">
        <v>8.199999999999999</v>
      </c>
      <c r="AJ56" t="n">
        <v>-0.01</v>
      </c>
      <c r="AK56" t="n">
        <v>14.53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48.81</v>
      </c>
      <c r="AV56" t="n">
        <v>0</v>
      </c>
      <c r="AW56" t="n">
        <v>123.18</v>
      </c>
      <c r="AX56" t="inlineStr">
        <is>
          <t>settled</t>
        </is>
      </c>
      <c r="AY56" t="inlineStr">
        <is>
          <t>2026-01-28 05:30:00</t>
        </is>
      </c>
      <c r="AZ56" t="inlineStr">
        <is>
          <t>CITIN26611504159</t>
        </is>
      </c>
      <c r="BA56" t="n">
        <v>0</v>
      </c>
      <c r="BB56" t="inlineStr">
        <is>
          <t>6e1b36f5db7ab96694b283c1f744aa39df4c4aff58d198f5bdc08068fccab10d</t>
        </is>
      </c>
    </row>
    <row r="57">
      <c r="A57" t="inlineStr">
        <is>
          <t>52</t>
        </is>
      </c>
      <c r="B57" t="inlineStr">
        <is>
          <t>7709808658</t>
        </is>
      </c>
      <c r="C57" t="inlineStr">
        <is>
          <t>2026-01-20 04:15:12</t>
        </is>
      </c>
      <c r="D57" t="inlineStr">
        <is>
          <t>4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518</v>
      </c>
      <c r="P57" t="n">
        <v>3.5</v>
      </c>
      <c r="Q57" t="n">
        <v>0</v>
      </c>
      <c r="R57" t="n">
        <v>75</v>
      </c>
      <c r="S57" t="n">
        <v>0</v>
      </c>
      <c r="T57" t="n">
        <v>0</v>
      </c>
      <c r="U57" t="n">
        <v>0</v>
      </c>
      <c r="V57" t="n">
        <v>22.33</v>
      </c>
      <c r="W57" t="n">
        <v>468.83</v>
      </c>
      <c r="X57" t="n">
        <v>446.5</v>
      </c>
      <c r="Y57" t="n">
        <v>19</v>
      </c>
      <c r="Z57" t="n">
        <v>84.84</v>
      </c>
      <c r="AA57" t="n">
        <v>8.630000000000001</v>
      </c>
      <c r="AB57" t="n">
        <v>93.47</v>
      </c>
      <c r="AC57" t="n">
        <v>16.82</v>
      </c>
      <c r="AD57" t="n">
        <v>0</v>
      </c>
      <c r="AE57" t="n">
        <v>446.5</v>
      </c>
      <c r="AF57" t="n">
        <v>0</v>
      </c>
      <c r="AG57" t="n">
        <v>0</v>
      </c>
      <c r="AH57" t="n">
        <v>0.45</v>
      </c>
      <c r="AI57" t="n">
        <v>22.33</v>
      </c>
      <c r="AJ57" t="n">
        <v>0</v>
      </c>
      <c r="AK57" t="n">
        <v>39.6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133.07</v>
      </c>
      <c r="AV57" t="n">
        <v>0</v>
      </c>
      <c r="AW57" t="n">
        <v>335.76</v>
      </c>
      <c r="AX57" t="inlineStr">
        <is>
          <t>settled</t>
        </is>
      </c>
      <c r="AY57" t="inlineStr">
        <is>
          <t>2026-01-28 05:30:00</t>
        </is>
      </c>
      <c r="AZ57" t="inlineStr">
        <is>
          <t>CITIN26611504159</t>
        </is>
      </c>
      <c r="BA57" t="n">
        <v>0</v>
      </c>
      <c r="BB57" t="inlineStr">
        <is>
          <t>a752665733684c0ca5895ba8ac6f6ff4ae804b88ec76f9cd67b7b9e1184a1eac</t>
        </is>
      </c>
    </row>
    <row r="58">
      <c r="A58" t="inlineStr">
        <is>
          <t>53</t>
        </is>
      </c>
      <c r="B58" t="inlineStr">
        <is>
          <t>7708779396</t>
        </is>
      </c>
      <c r="C58" t="inlineStr">
        <is>
          <t>2026-01-20 11:25:34</t>
        </is>
      </c>
      <c r="D58" t="inlineStr">
        <is>
          <t>4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2026-01-28 05:30:00</t>
        </is>
      </c>
      <c r="AZ58" t="inlineStr">
        <is>
          <t>CITIN26611504159</t>
        </is>
      </c>
      <c r="BA58" t="n">
        <v>0</v>
      </c>
      <c r="BB58" t="inlineStr">
        <is>
          <t>d91c40610f74ce4db9fbe098d994a49d8986709f38f4100261acffed8d2b7662</t>
        </is>
      </c>
    </row>
    <row r="59">
      <c r="A59" t="inlineStr">
        <is>
          <t>54</t>
        </is>
      </c>
      <c r="B59" t="inlineStr">
        <is>
          <t>7705392516</t>
        </is>
      </c>
      <c r="C59" t="inlineStr">
        <is>
          <t>2026-01-20 11:38:55</t>
        </is>
      </c>
      <c r="D59" t="inlineStr">
        <is>
          <t>4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30% off upto ₹75 (2025-06-25 - 2031-01-01)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358</v>
      </c>
      <c r="P59" t="n">
        <v>3.5</v>
      </c>
      <c r="Q59" t="n">
        <v>0</v>
      </c>
      <c r="R59" t="n">
        <v>75</v>
      </c>
      <c r="S59" t="n">
        <v>0</v>
      </c>
      <c r="T59" t="n">
        <v>0</v>
      </c>
      <c r="U59" t="n">
        <v>0</v>
      </c>
      <c r="V59" t="n">
        <v>14.33</v>
      </c>
      <c r="W59" t="n">
        <v>300.83</v>
      </c>
      <c r="X59" t="n">
        <v>286.5</v>
      </c>
      <c r="Y59" t="n">
        <v>19</v>
      </c>
      <c r="Z59" t="n">
        <v>54.44</v>
      </c>
      <c r="AA59" t="n">
        <v>5.54</v>
      </c>
      <c r="AB59" t="n">
        <v>59.98</v>
      </c>
      <c r="AC59" t="n">
        <v>10.8</v>
      </c>
      <c r="AD59" t="n">
        <v>0</v>
      </c>
      <c r="AE59" t="n">
        <v>286.5</v>
      </c>
      <c r="AF59" t="n">
        <v>0</v>
      </c>
      <c r="AG59" t="n">
        <v>0</v>
      </c>
      <c r="AH59" t="n">
        <v>0.29</v>
      </c>
      <c r="AI59" t="n">
        <v>14.33</v>
      </c>
      <c r="AJ59" t="n">
        <v>0</v>
      </c>
      <c r="AK59" t="n">
        <v>25.42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85.40000000000001</v>
      </c>
      <c r="AV59" t="n">
        <v>0</v>
      </c>
      <c r="AW59" t="n">
        <v>215.43</v>
      </c>
      <c r="AX59" t="inlineStr">
        <is>
          <t>settled</t>
        </is>
      </c>
      <c r="AY59" t="inlineStr">
        <is>
          <t>2026-01-28 05:30:00</t>
        </is>
      </c>
      <c r="AZ59" t="inlineStr">
        <is>
          <t>CITIN26611504159</t>
        </is>
      </c>
      <c r="BA59" t="n">
        <v>0</v>
      </c>
      <c r="BB59" t="inlineStr">
        <is>
          <t>93b2f4ca6fddc2ef912584bf3de0f57c2114d4859ca1b7dd7822498a5884dafb</t>
        </is>
      </c>
    </row>
    <row r="60">
      <c r="A60" t="inlineStr">
        <is>
          <t>55</t>
        </is>
      </c>
      <c r="B60" t="inlineStr">
        <is>
          <t>7706540018</t>
        </is>
      </c>
      <c r="C60" t="inlineStr">
        <is>
          <t>2026-01-20 12:12:45</t>
        </is>
      </c>
      <c r="D60" t="inlineStr">
        <is>
          <t>4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229</v>
      </c>
      <c r="P60" t="n">
        <v>3.5</v>
      </c>
      <c r="Q60" t="n">
        <v>0</v>
      </c>
      <c r="R60" t="n">
        <v>68.7</v>
      </c>
      <c r="S60" t="n">
        <v>0</v>
      </c>
      <c r="T60" t="n">
        <v>0</v>
      </c>
      <c r="U60" t="n">
        <v>0</v>
      </c>
      <c r="V60" t="n">
        <v>8.19</v>
      </c>
      <c r="W60" t="n">
        <v>171.99</v>
      </c>
      <c r="X60" t="n">
        <v>163.8</v>
      </c>
      <c r="Y60" t="n">
        <v>19</v>
      </c>
      <c r="Z60" t="n">
        <v>31.12</v>
      </c>
      <c r="AA60" t="n">
        <v>3.16</v>
      </c>
      <c r="AB60" t="n">
        <v>34.28</v>
      </c>
      <c r="AC60" t="n">
        <v>6.17</v>
      </c>
      <c r="AD60" t="n">
        <v>0</v>
      </c>
      <c r="AE60" t="n">
        <v>163.8</v>
      </c>
      <c r="AF60" t="n">
        <v>0</v>
      </c>
      <c r="AG60" t="n">
        <v>0</v>
      </c>
      <c r="AH60" t="n">
        <v>0.16</v>
      </c>
      <c r="AI60" t="n">
        <v>8.199999999999999</v>
      </c>
      <c r="AJ60" t="n">
        <v>-0.01</v>
      </c>
      <c r="AK60" t="n">
        <v>14.53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48.81</v>
      </c>
      <c r="AV60" t="n">
        <v>0</v>
      </c>
      <c r="AW60" t="n">
        <v>123.18</v>
      </c>
      <c r="AX60" t="inlineStr">
        <is>
          <t>settled</t>
        </is>
      </c>
      <c r="AY60" t="inlineStr">
        <is>
          <t>2026-01-28 05:30:00</t>
        </is>
      </c>
      <c r="AZ60" t="inlineStr">
        <is>
          <t>CITIN26611504159</t>
        </is>
      </c>
      <c r="BA60" t="n">
        <v>0</v>
      </c>
      <c r="BB60" t="inlineStr">
        <is>
          <t>bf44bb1dc0bb69706669b4ee11ce63a77a182c4191694e9aeaf0b6ff19ed26f9</t>
        </is>
      </c>
    </row>
    <row r="61">
      <c r="A61" t="inlineStr">
        <is>
          <t>56</t>
        </is>
      </c>
      <c r="B61" t="inlineStr">
        <is>
          <t>7710264620</t>
        </is>
      </c>
      <c r="C61" t="inlineStr">
        <is>
          <t>2026-01-20 12:30:24</t>
        </is>
      </c>
      <c r="D61" t="inlineStr">
        <is>
          <t>4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30% off upto ₹75 (2025-06-25 - 2031-01-01)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68.7</v>
      </c>
      <c r="S61" t="n">
        <v>0</v>
      </c>
      <c r="T61" t="n">
        <v>0</v>
      </c>
      <c r="U61" t="n">
        <v>0</v>
      </c>
      <c r="V61" t="n">
        <v>8.19</v>
      </c>
      <c r="W61" t="n">
        <v>171.99</v>
      </c>
      <c r="X61" t="n">
        <v>163.8</v>
      </c>
      <c r="Y61" t="n">
        <v>19</v>
      </c>
      <c r="Z61" t="n">
        <v>31.12</v>
      </c>
      <c r="AA61" t="n">
        <v>3.16</v>
      </c>
      <c r="AB61" t="n">
        <v>34.28</v>
      </c>
      <c r="AC61" t="n">
        <v>6.17</v>
      </c>
      <c r="AD61" t="n">
        <v>0</v>
      </c>
      <c r="AE61" t="n">
        <v>163.8</v>
      </c>
      <c r="AF61" t="n">
        <v>0</v>
      </c>
      <c r="AG61" t="n">
        <v>0</v>
      </c>
      <c r="AH61" t="n">
        <v>0.16</v>
      </c>
      <c r="AI61" t="n">
        <v>8.199999999999999</v>
      </c>
      <c r="AJ61" t="n">
        <v>-0.01</v>
      </c>
      <c r="AK61" t="n">
        <v>14.53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48.81</v>
      </c>
      <c r="AV61" t="n">
        <v>0</v>
      </c>
      <c r="AW61" t="n">
        <v>123.18</v>
      </c>
      <c r="AX61" t="inlineStr">
        <is>
          <t>settled</t>
        </is>
      </c>
      <c r="AY61" t="inlineStr">
        <is>
          <t>2026-01-28 05:30:00</t>
        </is>
      </c>
      <c r="AZ61" t="inlineStr">
        <is>
          <t>CITIN26611504159</t>
        </is>
      </c>
      <c r="BA61" t="n">
        <v>0</v>
      </c>
      <c r="BB61" t="inlineStr">
        <is>
          <t>dbe427a8c0322c821d245393245aa670970229ea8b922413361d756ea74866d4</t>
        </is>
      </c>
    </row>
    <row r="62">
      <c r="A62" t="inlineStr">
        <is>
          <t>57</t>
        </is>
      </c>
      <c r="B62" t="inlineStr">
        <is>
          <t>7710113102</t>
        </is>
      </c>
      <c r="C62" t="inlineStr">
        <is>
          <t>2026-01-20 14:13:20</t>
        </is>
      </c>
      <c r="D62" t="inlineStr">
        <is>
          <t>4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30% off upto ₹75 (2025-06-25 - 2031-01-01)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407</v>
      </c>
      <c r="P62" t="n">
        <v>3.5</v>
      </c>
      <c r="Q62" t="n">
        <v>0</v>
      </c>
      <c r="R62" t="n">
        <v>75</v>
      </c>
      <c r="S62" t="n">
        <v>0</v>
      </c>
      <c r="T62" t="n">
        <v>0</v>
      </c>
      <c r="U62" t="n">
        <v>0</v>
      </c>
      <c r="V62" t="n">
        <v>16.78</v>
      </c>
      <c r="W62" t="n">
        <v>352.28</v>
      </c>
      <c r="X62" t="n">
        <v>335.5</v>
      </c>
      <c r="Y62" t="n">
        <v>19</v>
      </c>
      <c r="Z62" t="n">
        <v>63.74</v>
      </c>
      <c r="AA62" t="n">
        <v>6.48</v>
      </c>
      <c r="AB62" t="n">
        <v>70.22</v>
      </c>
      <c r="AC62" t="n">
        <v>12.64</v>
      </c>
      <c r="AD62" t="n">
        <v>0</v>
      </c>
      <c r="AE62" t="n">
        <v>335.5</v>
      </c>
      <c r="AF62" t="n">
        <v>0</v>
      </c>
      <c r="AG62" t="n">
        <v>0</v>
      </c>
      <c r="AH62" t="n">
        <v>0.34</v>
      </c>
      <c r="AI62" t="n">
        <v>16.78</v>
      </c>
      <c r="AJ62" t="n">
        <v>0</v>
      </c>
      <c r="AK62" t="n">
        <v>29.76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99.98</v>
      </c>
      <c r="AV62" t="n">
        <v>0</v>
      </c>
      <c r="AW62" t="n">
        <v>252.3</v>
      </c>
      <c r="AX62" t="inlineStr">
        <is>
          <t>settled</t>
        </is>
      </c>
      <c r="AY62" t="inlineStr">
        <is>
          <t>2026-01-28 05:30:00</t>
        </is>
      </c>
      <c r="AZ62" t="inlineStr">
        <is>
          <t>CITIN26611504159</t>
        </is>
      </c>
      <c r="BA62" t="n">
        <v>0</v>
      </c>
      <c r="BB62" t="inlineStr">
        <is>
          <t>e4ff0741afe78e085c41c52e75c1891008b363859b9062f2b880c4f5f7b66fa5</t>
        </is>
      </c>
    </row>
    <row r="63">
      <c r="A63" t="inlineStr">
        <is>
          <t>58</t>
        </is>
      </c>
      <c r="B63" t="inlineStr">
        <is>
          <t>7708388963</t>
        </is>
      </c>
      <c r="C63" t="inlineStr">
        <is>
          <t>2026-01-20 15:36:28</t>
        </is>
      </c>
      <c r="D63" t="inlineStr">
        <is>
          <t>4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NA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11.63</v>
      </c>
      <c r="W63" t="n">
        <v>244.13</v>
      </c>
      <c r="X63" t="n">
        <v>232.5</v>
      </c>
      <c r="Y63" t="n">
        <v>19</v>
      </c>
      <c r="Z63" t="n">
        <v>44.18</v>
      </c>
      <c r="AA63" t="n">
        <v>4.49</v>
      </c>
      <c r="AB63" t="n">
        <v>48.67</v>
      </c>
      <c r="AC63" t="n">
        <v>8.76</v>
      </c>
      <c r="AD63" t="n">
        <v>0</v>
      </c>
      <c r="AE63" t="n">
        <v>232.5</v>
      </c>
      <c r="AF63" t="n">
        <v>0</v>
      </c>
      <c r="AG63" t="n">
        <v>0</v>
      </c>
      <c r="AH63" t="n">
        <v>0.23</v>
      </c>
      <c r="AI63" t="n">
        <v>11.63</v>
      </c>
      <c r="AJ63" t="n">
        <v>0</v>
      </c>
      <c r="AK63" t="n">
        <v>20.62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69.29000000000001</v>
      </c>
      <c r="AV63" t="n">
        <v>0</v>
      </c>
      <c r="AW63" t="n">
        <v>174.84</v>
      </c>
      <c r="AX63" t="inlineStr">
        <is>
          <t>settled</t>
        </is>
      </c>
      <c r="AY63" t="inlineStr">
        <is>
          <t>2026-01-28 05:30:00</t>
        </is>
      </c>
      <c r="AZ63" t="inlineStr">
        <is>
          <t>CITIN26611504159</t>
        </is>
      </c>
      <c r="BA63" t="n">
        <v>0</v>
      </c>
      <c r="BB63" t="inlineStr">
        <is>
          <t>443c0424f45129be69f172653c07d4b94dd0f67315951ec5488d5b6728179852</t>
        </is>
      </c>
    </row>
    <row r="64">
      <c r="A64" t="inlineStr">
        <is>
          <t>59</t>
        </is>
      </c>
      <c r="B64" t="inlineStr">
        <is>
          <t>7708841070</t>
        </is>
      </c>
      <c r="C64" t="inlineStr">
        <is>
          <t>2026-01-20 16:15:39</t>
        </is>
      </c>
      <c r="D64" t="inlineStr">
        <is>
          <t>4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229</v>
      </c>
      <c r="P64" t="n">
        <v>3.5</v>
      </c>
      <c r="Q64" t="n">
        <v>0</v>
      </c>
      <c r="R64" t="n">
        <v>68.7</v>
      </c>
      <c r="S64" t="n">
        <v>0</v>
      </c>
      <c r="T64" t="n">
        <v>0</v>
      </c>
      <c r="U64" t="n">
        <v>0</v>
      </c>
      <c r="V64" t="n">
        <v>8.19</v>
      </c>
      <c r="W64" t="n">
        <v>171.99</v>
      </c>
      <c r="X64" t="n">
        <v>163.8</v>
      </c>
      <c r="Y64" t="n">
        <v>19</v>
      </c>
      <c r="Z64" t="n">
        <v>31.12</v>
      </c>
      <c r="AA64" t="n">
        <v>3.16</v>
      </c>
      <c r="AB64" t="n">
        <v>34.28</v>
      </c>
      <c r="AC64" t="n">
        <v>6.17</v>
      </c>
      <c r="AD64" t="n">
        <v>0</v>
      </c>
      <c r="AE64" t="n">
        <v>163.8</v>
      </c>
      <c r="AF64" t="n">
        <v>0</v>
      </c>
      <c r="AG64" t="n">
        <v>0</v>
      </c>
      <c r="AH64" t="n">
        <v>0.16</v>
      </c>
      <c r="AI64" t="n">
        <v>8.199999999999999</v>
      </c>
      <c r="AJ64" t="n">
        <v>-0.01</v>
      </c>
      <c r="AK64" t="n">
        <v>14.53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48.81</v>
      </c>
      <c r="AV64" t="n">
        <v>0</v>
      </c>
      <c r="AW64" t="n">
        <v>123.18</v>
      </c>
      <c r="AX64" t="inlineStr">
        <is>
          <t>settled</t>
        </is>
      </c>
      <c r="AY64" t="inlineStr">
        <is>
          <t>2026-01-28 05:30:00</t>
        </is>
      </c>
      <c r="AZ64" t="inlineStr">
        <is>
          <t>CITIN26611504159</t>
        </is>
      </c>
      <c r="BA64" t="n">
        <v>0</v>
      </c>
      <c r="BB64" t="inlineStr">
        <is>
          <t>f550e46f852a497506e472392b83e979266897c67aca86b35f126f7d5d0e2d42</t>
        </is>
      </c>
    </row>
    <row r="65">
      <c r="A65" t="inlineStr">
        <is>
          <t>60</t>
        </is>
      </c>
      <c r="B65" t="inlineStr">
        <is>
          <t>7706677118</t>
        </is>
      </c>
      <c r="C65" t="inlineStr">
        <is>
          <t>2026-01-20 16:24:43</t>
        </is>
      </c>
      <c r="D65" t="inlineStr">
        <is>
          <t>4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229</v>
      </c>
      <c r="P65" t="n">
        <v>3.5</v>
      </c>
      <c r="Q65" t="n">
        <v>0</v>
      </c>
      <c r="R65" t="n">
        <v>68.7</v>
      </c>
      <c r="S65" t="n">
        <v>0</v>
      </c>
      <c r="T65" t="n">
        <v>0</v>
      </c>
      <c r="U65" t="n">
        <v>0</v>
      </c>
      <c r="V65" t="n">
        <v>8.19</v>
      </c>
      <c r="W65" t="n">
        <v>171.99</v>
      </c>
      <c r="X65" t="n">
        <v>163.8</v>
      </c>
      <c r="Y65" t="n">
        <v>19</v>
      </c>
      <c r="Z65" t="n">
        <v>31.12</v>
      </c>
      <c r="AA65" t="n">
        <v>3.16</v>
      </c>
      <c r="AB65" t="n">
        <v>34.28</v>
      </c>
      <c r="AC65" t="n">
        <v>6.17</v>
      </c>
      <c r="AD65" t="n">
        <v>0</v>
      </c>
      <c r="AE65" t="n">
        <v>163.8</v>
      </c>
      <c r="AF65" t="n">
        <v>0</v>
      </c>
      <c r="AG65" t="n">
        <v>0</v>
      </c>
      <c r="AH65" t="n">
        <v>0.16</v>
      </c>
      <c r="AI65" t="n">
        <v>8.199999999999999</v>
      </c>
      <c r="AJ65" t="n">
        <v>-0.01</v>
      </c>
      <c r="AK65" t="n">
        <v>14.53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48.81</v>
      </c>
      <c r="AV65" t="n">
        <v>0</v>
      </c>
      <c r="AW65" t="n">
        <v>123.18</v>
      </c>
      <c r="AX65" t="inlineStr">
        <is>
          <t>settled</t>
        </is>
      </c>
      <c r="AY65" t="inlineStr">
        <is>
          <t>2026-01-28 05:30:00</t>
        </is>
      </c>
      <c r="AZ65" t="inlineStr">
        <is>
          <t>CITIN26611504159</t>
        </is>
      </c>
      <c r="BA65" t="n">
        <v>0</v>
      </c>
      <c r="BB65" t="inlineStr">
        <is>
          <t>2259b2d842c25ff61229d9f868c44bfd08124634c54e4e44597e48ee79a52903</t>
        </is>
      </c>
    </row>
    <row r="66">
      <c r="A66" t="inlineStr">
        <is>
          <t>61</t>
        </is>
      </c>
      <c r="B66" t="inlineStr">
        <is>
          <t>7707375181</t>
        </is>
      </c>
      <c r="C66" t="inlineStr">
        <is>
          <t>2026-01-20 17:09:47</t>
        </is>
      </c>
      <c r="D66" t="inlineStr">
        <is>
          <t>4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667</v>
      </c>
      <c r="P66" t="n">
        <v>3.5</v>
      </c>
      <c r="Q66" t="n">
        <v>0</v>
      </c>
      <c r="R66" t="n">
        <v>75</v>
      </c>
      <c r="S66" t="n">
        <v>0</v>
      </c>
      <c r="T66" t="n">
        <v>0</v>
      </c>
      <c r="U66" t="n">
        <v>0</v>
      </c>
      <c r="V66" t="n">
        <v>29.78</v>
      </c>
      <c r="W66" t="n">
        <v>625.28</v>
      </c>
      <c r="X66" t="n">
        <v>595.5</v>
      </c>
      <c r="Y66" t="n">
        <v>19</v>
      </c>
      <c r="Z66" t="n">
        <v>113.14</v>
      </c>
      <c r="AA66" t="n">
        <v>11.51</v>
      </c>
      <c r="AB66" t="n">
        <v>124.65</v>
      </c>
      <c r="AC66" t="n">
        <v>22.44</v>
      </c>
      <c r="AD66" t="n">
        <v>0</v>
      </c>
      <c r="AE66" t="n">
        <v>595.5</v>
      </c>
      <c r="AF66" t="n">
        <v>0</v>
      </c>
      <c r="AG66" t="n">
        <v>0</v>
      </c>
      <c r="AH66" t="n">
        <v>0.6</v>
      </c>
      <c r="AI66" t="n">
        <v>29.78</v>
      </c>
      <c r="AJ66" t="n">
        <v>0</v>
      </c>
      <c r="AK66" t="n">
        <v>52.82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177.47</v>
      </c>
      <c r="AV66" t="n">
        <v>0</v>
      </c>
      <c r="AW66" t="n">
        <v>447.81</v>
      </c>
      <c r="AX66" t="inlineStr">
        <is>
          <t>settled</t>
        </is>
      </c>
      <c r="AY66" t="inlineStr">
        <is>
          <t>2026-01-28 05:30:00</t>
        </is>
      </c>
      <c r="AZ66" t="inlineStr">
        <is>
          <t>CITIN26611504159</t>
        </is>
      </c>
      <c r="BA66" t="n">
        <v>0</v>
      </c>
      <c r="BB66" t="inlineStr">
        <is>
          <t>773b091755c663a4252164745d427622c1deeb368a5c2fb6d89909599de4a277</t>
        </is>
      </c>
    </row>
    <row r="67">
      <c r="A67" t="inlineStr">
        <is>
          <t>62</t>
        </is>
      </c>
      <c r="B67" t="inlineStr">
        <is>
          <t>7703772535</t>
        </is>
      </c>
      <c r="C67" t="inlineStr">
        <is>
          <t>2026-01-20 17:26:44</t>
        </is>
      </c>
      <c r="D67" t="inlineStr">
        <is>
          <t>4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229</v>
      </c>
      <c r="P67" t="n">
        <v>3.5</v>
      </c>
      <c r="Q67" t="n">
        <v>0</v>
      </c>
      <c r="R67" t="n">
        <v>68.7</v>
      </c>
      <c r="S67" t="n">
        <v>0</v>
      </c>
      <c r="T67" t="n">
        <v>0</v>
      </c>
      <c r="U67" t="n">
        <v>0</v>
      </c>
      <c r="V67" t="n">
        <v>8.19</v>
      </c>
      <c r="W67" t="n">
        <v>171.99</v>
      </c>
      <c r="X67" t="n">
        <v>163.8</v>
      </c>
      <c r="Y67" t="n">
        <v>19</v>
      </c>
      <c r="Z67" t="n">
        <v>31.12</v>
      </c>
      <c r="AA67" t="n">
        <v>3.16</v>
      </c>
      <c r="AB67" t="n">
        <v>34.28</v>
      </c>
      <c r="AC67" t="n">
        <v>6.17</v>
      </c>
      <c r="AD67" t="n">
        <v>0</v>
      </c>
      <c r="AE67" t="n">
        <v>163.8</v>
      </c>
      <c r="AF67" t="n">
        <v>0</v>
      </c>
      <c r="AG67" t="n">
        <v>0</v>
      </c>
      <c r="AH67" t="n">
        <v>0.16</v>
      </c>
      <c r="AI67" t="n">
        <v>8.199999999999999</v>
      </c>
      <c r="AJ67" t="n">
        <v>-0.01</v>
      </c>
      <c r="AK67" t="n">
        <v>14.53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48.81</v>
      </c>
      <c r="AV67" t="n">
        <v>0</v>
      </c>
      <c r="AW67" t="n">
        <v>123.18</v>
      </c>
      <c r="AX67" t="inlineStr">
        <is>
          <t>settled</t>
        </is>
      </c>
      <c r="AY67" t="inlineStr">
        <is>
          <t>2026-01-28 05:30:00</t>
        </is>
      </c>
      <c r="AZ67" t="inlineStr">
        <is>
          <t>CITIN26611504159</t>
        </is>
      </c>
      <c r="BA67" t="n">
        <v>0</v>
      </c>
      <c r="BB67" t="inlineStr">
        <is>
          <t>e2dc20524bb1ff11041d1431403f6b66eaed92d159118e342655c4c426b42a4d</t>
        </is>
      </c>
    </row>
    <row r="68">
      <c r="A68" t="inlineStr">
        <is>
          <t>63</t>
        </is>
      </c>
      <c r="B68" t="inlineStr">
        <is>
          <t>7709731780</t>
        </is>
      </c>
      <c r="C68" t="inlineStr">
        <is>
          <t>2026-01-20 17:30:48</t>
        </is>
      </c>
      <c r="D68" t="inlineStr">
        <is>
          <t>4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448</v>
      </c>
      <c r="P68" t="n">
        <v>3.5</v>
      </c>
      <c r="Q68" t="n">
        <v>0</v>
      </c>
      <c r="R68" t="n">
        <v>75</v>
      </c>
      <c r="S68" t="n">
        <v>0</v>
      </c>
      <c r="T68" t="n">
        <v>0</v>
      </c>
      <c r="U68" t="n">
        <v>0</v>
      </c>
      <c r="V68" t="n">
        <v>18.83</v>
      </c>
      <c r="W68" t="n">
        <v>395.33</v>
      </c>
      <c r="X68" t="n">
        <v>376.5</v>
      </c>
      <c r="Y68" t="n">
        <v>19</v>
      </c>
      <c r="Z68" t="n">
        <v>71.54000000000001</v>
      </c>
      <c r="AA68" t="n">
        <v>7.27</v>
      </c>
      <c r="AB68" t="n">
        <v>78.81</v>
      </c>
      <c r="AC68" t="n">
        <v>14.19</v>
      </c>
      <c r="AD68" t="n">
        <v>0</v>
      </c>
      <c r="AE68" t="n">
        <v>376.5</v>
      </c>
      <c r="AF68" t="n">
        <v>0</v>
      </c>
      <c r="AG68" t="n">
        <v>0</v>
      </c>
      <c r="AH68" t="n">
        <v>0.38</v>
      </c>
      <c r="AI68" t="n">
        <v>18.83</v>
      </c>
      <c r="AJ68" t="n">
        <v>0</v>
      </c>
      <c r="AK68" t="n">
        <v>33.4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112.21</v>
      </c>
      <c r="AV68" t="n">
        <v>0</v>
      </c>
      <c r="AW68" t="n">
        <v>283.12</v>
      </c>
      <c r="AX68" t="inlineStr">
        <is>
          <t>settled</t>
        </is>
      </c>
      <c r="AY68" t="inlineStr">
        <is>
          <t>2026-01-28 05:30:00</t>
        </is>
      </c>
      <c r="AZ68" t="inlineStr">
        <is>
          <t>CITIN26611504159</t>
        </is>
      </c>
      <c r="BA68" t="n">
        <v>0</v>
      </c>
      <c r="BB68" t="inlineStr">
        <is>
          <t>765c5ebb19eea1418bcf148a9439db5930f776e9d6f0a2c041b917efcc222119</t>
        </is>
      </c>
    </row>
    <row r="69">
      <c r="A69" t="inlineStr">
        <is>
          <t>64</t>
        </is>
      </c>
      <c r="B69" t="inlineStr">
        <is>
          <t>7711112750</t>
        </is>
      </c>
      <c r="C69" t="inlineStr">
        <is>
          <t>2026-01-20 17:33:18</t>
        </is>
      </c>
      <c r="D69" t="inlineStr">
        <is>
          <t>4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30% off upto ₹75 (2025-06-25 - 2031-01-01)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229</v>
      </c>
      <c r="P69" t="n">
        <v>3.5</v>
      </c>
      <c r="Q69" t="n">
        <v>0</v>
      </c>
      <c r="R69" t="n">
        <v>68.7</v>
      </c>
      <c r="S69" t="n">
        <v>0</v>
      </c>
      <c r="T69" t="n">
        <v>0</v>
      </c>
      <c r="U69" t="n">
        <v>0</v>
      </c>
      <c r="V69" t="n">
        <v>8.19</v>
      </c>
      <c r="W69" t="n">
        <v>171.99</v>
      </c>
      <c r="X69" t="n">
        <v>163.8</v>
      </c>
      <c r="Y69" t="n">
        <v>19</v>
      </c>
      <c r="Z69" t="n">
        <v>31.12</v>
      </c>
      <c r="AA69" t="n">
        <v>3.16</v>
      </c>
      <c r="AB69" t="n">
        <v>34.28</v>
      </c>
      <c r="AC69" t="n">
        <v>6.17</v>
      </c>
      <c r="AD69" t="n">
        <v>0</v>
      </c>
      <c r="AE69" t="n">
        <v>163.8</v>
      </c>
      <c r="AF69" t="n">
        <v>0</v>
      </c>
      <c r="AG69" t="n">
        <v>0</v>
      </c>
      <c r="AH69" t="n">
        <v>0.16</v>
      </c>
      <c r="AI69" t="n">
        <v>8.199999999999999</v>
      </c>
      <c r="AJ69" t="n">
        <v>-0.01</v>
      </c>
      <c r="AK69" t="n">
        <v>14.53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48.81</v>
      </c>
      <c r="AV69" t="n">
        <v>0</v>
      </c>
      <c r="AW69" t="n">
        <v>123.18</v>
      </c>
      <c r="AX69" t="inlineStr">
        <is>
          <t>settled</t>
        </is>
      </c>
      <c r="AY69" t="inlineStr">
        <is>
          <t>2026-01-28 05:30:00</t>
        </is>
      </c>
      <c r="AZ69" t="inlineStr">
        <is>
          <t>CITIN26611504159</t>
        </is>
      </c>
      <c r="BA69" t="n">
        <v>0</v>
      </c>
      <c r="BB69" t="inlineStr">
        <is>
          <t>66f9109d451f65658e47602abb95b90ba77893174f1b3489a1f354247a5965e1</t>
        </is>
      </c>
    </row>
    <row r="70">
      <c r="A70" t="inlineStr">
        <is>
          <t>65</t>
        </is>
      </c>
      <c r="B70" t="inlineStr">
        <is>
          <t>7706953662</t>
        </is>
      </c>
      <c r="C70" t="inlineStr">
        <is>
          <t>2026-01-20 17:46:14</t>
        </is>
      </c>
      <c r="D70" t="inlineStr">
        <is>
          <t>4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NA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219</v>
      </c>
      <c r="P70" t="n">
        <v>3.5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11.13</v>
      </c>
      <c r="W70" t="n">
        <v>233.63</v>
      </c>
      <c r="X70" t="n">
        <v>222.5</v>
      </c>
      <c r="Y70" t="n">
        <v>19</v>
      </c>
      <c r="Z70" t="n">
        <v>42.28</v>
      </c>
      <c r="AA70" t="n">
        <v>4.3</v>
      </c>
      <c r="AB70" t="n">
        <v>46.58</v>
      </c>
      <c r="AC70" t="n">
        <v>8.380000000000001</v>
      </c>
      <c r="AD70" t="n">
        <v>0</v>
      </c>
      <c r="AE70" t="n">
        <v>222.5</v>
      </c>
      <c r="AF70" t="n">
        <v>0</v>
      </c>
      <c r="AG70" t="n">
        <v>0</v>
      </c>
      <c r="AH70" t="n">
        <v>0.22</v>
      </c>
      <c r="AI70" t="n">
        <v>11.13</v>
      </c>
      <c r="AJ70" t="n">
        <v>0</v>
      </c>
      <c r="AK70" t="n">
        <v>19.73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66.31</v>
      </c>
      <c r="AV70" t="n">
        <v>0</v>
      </c>
      <c r="AW70" t="n">
        <v>167.32</v>
      </c>
      <c r="AX70" t="inlineStr">
        <is>
          <t>settled</t>
        </is>
      </c>
      <c r="AY70" t="inlineStr">
        <is>
          <t>2026-01-28 05:30:00</t>
        </is>
      </c>
      <c r="AZ70" t="inlineStr">
        <is>
          <t>CITIN26611504159</t>
        </is>
      </c>
      <c r="BA70" t="n">
        <v>0</v>
      </c>
      <c r="BB70" t="inlineStr">
        <is>
          <t>d0c1526fb9636d83ae4c439f48c02ae488ef8676a674928316905a78db5797d0</t>
        </is>
      </c>
    </row>
    <row r="71">
      <c r="A71" t="inlineStr">
        <is>
          <t>66</t>
        </is>
      </c>
      <c r="B71" t="inlineStr">
        <is>
          <t>7704236553</t>
        </is>
      </c>
      <c r="C71" t="inlineStr">
        <is>
          <t>2026-01-20 18:17:39</t>
        </is>
      </c>
      <c r="D71" t="inlineStr">
        <is>
          <t>4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30% off upto ₹75 (2025-06-25 - 2031-01-01)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229</v>
      </c>
      <c r="P71" t="n">
        <v>3.5</v>
      </c>
      <c r="Q71" t="n">
        <v>0</v>
      </c>
      <c r="R71" t="n">
        <v>68.7</v>
      </c>
      <c r="S71" t="n">
        <v>0</v>
      </c>
      <c r="T71" t="n">
        <v>0</v>
      </c>
      <c r="U71" t="n">
        <v>0</v>
      </c>
      <c r="V71" t="n">
        <v>8.19</v>
      </c>
      <c r="W71" t="n">
        <v>171.99</v>
      </c>
      <c r="X71" t="n">
        <v>163.8</v>
      </c>
      <c r="Y71" t="n">
        <v>19</v>
      </c>
      <c r="Z71" t="n">
        <v>31.12</v>
      </c>
      <c r="AA71" t="n">
        <v>3.16</v>
      </c>
      <c r="AB71" t="n">
        <v>34.28</v>
      </c>
      <c r="AC71" t="n">
        <v>6.17</v>
      </c>
      <c r="AD71" t="n">
        <v>0</v>
      </c>
      <c r="AE71" t="n">
        <v>163.8</v>
      </c>
      <c r="AF71" t="n">
        <v>0</v>
      </c>
      <c r="AG71" t="n">
        <v>0</v>
      </c>
      <c r="AH71" t="n">
        <v>0.16</v>
      </c>
      <c r="AI71" t="n">
        <v>8.199999999999999</v>
      </c>
      <c r="AJ71" t="n">
        <v>-0.01</v>
      </c>
      <c r="AK71" t="n">
        <v>14.53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48.81</v>
      </c>
      <c r="AV71" t="n">
        <v>0</v>
      </c>
      <c r="AW71" t="n">
        <v>123.18</v>
      </c>
      <c r="AX71" t="inlineStr">
        <is>
          <t>settled</t>
        </is>
      </c>
      <c r="AY71" t="inlineStr">
        <is>
          <t>2026-01-28 05:30:00</t>
        </is>
      </c>
      <c r="AZ71" t="inlineStr">
        <is>
          <t>CITIN26611504159</t>
        </is>
      </c>
      <c r="BA71" t="n">
        <v>0</v>
      </c>
      <c r="BB71" t="inlineStr">
        <is>
          <t>4fbd7d3c459fe809620f14dd66d26b2fd32a58b9dc4cbcf37e20c4207b18c73b</t>
        </is>
      </c>
    </row>
    <row r="72">
      <c r="A72" t="inlineStr">
        <is>
          <t>67</t>
        </is>
      </c>
      <c r="B72" t="inlineStr">
        <is>
          <t>7709088043</t>
        </is>
      </c>
      <c r="C72" t="inlineStr">
        <is>
          <t>2026-01-20 18:40:04</t>
        </is>
      </c>
      <c r="D72" t="inlineStr">
        <is>
          <t>4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30% off upto ₹75 (2025-06-25 - 2031-01-01)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378</v>
      </c>
      <c r="P72" t="n">
        <v>3.5</v>
      </c>
      <c r="Q72" t="n">
        <v>0</v>
      </c>
      <c r="R72" t="n">
        <v>75</v>
      </c>
      <c r="S72" t="n">
        <v>0</v>
      </c>
      <c r="T72" t="n">
        <v>0</v>
      </c>
      <c r="U72" t="n">
        <v>0</v>
      </c>
      <c r="V72" t="n">
        <v>15.33</v>
      </c>
      <c r="W72" t="n">
        <v>321.83</v>
      </c>
      <c r="X72" t="n">
        <v>306.5</v>
      </c>
      <c r="Y72" t="n">
        <v>19</v>
      </c>
      <c r="Z72" t="n">
        <v>58.24</v>
      </c>
      <c r="AA72" t="n">
        <v>5.92</v>
      </c>
      <c r="AB72" t="n">
        <v>64.16</v>
      </c>
      <c r="AC72" t="n">
        <v>11.55</v>
      </c>
      <c r="AD72" t="n">
        <v>0</v>
      </c>
      <c r="AE72" t="n">
        <v>306.5</v>
      </c>
      <c r="AF72" t="n">
        <v>0</v>
      </c>
      <c r="AG72" t="n">
        <v>0</v>
      </c>
      <c r="AH72" t="n">
        <v>0.31</v>
      </c>
      <c r="AI72" t="n">
        <v>15.33</v>
      </c>
      <c r="AJ72" t="n">
        <v>0</v>
      </c>
      <c r="AK72" t="n">
        <v>27.19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91.34999999999999</v>
      </c>
      <c r="AV72" t="n">
        <v>0</v>
      </c>
      <c r="AW72" t="n">
        <v>230.48</v>
      </c>
      <c r="AX72" t="inlineStr">
        <is>
          <t>settled</t>
        </is>
      </c>
      <c r="AY72" t="inlineStr">
        <is>
          <t>2026-01-28 05:30:00</t>
        </is>
      </c>
      <c r="AZ72" t="inlineStr">
        <is>
          <t>CITIN26611504159</t>
        </is>
      </c>
      <c r="BA72" t="n">
        <v>0</v>
      </c>
      <c r="BB72" t="inlineStr">
        <is>
          <t>203f9c05538dcc1481236225a8ce6c28d6564f39bd2f4c7d0234b32296baf93d</t>
        </is>
      </c>
    </row>
    <row r="73">
      <c r="A73" t="inlineStr">
        <is>
          <t>68</t>
        </is>
      </c>
      <c r="B73" t="inlineStr">
        <is>
          <t>7707473967</t>
        </is>
      </c>
      <c r="C73" t="inlineStr">
        <is>
          <t>2026-01-20 18:43:53</t>
        </is>
      </c>
      <c r="D73" t="inlineStr">
        <is>
          <t>4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229</v>
      </c>
      <c r="P73" t="n">
        <v>3.5</v>
      </c>
      <c r="Q73" t="n">
        <v>0</v>
      </c>
      <c r="R73" t="n">
        <v>68.7</v>
      </c>
      <c r="S73" t="n">
        <v>0</v>
      </c>
      <c r="T73" t="n">
        <v>0</v>
      </c>
      <c r="U73" t="n">
        <v>0</v>
      </c>
      <c r="V73" t="n">
        <v>8.19</v>
      </c>
      <c r="W73" t="n">
        <v>171.99</v>
      </c>
      <c r="X73" t="n">
        <v>163.8</v>
      </c>
      <c r="Y73" t="n">
        <v>19</v>
      </c>
      <c r="Z73" t="n">
        <v>31.12</v>
      </c>
      <c r="AA73" t="n">
        <v>3.16</v>
      </c>
      <c r="AB73" t="n">
        <v>34.28</v>
      </c>
      <c r="AC73" t="n">
        <v>6.17</v>
      </c>
      <c r="AD73" t="n">
        <v>0</v>
      </c>
      <c r="AE73" t="n">
        <v>163.8</v>
      </c>
      <c r="AF73" t="n">
        <v>0</v>
      </c>
      <c r="AG73" t="n">
        <v>0</v>
      </c>
      <c r="AH73" t="n">
        <v>0.16</v>
      </c>
      <c r="AI73" t="n">
        <v>8.199999999999999</v>
      </c>
      <c r="AJ73" t="n">
        <v>-0.01</v>
      </c>
      <c r="AK73" t="n">
        <v>14.53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48.81</v>
      </c>
      <c r="AV73" t="n">
        <v>0</v>
      </c>
      <c r="AW73" t="n">
        <v>123.18</v>
      </c>
      <c r="AX73" t="inlineStr">
        <is>
          <t>settled</t>
        </is>
      </c>
      <c r="AY73" t="inlineStr">
        <is>
          <t>2026-01-28 05:30:00</t>
        </is>
      </c>
      <c r="AZ73" t="inlineStr">
        <is>
          <t>CITIN26611504159</t>
        </is>
      </c>
      <c r="BA73" t="n">
        <v>0</v>
      </c>
      <c r="BB73" t="inlineStr">
        <is>
          <t>e5dd1222b622f6dd76f4b1a59d4536b1f46583292b96b8d0ab4e0427f935fdb4</t>
        </is>
      </c>
    </row>
    <row r="74">
      <c r="A74" t="inlineStr">
        <is>
          <t>69</t>
        </is>
      </c>
      <c r="B74" t="inlineStr">
        <is>
          <t>7711175637</t>
        </is>
      </c>
      <c r="C74" t="inlineStr">
        <is>
          <t>2026-01-20 19:26:58</t>
        </is>
      </c>
      <c r="D74" t="inlineStr">
        <is>
          <t>4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219</v>
      </c>
      <c r="P74" t="n">
        <v>3.5</v>
      </c>
      <c r="Q74" t="n">
        <v>0</v>
      </c>
      <c r="R74" t="n">
        <v>65.7</v>
      </c>
      <c r="S74" t="n">
        <v>0</v>
      </c>
      <c r="T74" t="n">
        <v>0</v>
      </c>
      <c r="U74" t="n">
        <v>0</v>
      </c>
      <c r="V74" t="n">
        <v>7.84</v>
      </c>
      <c r="W74" t="n">
        <v>164.64</v>
      </c>
      <c r="X74" t="n">
        <v>156.8</v>
      </c>
      <c r="Y74" t="n">
        <v>19</v>
      </c>
      <c r="Z74" t="n">
        <v>29.79</v>
      </c>
      <c r="AA74" t="n">
        <v>3.03</v>
      </c>
      <c r="AB74" t="n">
        <v>32.82</v>
      </c>
      <c r="AC74" t="n">
        <v>5.91</v>
      </c>
      <c r="AD74" t="n">
        <v>0</v>
      </c>
      <c r="AE74" t="n">
        <v>156.8</v>
      </c>
      <c r="AF74" t="n">
        <v>0</v>
      </c>
      <c r="AG74" t="n">
        <v>0</v>
      </c>
      <c r="AH74" t="n">
        <v>0.16</v>
      </c>
      <c r="AI74" t="n">
        <v>7.85</v>
      </c>
      <c r="AJ74" t="n">
        <v>-0.01</v>
      </c>
      <c r="AK74" t="n">
        <v>13.92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46.74</v>
      </c>
      <c r="AV74" t="n">
        <v>0</v>
      </c>
      <c r="AW74" t="n">
        <v>117.9</v>
      </c>
      <c r="AX74" t="inlineStr">
        <is>
          <t>settled</t>
        </is>
      </c>
      <c r="AY74" t="inlineStr">
        <is>
          <t>2026-01-28 05:30:00</t>
        </is>
      </c>
      <c r="AZ74" t="inlineStr">
        <is>
          <t>CITIN26611504159</t>
        </is>
      </c>
      <c r="BA74" t="n">
        <v>0</v>
      </c>
      <c r="BB74" t="inlineStr">
        <is>
          <t>077a502d618025ed73915120c272a4381a42f7b1bedd3f3e4a7ce786e842570d</t>
        </is>
      </c>
    </row>
    <row r="75">
      <c r="A75" t="inlineStr">
        <is>
          <t>70</t>
        </is>
      </c>
      <c r="B75" t="inlineStr">
        <is>
          <t>7708447494</t>
        </is>
      </c>
      <c r="C75" t="inlineStr">
        <is>
          <t>2026-01-20 19:53:42</t>
        </is>
      </c>
      <c r="D75" t="inlineStr">
        <is>
          <t>4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30% off upto ₹75 (2025-06-25 - 2031-01-01)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389</v>
      </c>
      <c r="P75" t="n">
        <v>3.5</v>
      </c>
      <c r="Q75" t="n">
        <v>0</v>
      </c>
      <c r="R75" t="n">
        <v>75</v>
      </c>
      <c r="S75" t="n">
        <v>0</v>
      </c>
      <c r="T75" t="n">
        <v>0</v>
      </c>
      <c r="U75" t="n">
        <v>0</v>
      </c>
      <c r="V75" t="n">
        <v>15.88</v>
      </c>
      <c r="W75" t="n">
        <v>333.38</v>
      </c>
      <c r="X75" t="n">
        <v>317.5</v>
      </c>
      <c r="Y75" t="n">
        <v>19</v>
      </c>
      <c r="Z75" t="n">
        <v>60.32</v>
      </c>
      <c r="AA75" t="n">
        <v>6.13</v>
      </c>
      <c r="AB75" t="n">
        <v>66.45</v>
      </c>
      <c r="AC75" t="n">
        <v>11.96</v>
      </c>
      <c r="AD75" t="n">
        <v>0</v>
      </c>
      <c r="AE75" t="n">
        <v>317.5</v>
      </c>
      <c r="AF75" t="n">
        <v>0</v>
      </c>
      <c r="AG75" t="n">
        <v>0</v>
      </c>
      <c r="AH75" t="n">
        <v>0.32</v>
      </c>
      <c r="AI75" t="n">
        <v>15.88</v>
      </c>
      <c r="AJ75" t="n">
        <v>0</v>
      </c>
      <c r="AK75" t="n">
        <v>28.16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94.61</v>
      </c>
      <c r="AV75" t="n">
        <v>0</v>
      </c>
      <c r="AW75" t="n">
        <v>238.77</v>
      </c>
      <c r="AX75" t="inlineStr">
        <is>
          <t>settled</t>
        </is>
      </c>
      <c r="AY75" t="inlineStr">
        <is>
          <t>2026-01-28 05:30:00</t>
        </is>
      </c>
      <c r="AZ75" t="inlineStr">
        <is>
          <t>CITIN26611504159</t>
        </is>
      </c>
      <c r="BA75" t="n">
        <v>0</v>
      </c>
      <c r="BB75" t="inlineStr">
        <is>
          <t>7d71e3a159a4b11abffad986efb87a9f882f731f2bdac796e42f26f73c79f28e</t>
        </is>
      </c>
    </row>
    <row r="76">
      <c r="A76" t="inlineStr">
        <is>
          <t>71</t>
        </is>
      </c>
      <c r="B76" t="inlineStr">
        <is>
          <t>7708870790</t>
        </is>
      </c>
      <c r="C76" t="inlineStr">
        <is>
          <t>2026-01-20 20:06:26</t>
        </is>
      </c>
      <c r="D76" t="inlineStr">
        <is>
          <t>4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248</v>
      </c>
      <c r="P76" t="n">
        <v>3.5</v>
      </c>
      <c r="Q76" t="n">
        <v>0</v>
      </c>
      <c r="R76" t="n">
        <v>74.40000000000001</v>
      </c>
      <c r="S76" t="n">
        <v>0</v>
      </c>
      <c r="T76" t="n">
        <v>0</v>
      </c>
      <c r="U76" t="n">
        <v>0</v>
      </c>
      <c r="V76" t="n">
        <v>8.859999999999999</v>
      </c>
      <c r="W76" t="n">
        <v>185.96</v>
      </c>
      <c r="X76" t="n">
        <v>177.1</v>
      </c>
      <c r="Y76" t="n">
        <v>19</v>
      </c>
      <c r="Z76" t="n">
        <v>33.65</v>
      </c>
      <c r="AA76" t="n">
        <v>3.42</v>
      </c>
      <c r="AB76" t="n">
        <v>37.07</v>
      </c>
      <c r="AC76" t="n">
        <v>6.68</v>
      </c>
      <c r="AD76" t="n">
        <v>0</v>
      </c>
      <c r="AE76" t="n">
        <v>177.1</v>
      </c>
      <c r="AF76" t="n">
        <v>0</v>
      </c>
      <c r="AG76" t="n">
        <v>0</v>
      </c>
      <c r="AH76" t="n">
        <v>0.18</v>
      </c>
      <c r="AI76" t="n">
        <v>8.859999999999999</v>
      </c>
      <c r="AJ76" t="n">
        <v>0</v>
      </c>
      <c r="AK76" t="n">
        <v>15.72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52.79</v>
      </c>
      <c r="AV76" t="n">
        <v>0</v>
      </c>
      <c r="AW76" t="n">
        <v>133.17</v>
      </c>
      <c r="AX76" t="inlineStr">
        <is>
          <t>settled</t>
        </is>
      </c>
      <c r="AY76" t="inlineStr">
        <is>
          <t>2026-01-28 05:30:00</t>
        </is>
      </c>
      <c r="AZ76" t="inlineStr">
        <is>
          <t>CITIN26611504159</t>
        </is>
      </c>
      <c r="BA76" t="n">
        <v>0</v>
      </c>
      <c r="BB76" t="inlineStr">
        <is>
          <t>78cf39d6cae1a800fa65632a49ab9fb5d066eae15ab071402c0393c274dc8541</t>
        </is>
      </c>
    </row>
    <row r="77">
      <c r="A77" t="inlineStr">
        <is>
          <t>72</t>
        </is>
      </c>
      <c r="B77" t="inlineStr">
        <is>
          <t>7697831298</t>
        </is>
      </c>
      <c r="C77" t="inlineStr">
        <is>
          <t>2026-01-20 20:21:06</t>
        </is>
      </c>
      <c r="D77" t="inlineStr">
        <is>
          <t>4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30% off upto ₹75 (2025-06-25 - 2031-01-01)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229</v>
      </c>
      <c r="P77" t="n">
        <v>3.5</v>
      </c>
      <c r="Q77" t="n">
        <v>0</v>
      </c>
      <c r="R77" t="n">
        <v>68.7</v>
      </c>
      <c r="S77" t="n">
        <v>0</v>
      </c>
      <c r="T77" t="n">
        <v>0</v>
      </c>
      <c r="U77" t="n">
        <v>0</v>
      </c>
      <c r="V77" t="n">
        <v>8.19</v>
      </c>
      <c r="W77" t="n">
        <v>171.99</v>
      </c>
      <c r="X77" t="n">
        <v>163.8</v>
      </c>
      <c r="Y77" t="n">
        <v>19</v>
      </c>
      <c r="Z77" t="n">
        <v>31.12</v>
      </c>
      <c r="AA77" t="n">
        <v>3.16</v>
      </c>
      <c r="AB77" t="n">
        <v>34.28</v>
      </c>
      <c r="AC77" t="n">
        <v>6.17</v>
      </c>
      <c r="AD77" t="n">
        <v>0</v>
      </c>
      <c r="AE77" t="n">
        <v>163.8</v>
      </c>
      <c r="AF77" t="n">
        <v>0</v>
      </c>
      <c r="AG77" t="n">
        <v>0</v>
      </c>
      <c r="AH77" t="n">
        <v>0.16</v>
      </c>
      <c r="AI77" t="n">
        <v>8.199999999999999</v>
      </c>
      <c r="AJ77" t="n">
        <v>-0.01</v>
      </c>
      <c r="AK77" t="n">
        <v>14.53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48.81</v>
      </c>
      <c r="AV77" t="n">
        <v>0</v>
      </c>
      <c r="AW77" t="n">
        <v>123.18</v>
      </c>
      <c r="AX77" t="inlineStr">
        <is>
          <t>settled</t>
        </is>
      </c>
      <c r="AY77" t="inlineStr">
        <is>
          <t>2026-01-28 05:30:00</t>
        </is>
      </c>
      <c r="AZ77" t="inlineStr">
        <is>
          <t>CITIN26611504159</t>
        </is>
      </c>
      <c r="BA77" t="n">
        <v>0</v>
      </c>
      <c r="BB77" t="inlineStr">
        <is>
          <t>eff4b717c525d844167eeabd288b3f531e1aee66006f6706abcbf99ce9f10a35</t>
        </is>
      </c>
    </row>
    <row r="78">
      <c r="A78" t="inlineStr">
        <is>
          <t>73</t>
        </is>
      </c>
      <c r="B78" t="inlineStr">
        <is>
          <t>7709724601</t>
        </is>
      </c>
      <c r="C78" t="inlineStr">
        <is>
          <t>2026-01-20 20:28:04</t>
        </is>
      </c>
      <c r="D78" t="inlineStr">
        <is>
          <t>4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NA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219</v>
      </c>
      <c r="P78" t="n">
        <v>3.5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11.13</v>
      </c>
      <c r="W78" t="n">
        <v>233.63</v>
      </c>
      <c r="X78" t="n">
        <v>222.5</v>
      </c>
      <c r="Y78" t="n">
        <v>19</v>
      </c>
      <c r="Z78" t="n">
        <v>42.28</v>
      </c>
      <c r="AA78" t="n">
        <v>4.3</v>
      </c>
      <c r="AB78" t="n">
        <v>46.58</v>
      </c>
      <c r="AC78" t="n">
        <v>8.380000000000001</v>
      </c>
      <c r="AD78" t="n">
        <v>0</v>
      </c>
      <c r="AE78" t="n">
        <v>222.5</v>
      </c>
      <c r="AF78" t="n">
        <v>0</v>
      </c>
      <c r="AG78" t="n">
        <v>0</v>
      </c>
      <c r="AH78" t="n">
        <v>0.22</v>
      </c>
      <c r="AI78" t="n">
        <v>11.13</v>
      </c>
      <c r="AJ78" t="n">
        <v>0</v>
      </c>
      <c r="AK78" t="n">
        <v>19.73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66.31</v>
      </c>
      <c r="AV78" t="n">
        <v>0</v>
      </c>
      <c r="AW78" t="n">
        <v>167.32</v>
      </c>
      <c r="AX78" t="inlineStr">
        <is>
          <t>settled</t>
        </is>
      </c>
      <c r="AY78" t="inlineStr">
        <is>
          <t>2026-01-28 05:30:00</t>
        </is>
      </c>
      <c r="AZ78" t="inlineStr">
        <is>
          <t>CITIN26611504159</t>
        </is>
      </c>
      <c r="BA78" t="n">
        <v>0</v>
      </c>
      <c r="BB78" t="inlineStr">
        <is>
          <t>81300ab75f2732c6583debf14b339d9139a9330bf80beb833143f9ccc0bd2e7e</t>
        </is>
      </c>
    </row>
    <row r="79">
      <c r="A79" t="inlineStr">
        <is>
          <t>74</t>
        </is>
      </c>
      <c r="B79" t="inlineStr">
        <is>
          <t>7710546019</t>
        </is>
      </c>
      <c r="C79" t="inlineStr">
        <is>
          <t>2026-01-20 21:06:44</t>
        </is>
      </c>
      <c r="D79" t="inlineStr">
        <is>
          <t>4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458</v>
      </c>
      <c r="P79" t="n">
        <v>3.5</v>
      </c>
      <c r="Q79" t="n">
        <v>0</v>
      </c>
      <c r="R79" t="n">
        <v>75</v>
      </c>
      <c r="S79" t="n">
        <v>0</v>
      </c>
      <c r="T79" t="n">
        <v>0</v>
      </c>
      <c r="U79" t="n">
        <v>0</v>
      </c>
      <c r="V79" t="n">
        <v>19.33</v>
      </c>
      <c r="W79" t="n">
        <v>405.83</v>
      </c>
      <c r="X79" t="n">
        <v>386.5</v>
      </c>
      <c r="Y79" t="n">
        <v>19</v>
      </c>
      <c r="Z79" t="n">
        <v>73.44</v>
      </c>
      <c r="AA79" t="n">
        <v>7.47</v>
      </c>
      <c r="AB79" t="n">
        <v>80.91</v>
      </c>
      <c r="AC79" t="n">
        <v>14.56</v>
      </c>
      <c r="AD79" t="n">
        <v>0</v>
      </c>
      <c r="AE79" t="n">
        <v>386.5</v>
      </c>
      <c r="AF79" t="n">
        <v>0</v>
      </c>
      <c r="AG79" t="n">
        <v>0</v>
      </c>
      <c r="AH79" t="n">
        <v>0.39</v>
      </c>
      <c r="AI79" t="n">
        <v>19.33</v>
      </c>
      <c r="AJ79" t="n">
        <v>0</v>
      </c>
      <c r="AK79" t="n">
        <v>34.28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115.19</v>
      </c>
      <c r="AV79" t="n">
        <v>0</v>
      </c>
      <c r="AW79" t="n">
        <v>290.64</v>
      </c>
      <c r="AX79" t="inlineStr">
        <is>
          <t>settled</t>
        </is>
      </c>
      <c r="AY79" t="inlineStr">
        <is>
          <t>2026-01-28 05:30:00</t>
        </is>
      </c>
      <c r="AZ79" t="inlineStr">
        <is>
          <t>CITIN26611504159</t>
        </is>
      </c>
      <c r="BA79" t="n">
        <v>0</v>
      </c>
      <c r="BB79" t="inlineStr">
        <is>
          <t>30074b8b4aac3ecd6e97c5c0e8912c6896719ca02c32bea3b8fd8aaa8b862f50</t>
        </is>
      </c>
    </row>
    <row r="80">
      <c r="A80" t="inlineStr">
        <is>
          <t>75</t>
        </is>
      </c>
      <c r="B80" t="inlineStr">
        <is>
          <t>7710656929</t>
        </is>
      </c>
      <c r="C80" t="inlineStr">
        <is>
          <t>2026-01-20 21:13:32</t>
        </is>
      </c>
      <c r="D80" t="inlineStr">
        <is>
          <t>4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229</v>
      </c>
      <c r="P80" t="n">
        <v>3.5</v>
      </c>
      <c r="Q80" t="n">
        <v>0</v>
      </c>
      <c r="R80" t="n">
        <v>68.7</v>
      </c>
      <c r="S80" t="n">
        <v>0</v>
      </c>
      <c r="T80" t="n">
        <v>0</v>
      </c>
      <c r="U80" t="n">
        <v>0</v>
      </c>
      <c r="V80" t="n">
        <v>8.19</v>
      </c>
      <c r="W80" t="n">
        <v>171.99</v>
      </c>
      <c r="X80" t="n">
        <v>163.8</v>
      </c>
      <c r="Y80" t="n">
        <v>19</v>
      </c>
      <c r="Z80" t="n">
        <v>31.12</v>
      </c>
      <c r="AA80" t="n">
        <v>3.16</v>
      </c>
      <c r="AB80" t="n">
        <v>34.28</v>
      </c>
      <c r="AC80" t="n">
        <v>6.17</v>
      </c>
      <c r="AD80" t="n">
        <v>0</v>
      </c>
      <c r="AE80" t="n">
        <v>163.8</v>
      </c>
      <c r="AF80" t="n">
        <v>0</v>
      </c>
      <c r="AG80" t="n">
        <v>0</v>
      </c>
      <c r="AH80" t="n">
        <v>0.16</v>
      </c>
      <c r="AI80" t="n">
        <v>8.199999999999999</v>
      </c>
      <c r="AJ80" t="n">
        <v>-0.01</v>
      </c>
      <c r="AK80" t="n">
        <v>14.53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48.81</v>
      </c>
      <c r="AV80" t="n">
        <v>0</v>
      </c>
      <c r="AW80" t="n">
        <v>123.18</v>
      </c>
      <c r="AX80" t="inlineStr">
        <is>
          <t>settled</t>
        </is>
      </c>
      <c r="AY80" t="inlineStr">
        <is>
          <t>2026-01-28 05:30:00</t>
        </is>
      </c>
      <c r="AZ80" t="inlineStr">
        <is>
          <t>CITIN26611504159</t>
        </is>
      </c>
      <c r="BA80" t="n">
        <v>0</v>
      </c>
      <c r="BB80" t="inlineStr">
        <is>
          <t>5f8494cf19c395326ad295b3b7a7e644eaa9766a4b9077d3a79b5e885e440af8</t>
        </is>
      </c>
    </row>
    <row r="81">
      <c r="A81" t="inlineStr">
        <is>
          <t>76</t>
        </is>
      </c>
      <c r="B81" t="inlineStr">
        <is>
          <t>7706322698</t>
        </is>
      </c>
      <c r="C81" t="inlineStr">
        <is>
          <t>2026-01-20 21:19:13</t>
        </is>
      </c>
      <c r="D81" t="inlineStr">
        <is>
          <t>4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30% off upto ₹75 (2025-06-25 - 2031-01-01)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448</v>
      </c>
      <c r="P81" t="n">
        <v>3.5</v>
      </c>
      <c r="Q81" t="n">
        <v>0</v>
      </c>
      <c r="R81" t="n">
        <v>75</v>
      </c>
      <c r="S81" t="n">
        <v>0</v>
      </c>
      <c r="T81" t="n">
        <v>0</v>
      </c>
      <c r="U81" t="n">
        <v>0</v>
      </c>
      <c r="V81" t="n">
        <v>18.83</v>
      </c>
      <c r="W81" t="n">
        <v>395.33</v>
      </c>
      <c r="X81" t="n">
        <v>376.5</v>
      </c>
      <c r="Y81" t="n">
        <v>19</v>
      </c>
      <c r="Z81" t="n">
        <v>71.54000000000001</v>
      </c>
      <c r="AA81" t="n">
        <v>7.27</v>
      </c>
      <c r="AB81" t="n">
        <v>78.81</v>
      </c>
      <c r="AC81" t="n">
        <v>14.19</v>
      </c>
      <c r="AD81" t="n">
        <v>0</v>
      </c>
      <c r="AE81" t="n">
        <v>376.5</v>
      </c>
      <c r="AF81" t="n">
        <v>0</v>
      </c>
      <c r="AG81" t="n">
        <v>0</v>
      </c>
      <c r="AH81" t="n">
        <v>0.38</v>
      </c>
      <c r="AI81" t="n">
        <v>18.83</v>
      </c>
      <c r="AJ81" t="n">
        <v>0</v>
      </c>
      <c r="AK81" t="n">
        <v>33.4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112.21</v>
      </c>
      <c r="AV81" t="n">
        <v>0</v>
      </c>
      <c r="AW81" t="n">
        <v>283.12</v>
      </c>
      <c r="AX81" t="inlineStr">
        <is>
          <t>settled</t>
        </is>
      </c>
      <c r="AY81" t="inlineStr">
        <is>
          <t>2026-01-28 05:30:00</t>
        </is>
      </c>
      <c r="AZ81" t="inlineStr">
        <is>
          <t>CITIN26611504159</t>
        </is>
      </c>
      <c r="BA81" t="n">
        <v>0</v>
      </c>
      <c r="BB81" t="inlineStr">
        <is>
          <t>47526ec32e11ee53fc21be7ac9ee5d00680b57d95e6f977fb7c4688105b35294</t>
        </is>
      </c>
    </row>
    <row r="82">
      <c r="A82" t="inlineStr">
        <is>
          <t>77</t>
        </is>
      </c>
      <c r="B82" t="inlineStr">
        <is>
          <t>7693706278</t>
        </is>
      </c>
      <c r="C82" t="inlineStr">
        <is>
          <t>2026-01-20 21:20:29</t>
        </is>
      </c>
      <c r="D82" t="inlineStr">
        <is>
          <t>4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30% off upto ₹75 (2025-06-25 - 2031-01-01)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229</v>
      </c>
      <c r="P82" t="n">
        <v>3.5</v>
      </c>
      <c r="Q82" t="n">
        <v>0</v>
      </c>
      <c r="R82" t="n">
        <v>68.7</v>
      </c>
      <c r="S82" t="n">
        <v>0</v>
      </c>
      <c r="T82" t="n">
        <v>0</v>
      </c>
      <c r="U82" t="n">
        <v>0</v>
      </c>
      <c r="V82" t="n">
        <v>8.19</v>
      </c>
      <c r="W82" t="n">
        <v>171.99</v>
      </c>
      <c r="X82" t="n">
        <v>163.8</v>
      </c>
      <c r="Y82" t="n">
        <v>19</v>
      </c>
      <c r="Z82" t="n">
        <v>31.12</v>
      </c>
      <c r="AA82" t="n">
        <v>3.16</v>
      </c>
      <c r="AB82" t="n">
        <v>34.28</v>
      </c>
      <c r="AC82" t="n">
        <v>6.17</v>
      </c>
      <c r="AD82" t="n">
        <v>0</v>
      </c>
      <c r="AE82" t="n">
        <v>163.8</v>
      </c>
      <c r="AF82" t="n">
        <v>0</v>
      </c>
      <c r="AG82" t="n">
        <v>0</v>
      </c>
      <c r="AH82" t="n">
        <v>0.16</v>
      </c>
      <c r="AI82" t="n">
        <v>8.199999999999999</v>
      </c>
      <c r="AJ82" t="n">
        <v>-0.01</v>
      </c>
      <c r="AK82" t="n">
        <v>14.53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48.81</v>
      </c>
      <c r="AV82" t="n">
        <v>0</v>
      </c>
      <c r="AW82" t="n">
        <v>123.18</v>
      </c>
      <c r="AX82" t="inlineStr">
        <is>
          <t>settled</t>
        </is>
      </c>
      <c r="AY82" t="inlineStr">
        <is>
          <t>2026-01-28 05:30:00</t>
        </is>
      </c>
      <c r="AZ82" t="inlineStr">
        <is>
          <t>CITIN26611504159</t>
        </is>
      </c>
      <c r="BA82" t="n">
        <v>0</v>
      </c>
      <c r="BB82" t="inlineStr">
        <is>
          <t>6f620ced4af043fbfa35ea99b9e8e32567185a70512f541a83ec802bedcce68e</t>
        </is>
      </c>
    </row>
    <row r="83">
      <c r="A83" t="inlineStr">
        <is>
          <t>78</t>
        </is>
      </c>
      <c r="B83" t="inlineStr">
        <is>
          <t>7707768169</t>
        </is>
      </c>
      <c r="C83" t="inlineStr">
        <is>
          <t>2026-01-20 21:21:54</t>
        </is>
      </c>
      <c r="D83" t="inlineStr">
        <is>
          <t>4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219</v>
      </c>
      <c r="P83" t="n">
        <v>3.5</v>
      </c>
      <c r="Q83" t="n">
        <v>0</v>
      </c>
      <c r="R83" t="n">
        <v>65.7</v>
      </c>
      <c r="S83" t="n">
        <v>0</v>
      </c>
      <c r="T83" t="n">
        <v>0</v>
      </c>
      <c r="U83" t="n">
        <v>0</v>
      </c>
      <c r="V83" t="n">
        <v>7.84</v>
      </c>
      <c r="W83" t="n">
        <v>164.64</v>
      </c>
      <c r="X83" t="n">
        <v>156.8</v>
      </c>
      <c r="Y83" t="n">
        <v>19</v>
      </c>
      <c r="Z83" t="n">
        <v>29.79</v>
      </c>
      <c r="AA83" t="n">
        <v>3.03</v>
      </c>
      <c r="AB83" t="n">
        <v>32.82</v>
      </c>
      <c r="AC83" t="n">
        <v>5.91</v>
      </c>
      <c r="AD83" t="n">
        <v>0</v>
      </c>
      <c r="AE83" t="n">
        <v>156.8</v>
      </c>
      <c r="AF83" t="n">
        <v>0</v>
      </c>
      <c r="AG83" t="n">
        <v>0</v>
      </c>
      <c r="AH83" t="n">
        <v>0.16</v>
      </c>
      <c r="AI83" t="n">
        <v>7.85</v>
      </c>
      <c r="AJ83" t="n">
        <v>-0.01</v>
      </c>
      <c r="AK83" t="n">
        <v>13.92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46.74</v>
      </c>
      <c r="AV83" t="n">
        <v>0</v>
      </c>
      <c r="AW83" t="n">
        <v>117.9</v>
      </c>
      <c r="AX83" t="inlineStr">
        <is>
          <t>settled</t>
        </is>
      </c>
      <c r="AY83" t="inlineStr">
        <is>
          <t>2026-01-28 05:30:00</t>
        </is>
      </c>
      <c r="AZ83" t="inlineStr">
        <is>
          <t>CITIN26611504159</t>
        </is>
      </c>
      <c r="BA83" t="n">
        <v>0</v>
      </c>
      <c r="BB83" t="inlineStr">
        <is>
          <t>947b856af6beae7e3fdc88858167b21df6b706bb522d95ee53e09aca07d6600e</t>
        </is>
      </c>
    </row>
    <row r="84">
      <c r="A84" t="inlineStr">
        <is>
          <t>79</t>
        </is>
      </c>
      <c r="B84" t="inlineStr">
        <is>
          <t>7708178288</t>
        </is>
      </c>
      <c r="C84" t="inlineStr">
        <is>
          <t>2026-01-20 21:41:39</t>
        </is>
      </c>
      <c r="D84" t="inlineStr">
        <is>
          <t>4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30% off upto ₹75 (2025-06-25 - 2031-01-01)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68.7</v>
      </c>
      <c r="S84" t="n">
        <v>0</v>
      </c>
      <c r="T84" t="n">
        <v>0</v>
      </c>
      <c r="U84" t="n">
        <v>0</v>
      </c>
      <c r="V84" t="n">
        <v>8.19</v>
      </c>
      <c r="W84" t="n">
        <v>171.99</v>
      </c>
      <c r="X84" t="n">
        <v>163.8</v>
      </c>
      <c r="Y84" t="n">
        <v>19</v>
      </c>
      <c r="Z84" t="n">
        <v>31.12</v>
      </c>
      <c r="AA84" t="n">
        <v>3.16</v>
      </c>
      <c r="AB84" t="n">
        <v>34.28</v>
      </c>
      <c r="AC84" t="n">
        <v>6.17</v>
      </c>
      <c r="AD84" t="n">
        <v>0</v>
      </c>
      <c r="AE84" t="n">
        <v>163.8</v>
      </c>
      <c r="AF84" t="n">
        <v>0</v>
      </c>
      <c r="AG84" t="n">
        <v>0</v>
      </c>
      <c r="AH84" t="n">
        <v>0.16</v>
      </c>
      <c r="AI84" t="n">
        <v>8.199999999999999</v>
      </c>
      <c r="AJ84" t="n">
        <v>-0.01</v>
      </c>
      <c r="AK84" t="n">
        <v>14.53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48.81</v>
      </c>
      <c r="AV84" t="n">
        <v>0</v>
      </c>
      <c r="AW84" t="n">
        <v>123.18</v>
      </c>
      <c r="AX84" t="inlineStr">
        <is>
          <t>settled</t>
        </is>
      </c>
      <c r="AY84" t="inlineStr">
        <is>
          <t>2026-01-28 05:30:00</t>
        </is>
      </c>
      <c r="AZ84" t="inlineStr">
        <is>
          <t>CITIN26611504159</t>
        </is>
      </c>
      <c r="BA84" t="n">
        <v>0</v>
      </c>
      <c r="BB84" t="inlineStr">
        <is>
          <t>d6155f0fd6a8068dcb7af8ba10ea351bb17813077101c41fb8d033e61da6b2cd</t>
        </is>
      </c>
    </row>
    <row r="85">
      <c r="A85" t="inlineStr">
        <is>
          <t>80</t>
        </is>
      </c>
      <c r="B85" t="inlineStr">
        <is>
          <t>7703548081</t>
        </is>
      </c>
      <c r="C85" t="inlineStr">
        <is>
          <t>2026-01-20 22:10:32</t>
        </is>
      </c>
      <c r="D85" t="inlineStr">
        <is>
          <t>4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30% off upto ₹75 (2025-06-25 - 2031-01-01)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229</v>
      </c>
      <c r="P85" t="n">
        <v>3.5</v>
      </c>
      <c r="Q85" t="n">
        <v>0</v>
      </c>
      <c r="R85" t="n">
        <v>68.7</v>
      </c>
      <c r="S85" t="n">
        <v>0</v>
      </c>
      <c r="T85" t="n">
        <v>0</v>
      </c>
      <c r="U85" t="n">
        <v>0</v>
      </c>
      <c r="V85" t="n">
        <v>8.19</v>
      </c>
      <c r="W85" t="n">
        <v>171.99</v>
      </c>
      <c r="X85" t="n">
        <v>163.8</v>
      </c>
      <c r="Y85" t="n">
        <v>19</v>
      </c>
      <c r="Z85" t="n">
        <v>31.12</v>
      </c>
      <c r="AA85" t="n">
        <v>3.16</v>
      </c>
      <c r="AB85" t="n">
        <v>34.28</v>
      </c>
      <c r="AC85" t="n">
        <v>6.17</v>
      </c>
      <c r="AD85" t="n">
        <v>0</v>
      </c>
      <c r="AE85" t="n">
        <v>163.8</v>
      </c>
      <c r="AF85" t="n">
        <v>0</v>
      </c>
      <c r="AG85" t="n">
        <v>0</v>
      </c>
      <c r="AH85" t="n">
        <v>0.16</v>
      </c>
      <c r="AI85" t="n">
        <v>8.199999999999999</v>
      </c>
      <c r="AJ85" t="n">
        <v>-0.01</v>
      </c>
      <c r="AK85" t="n">
        <v>14.53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48.81</v>
      </c>
      <c r="AV85" t="n">
        <v>0</v>
      </c>
      <c r="AW85" t="n">
        <v>123.18</v>
      </c>
      <c r="AX85" t="inlineStr">
        <is>
          <t>settled</t>
        </is>
      </c>
      <c r="AY85" t="inlineStr">
        <is>
          <t>2026-01-28 05:30:00</t>
        </is>
      </c>
      <c r="AZ85" t="inlineStr">
        <is>
          <t>CITIN26611504159</t>
        </is>
      </c>
      <c r="BA85" t="n">
        <v>0</v>
      </c>
      <c r="BB85" t="inlineStr">
        <is>
          <t>3f77558e61ff70b6d89613fea1b01dfbca120dcf70f6eb6cbe33dd756696c26e</t>
        </is>
      </c>
    </row>
    <row r="86">
      <c r="A86" t="inlineStr">
        <is>
          <t>81</t>
        </is>
      </c>
      <c r="B86" t="inlineStr">
        <is>
          <t>7708698405</t>
        </is>
      </c>
      <c r="C86" t="inlineStr">
        <is>
          <t>2026-01-20 22:11:17</t>
        </is>
      </c>
      <c r="D86" t="inlineStr">
        <is>
          <t>4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355</v>
      </c>
      <c r="P86" t="n">
        <v>3.5</v>
      </c>
      <c r="Q86" t="n">
        <v>0</v>
      </c>
      <c r="R86" t="n">
        <v>75</v>
      </c>
      <c r="S86" t="n">
        <v>0</v>
      </c>
      <c r="T86" t="n">
        <v>0</v>
      </c>
      <c r="U86" t="n">
        <v>0</v>
      </c>
      <c r="V86" t="n">
        <v>14.18</v>
      </c>
      <c r="W86" t="n">
        <v>297.68</v>
      </c>
      <c r="X86" t="n">
        <v>283.5</v>
      </c>
      <c r="Y86" t="n">
        <v>19</v>
      </c>
      <c r="Z86" t="n">
        <v>53.86</v>
      </c>
      <c r="AA86" t="n">
        <v>5.48</v>
      </c>
      <c r="AB86" t="n">
        <v>59.34</v>
      </c>
      <c r="AC86" t="n">
        <v>10.68</v>
      </c>
      <c r="AD86" t="n">
        <v>0</v>
      </c>
      <c r="AE86" t="n">
        <v>283.5</v>
      </c>
      <c r="AF86" t="n">
        <v>0</v>
      </c>
      <c r="AG86" t="n">
        <v>0</v>
      </c>
      <c r="AH86" t="n">
        <v>0.28</v>
      </c>
      <c r="AI86" t="n">
        <v>14.18</v>
      </c>
      <c r="AJ86" t="n">
        <v>0</v>
      </c>
      <c r="AK86" t="n">
        <v>25.14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84.48</v>
      </c>
      <c r="AV86" t="n">
        <v>0</v>
      </c>
      <c r="AW86" t="n">
        <v>213.2</v>
      </c>
      <c r="AX86" t="inlineStr">
        <is>
          <t>settled</t>
        </is>
      </c>
      <c r="AY86" t="inlineStr">
        <is>
          <t>2026-01-28 05:30:00</t>
        </is>
      </c>
      <c r="AZ86" t="inlineStr">
        <is>
          <t>CITIN26611504159</t>
        </is>
      </c>
      <c r="BA86" t="n">
        <v>0</v>
      </c>
      <c r="BB86" t="inlineStr">
        <is>
          <t>9e4a810829b2a5b780b033412354d1403ded8bad51be03241f69f9929d2a6c28</t>
        </is>
      </c>
    </row>
    <row r="87">
      <c r="A87" t="inlineStr">
        <is>
          <t>82</t>
        </is>
      </c>
      <c r="B87" t="inlineStr">
        <is>
          <t>7709125887</t>
        </is>
      </c>
      <c r="C87" t="inlineStr">
        <is>
          <t>2026-01-20 22:11:49</t>
        </is>
      </c>
      <c r="D87" t="inlineStr">
        <is>
          <t>4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30% off upto ₹75 (2025-06-25 - 2031-01-01)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229</v>
      </c>
      <c r="P87" t="n">
        <v>3.5</v>
      </c>
      <c r="Q87" t="n">
        <v>0</v>
      </c>
      <c r="R87" t="n">
        <v>68.7</v>
      </c>
      <c r="S87" t="n">
        <v>0</v>
      </c>
      <c r="T87" t="n">
        <v>0</v>
      </c>
      <c r="U87" t="n">
        <v>0</v>
      </c>
      <c r="V87" t="n">
        <v>8.19</v>
      </c>
      <c r="W87" t="n">
        <v>171.99</v>
      </c>
      <c r="X87" t="n">
        <v>163.8</v>
      </c>
      <c r="Y87" t="n">
        <v>19</v>
      </c>
      <c r="Z87" t="n">
        <v>31.12</v>
      </c>
      <c r="AA87" t="n">
        <v>3.16</v>
      </c>
      <c r="AB87" t="n">
        <v>34.28</v>
      </c>
      <c r="AC87" t="n">
        <v>6.17</v>
      </c>
      <c r="AD87" t="n">
        <v>0</v>
      </c>
      <c r="AE87" t="n">
        <v>163.8</v>
      </c>
      <c r="AF87" t="n">
        <v>0</v>
      </c>
      <c r="AG87" t="n">
        <v>0</v>
      </c>
      <c r="AH87" t="n">
        <v>0.16</v>
      </c>
      <c r="AI87" t="n">
        <v>8.199999999999999</v>
      </c>
      <c r="AJ87" t="n">
        <v>-0.01</v>
      </c>
      <c r="AK87" t="n">
        <v>14.53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48.81</v>
      </c>
      <c r="AV87" t="n">
        <v>0</v>
      </c>
      <c r="AW87" t="n">
        <v>123.18</v>
      </c>
      <c r="AX87" t="inlineStr">
        <is>
          <t>settled</t>
        </is>
      </c>
      <c r="AY87" t="inlineStr">
        <is>
          <t>2026-01-28 05:30:00</t>
        </is>
      </c>
      <c r="AZ87" t="inlineStr">
        <is>
          <t>CITIN26611504159</t>
        </is>
      </c>
      <c r="BA87" t="n">
        <v>0</v>
      </c>
      <c r="BB87" t="inlineStr">
        <is>
          <t>ae4ea7d3a40af9abbf2d064b79aca12513bf919e074844ca05debe38fa841775</t>
        </is>
      </c>
    </row>
    <row r="88">
      <c r="A88" t="inlineStr">
        <is>
          <t>83</t>
        </is>
      </c>
      <c r="B88" t="inlineStr">
        <is>
          <t>7706367671</t>
        </is>
      </c>
      <c r="C88" t="inlineStr">
        <is>
          <t>2026-01-21 00:02:44</t>
        </is>
      </c>
      <c r="D88" t="inlineStr">
        <is>
          <t>4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345</v>
      </c>
      <c r="P88" t="n">
        <v>3.5</v>
      </c>
      <c r="Q88" t="n">
        <v>0</v>
      </c>
      <c r="R88" t="n">
        <v>75</v>
      </c>
      <c r="S88" t="n">
        <v>0</v>
      </c>
      <c r="T88" t="n">
        <v>0</v>
      </c>
      <c r="U88" t="n">
        <v>0</v>
      </c>
      <c r="V88" t="n">
        <v>13.68</v>
      </c>
      <c r="W88" t="n">
        <v>287.18</v>
      </c>
      <c r="X88" t="n">
        <v>273.5</v>
      </c>
      <c r="Y88" t="n">
        <v>19</v>
      </c>
      <c r="Z88" t="n">
        <v>51.96</v>
      </c>
      <c r="AA88" t="n">
        <v>5.28</v>
      </c>
      <c r="AB88" t="n">
        <v>57.24</v>
      </c>
      <c r="AC88" t="n">
        <v>10.3</v>
      </c>
      <c r="AD88" t="n">
        <v>0</v>
      </c>
      <c r="AE88" t="n">
        <v>273.5</v>
      </c>
      <c r="AF88" t="n">
        <v>0</v>
      </c>
      <c r="AG88" t="n">
        <v>0</v>
      </c>
      <c r="AH88" t="n">
        <v>0.27</v>
      </c>
      <c r="AI88" t="n">
        <v>13.68</v>
      </c>
      <c r="AJ88" t="n">
        <v>0</v>
      </c>
      <c r="AK88" t="n">
        <v>24.25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81.48999999999999</v>
      </c>
      <c r="AV88" t="n">
        <v>0</v>
      </c>
      <c r="AW88" t="n">
        <v>205.69</v>
      </c>
      <c r="AX88" t="inlineStr">
        <is>
          <t>settled</t>
        </is>
      </c>
      <c r="AY88" t="inlineStr">
        <is>
          <t>2026-01-28 05:30:00</t>
        </is>
      </c>
      <c r="AZ88" t="inlineStr">
        <is>
          <t>CITIN26611504159</t>
        </is>
      </c>
      <c r="BA88" t="n">
        <v>0</v>
      </c>
      <c r="BB88" t="inlineStr">
        <is>
          <t>1e8bce0ce8bc0f6a47668ad8b838f3f82d0174a247f1e932e4a8880b45522a5e</t>
        </is>
      </c>
    </row>
    <row r="89">
      <c r="A89" t="inlineStr">
        <is>
          <t>84</t>
        </is>
      </c>
      <c r="B89" t="inlineStr">
        <is>
          <t>7711609757</t>
        </is>
      </c>
      <c r="C89" t="inlineStr">
        <is>
          <t>2026-01-21 00:07:58</t>
        </is>
      </c>
      <c r="D89" t="inlineStr">
        <is>
          <t>4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NA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229</v>
      </c>
      <c r="P89" t="n">
        <v>3.5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11.63</v>
      </c>
      <c r="W89" t="n">
        <v>244.13</v>
      </c>
      <c r="X89" t="n">
        <v>232.5</v>
      </c>
      <c r="Y89" t="n">
        <v>19</v>
      </c>
      <c r="Z89" t="n">
        <v>44.18</v>
      </c>
      <c r="AA89" t="n">
        <v>4.49</v>
      </c>
      <c r="AB89" t="n">
        <v>48.67</v>
      </c>
      <c r="AC89" t="n">
        <v>8.76</v>
      </c>
      <c r="AD89" t="n">
        <v>0</v>
      </c>
      <c r="AE89" t="n">
        <v>232.5</v>
      </c>
      <c r="AF89" t="n">
        <v>0</v>
      </c>
      <c r="AG89" t="n">
        <v>0</v>
      </c>
      <c r="AH89" t="n">
        <v>0.23</v>
      </c>
      <c r="AI89" t="n">
        <v>11.63</v>
      </c>
      <c r="AJ89" t="n">
        <v>0</v>
      </c>
      <c r="AK89" t="n">
        <v>20.62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69.29000000000001</v>
      </c>
      <c r="AV89" t="n">
        <v>0</v>
      </c>
      <c r="AW89" t="n">
        <v>174.84</v>
      </c>
      <c r="AX89" t="inlineStr">
        <is>
          <t>settled</t>
        </is>
      </c>
      <c r="AY89" t="inlineStr">
        <is>
          <t>2026-01-28 05:30:00</t>
        </is>
      </c>
      <c r="AZ89" t="inlineStr">
        <is>
          <t>CITIN26611504159</t>
        </is>
      </c>
      <c r="BA89" t="n">
        <v>0</v>
      </c>
      <c r="BB89" t="inlineStr">
        <is>
          <t>71540ed170b6a566fb5266ad657c4804cab74c3c5fd517fab9ea0b6181cba22e</t>
        </is>
      </c>
    </row>
    <row r="90">
      <c r="A90" t="inlineStr">
        <is>
          <t>85</t>
        </is>
      </c>
      <c r="B90" t="inlineStr">
        <is>
          <t>7700020162</t>
        </is>
      </c>
      <c r="C90" t="inlineStr">
        <is>
          <t>2026-01-21 00:15:58</t>
        </is>
      </c>
      <c r="D90" t="inlineStr">
        <is>
          <t>4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248</v>
      </c>
      <c r="P90" t="n">
        <v>3.5</v>
      </c>
      <c r="Q90" t="n">
        <v>0</v>
      </c>
      <c r="R90" t="n">
        <v>74.40000000000001</v>
      </c>
      <c r="S90" t="n">
        <v>0</v>
      </c>
      <c r="T90" t="n">
        <v>0</v>
      </c>
      <c r="U90" t="n">
        <v>0</v>
      </c>
      <c r="V90" t="n">
        <v>8.859999999999999</v>
      </c>
      <c r="W90" t="n">
        <v>185.96</v>
      </c>
      <c r="X90" t="n">
        <v>177.1</v>
      </c>
      <c r="Y90" t="n">
        <v>19</v>
      </c>
      <c r="Z90" t="n">
        <v>33.65</v>
      </c>
      <c r="AA90" t="n">
        <v>3.42</v>
      </c>
      <c r="AB90" t="n">
        <v>37.07</v>
      </c>
      <c r="AC90" t="n">
        <v>6.68</v>
      </c>
      <c r="AD90" t="n">
        <v>0</v>
      </c>
      <c r="AE90" t="n">
        <v>177.1</v>
      </c>
      <c r="AF90" t="n">
        <v>0</v>
      </c>
      <c r="AG90" t="n">
        <v>0</v>
      </c>
      <c r="AH90" t="n">
        <v>0.18</v>
      </c>
      <c r="AI90" t="n">
        <v>8.859999999999999</v>
      </c>
      <c r="AJ90" t="n">
        <v>0</v>
      </c>
      <c r="AK90" t="n">
        <v>15.72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52.79</v>
      </c>
      <c r="AV90" t="n">
        <v>0</v>
      </c>
      <c r="AW90" t="n">
        <v>133.17</v>
      </c>
      <c r="AX90" t="inlineStr">
        <is>
          <t>settled</t>
        </is>
      </c>
      <c r="AY90" t="inlineStr">
        <is>
          <t>2026-01-28 05:30:00</t>
        </is>
      </c>
      <c r="AZ90" t="inlineStr">
        <is>
          <t>CITIN26611504159</t>
        </is>
      </c>
      <c r="BA90" t="n">
        <v>0</v>
      </c>
      <c r="BB90" t="inlineStr">
        <is>
          <t>a17fc3599dc8ccbdb7365d45883ff729f64db614eccab6a0e6b8af3a15c9f789</t>
        </is>
      </c>
    </row>
    <row r="91">
      <c r="A91" t="inlineStr">
        <is>
          <t>86</t>
        </is>
      </c>
      <c r="B91" t="inlineStr">
        <is>
          <t>7711443034</t>
        </is>
      </c>
      <c r="C91" t="inlineStr">
        <is>
          <t>2026-01-21 00:59:43</t>
        </is>
      </c>
      <c r="D91" t="inlineStr">
        <is>
          <t>4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229</v>
      </c>
      <c r="P91" t="n">
        <v>3.5</v>
      </c>
      <c r="Q91" t="n">
        <v>0</v>
      </c>
      <c r="R91" t="n">
        <v>68.7</v>
      </c>
      <c r="S91" t="n">
        <v>0</v>
      </c>
      <c r="T91" t="n">
        <v>0</v>
      </c>
      <c r="U91" t="n">
        <v>0</v>
      </c>
      <c r="V91" t="n">
        <v>8.19</v>
      </c>
      <c r="W91" t="n">
        <v>171.99</v>
      </c>
      <c r="X91" t="n">
        <v>163.8</v>
      </c>
      <c r="Y91" t="n">
        <v>19</v>
      </c>
      <c r="Z91" t="n">
        <v>31.12</v>
      </c>
      <c r="AA91" t="n">
        <v>3.16</v>
      </c>
      <c r="AB91" t="n">
        <v>34.28</v>
      </c>
      <c r="AC91" t="n">
        <v>6.17</v>
      </c>
      <c r="AD91" t="n">
        <v>0</v>
      </c>
      <c r="AE91" t="n">
        <v>163.8</v>
      </c>
      <c r="AF91" t="n">
        <v>0</v>
      </c>
      <c r="AG91" t="n">
        <v>0</v>
      </c>
      <c r="AH91" t="n">
        <v>0.16</v>
      </c>
      <c r="AI91" t="n">
        <v>8.199999999999999</v>
      </c>
      <c r="AJ91" t="n">
        <v>-0.01</v>
      </c>
      <c r="AK91" t="n">
        <v>14.53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48.81</v>
      </c>
      <c r="AV91" t="n">
        <v>0</v>
      </c>
      <c r="AW91" t="n">
        <v>123.18</v>
      </c>
      <c r="AX91" t="inlineStr">
        <is>
          <t>settled</t>
        </is>
      </c>
      <c r="AY91" t="inlineStr">
        <is>
          <t>2026-01-28 05:30:00</t>
        </is>
      </c>
      <c r="AZ91" t="inlineStr">
        <is>
          <t>CITIN26611504159</t>
        </is>
      </c>
      <c r="BA91" t="n">
        <v>0</v>
      </c>
      <c r="BB91" t="inlineStr">
        <is>
          <t>91c9cd9672284e078e8d700234c54b3ee76d45c537b2851b4911477c3a994c91</t>
        </is>
      </c>
    </row>
    <row r="92">
      <c r="A92" t="inlineStr">
        <is>
          <t>87</t>
        </is>
      </c>
      <c r="B92" t="inlineStr">
        <is>
          <t>7712092604</t>
        </is>
      </c>
      <c r="C92" t="inlineStr">
        <is>
          <t>2026-01-21 01:00:12</t>
        </is>
      </c>
      <c r="D92" t="inlineStr">
        <is>
          <t>4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NA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229</v>
      </c>
      <c r="P92" t="n">
        <v>3.5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11.63</v>
      </c>
      <c r="W92" t="n">
        <v>244.13</v>
      </c>
      <c r="X92" t="n">
        <v>232.5</v>
      </c>
      <c r="Y92" t="n">
        <v>19</v>
      </c>
      <c r="Z92" t="n">
        <v>44.18</v>
      </c>
      <c r="AA92" t="n">
        <v>4.49</v>
      </c>
      <c r="AB92" t="n">
        <v>48.67</v>
      </c>
      <c r="AC92" t="n">
        <v>8.76</v>
      </c>
      <c r="AD92" t="n">
        <v>0</v>
      </c>
      <c r="AE92" t="n">
        <v>232.5</v>
      </c>
      <c r="AF92" t="n">
        <v>0</v>
      </c>
      <c r="AG92" t="n">
        <v>0</v>
      </c>
      <c r="AH92" t="n">
        <v>0.23</v>
      </c>
      <c r="AI92" t="n">
        <v>11.63</v>
      </c>
      <c r="AJ92" t="n">
        <v>0</v>
      </c>
      <c r="AK92" t="n">
        <v>20.62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69.29000000000001</v>
      </c>
      <c r="AV92" t="n">
        <v>0</v>
      </c>
      <c r="AW92" t="n">
        <v>174.84</v>
      </c>
      <c r="AX92" t="inlineStr">
        <is>
          <t>settled</t>
        </is>
      </c>
      <c r="AY92" t="inlineStr">
        <is>
          <t>2026-01-28 05:30:00</t>
        </is>
      </c>
      <c r="AZ92" t="inlineStr">
        <is>
          <t>CITIN26611504159</t>
        </is>
      </c>
      <c r="BA92" t="n">
        <v>0</v>
      </c>
      <c r="BB92" t="inlineStr">
        <is>
          <t>04ba6abee67e35a03fcef9a6af8315b16028b353b7a84e0df11ff9ba5757df8c</t>
        </is>
      </c>
    </row>
    <row r="93">
      <c r="A93" t="inlineStr">
        <is>
          <t>88</t>
        </is>
      </c>
      <c r="B93" t="inlineStr">
        <is>
          <t>7712799307</t>
        </is>
      </c>
      <c r="C93" t="inlineStr">
        <is>
          <t>2026-01-21 01:00:17</t>
        </is>
      </c>
      <c r="D93" t="inlineStr">
        <is>
          <t>4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NA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229</v>
      </c>
      <c r="P93" t="n">
        <v>3.5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11.63</v>
      </c>
      <c r="W93" t="n">
        <v>244.13</v>
      </c>
      <c r="X93" t="n">
        <v>232.5</v>
      </c>
      <c r="Y93" t="n">
        <v>19</v>
      </c>
      <c r="Z93" t="n">
        <v>44.18</v>
      </c>
      <c r="AA93" t="n">
        <v>4.49</v>
      </c>
      <c r="AB93" t="n">
        <v>48.67</v>
      </c>
      <c r="AC93" t="n">
        <v>8.76</v>
      </c>
      <c r="AD93" t="n">
        <v>0</v>
      </c>
      <c r="AE93" t="n">
        <v>232.5</v>
      </c>
      <c r="AF93" t="n">
        <v>0</v>
      </c>
      <c r="AG93" t="n">
        <v>0</v>
      </c>
      <c r="AH93" t="n">
        <v>0.23</v>
      </c>
      <c r="AI93" t="n">
        <v>11.63</v>
      </c>
      <c r="AJ93" t="n">
        <v>0</v>
      </c>
      <c r="AK93" t="n">
        <v>20.62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69.29000000000001</v>
      </c>
      <c r="AV93" t="n">
        <v>0</v>
      </c>
      <c r="AW93" t="n">
        <v>174.84</v>
      </c>
      <c r="AX93" t="inlineStr">
        <is>
          <t>settled</t>
        </is>
      </c>
      <c r="AY93" t="inlineStr">
        <is>
          <t>2026-01-28 05:30:00</t>
        </is>
      </c>
      <c r="AZ93" t="inlineStr">
        <is>
          <t>CITIN26611504159</t>
        </is>
      </c>
      <c r="BA93" t="n">
        <v>0</v>
      </c>
      <c r="BB93" t="inlineStr">
        <is>
          <t>3c20f8073d5ac0e06eccda74acf50646a97d007e73d29896825a3cfa33d933bc</t>
        </is>
      </c>
    </row>
    <row r="94">
      <c r="A94" t="inlineStr">
        <is>
          <t>89</t>
        </is>
      </c>
      <c r="B94" t="inlineStr">
        <is>
          <t>7708006111</t>
        </is>
      </c>
      <c r="C94" t="inlineStr">
        <is>
          <t>2026-01-21 01:17:49</t>
        </is>
      </c>
      <c r="D94" t="inlineStr">
        <is>
          <t>4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229</v>
      </c>
      <c r="P94" t="n">
        <v>3.5</v>
      </c>
      <c r="Q94" t="n">
        <v>0</v>
      </c>
      <c r="R94" t="n">
        <v>68.7</v>
      </c>
      <c r="S94" t="n">
        <v>0</v>
      </c>
      <c r="T94" t="n">
        <v>0</v>
      </c>
      <c r="U94" t="n">
        <v>0</v>
      </c>
      <c r="V94" t="n">
        <v>8.19</v>
      </c>
      <c r="W94" t="n">
        <v>171.99</v>
      </c>
      <c r="X94" t="n">
        <v>163.8</v>
      </c>
      <c r="Y94" t="n">
        <v>19</v>
      </c>
      <c r="Z94" t="n">
        <v>31.12</v>
      </c>
      <c r="AA94" t="n">
        <v>3.16</v>
      </c>
      <c r="AB94" t="n">
        <v>34.28</v>
      </c>
      <c r="AC94" t="n">
        <v>6.17</v>
      </c>
      <c r="AD94" t="n">
        <v>0</v>
      </c>
      <c r="AE94" t="n">
        <v>163.8</v>
      </c>
      <c r="AF94" t="n">
        <v>0</v>
      </c>
      <c r="AG94" t="n">
        <v>0</v>
      </c>
      <c r="AH94" t="n">
        <v>0.16</v>
      </c>
      <c r="AI94" t="n">
        <v>8.199999999999999</v>
      </c>
      <c r="AJ94" t="n">
        <v>-0.01</v>
      </c>
      <c r="AK94" t="n">
        <v>14.53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48.81</v>
      </c>
      <c r="AV94" t="n">
        <v>0</v>
      </c>
      <c r="AW94" t="n">
        <v>123.18</v>
      </c>
      <c r="AX94" t="inlineStr">
        <is>
          <t>settled</t>
        </is>
      </c>
      <c r="AY94" t="inlineStr">
        <is>
          <t>2026-01-28 05:30:00</t>
        </is>
      </c>
      <c r="AZ94" t="inlineStr">
        <is>
          <t>CITIN26611504159</t>
        </is>
      </c>
      <c r="BA94" t="n">
        <v>0</v>
      </c>
      <c r="BB94" t="inlineStr">
        <is>
          <t>5484ec4a769af10abb12881519b87ace695aa46898aa5ab2d78f37839168a5d0</t>
        </is>
      </c>
    </row>
    <row r="95">
      <c r="A95" t="inlineStr">
        <is>
          <t>90</t>
        </is>
      </c>
      <c r="B95" t="inlineStr">
        <is>
          <t>7708949509</t>
        </is>
      </c>
      <c r="C95" t="inlineStr">
        <is>
          <t>2026-01-21 01:22:07</t>
        </is>
      </c>
      <c r="D95" t="inlineStr">
        <is>
          <t>4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NA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229</v>
      </c>
      <c r="P95" t="n">
        <v>3.5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11.63</v>
      </c>
      <c r="W95" t="n">
        <v>244.13</v>
      </c>
      <c r="X95" t="n">
        <v>232.5</v>
      </c>
      <c r="Y95" t="n">
        <v>19</v>
      </c>
      <c r="Z95" t="n">
        <v>44.18</v>
      </c>
      <c r="AA95" t="n">
        <v>4.49</v>
      </c>
      <c r="AB95" t="n">
        <v>48.67</v>
      </c>
      <c r="AC95" t="n">
        <v>8.76</v>
      </c>
      <c r="AD95" t="n">
        <v>0</v>
      </c>
      <c r="AE95" t="n">
        <v>232.5</v>
      </c>
      <c r="AF95" t="n">
        <v>0</v>
      </c>
      <c r="AG95" t="n">
        <v>0</v>
      </c>
      <c r="AH95" t="n">
        <v>0.23</v>
      </c>
      <c r="AI95" t="n">
        <v>11.63</v>
      </c>
      <c r="AJ95" t="n">
        <v>0</v>
      </c>
      <c r="AK95" t="n">
        <v>20.62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69.29000000000001</v>
      </c>
      <c r="AV95" t="n">
        <v>0</v>
      </c>
      <c r="AW95" t="n">
        <v>174.84</v>
      </c>
      <c r="AX95" t="inlineStr">
        <is>
          <t>settled</t>
        </is>
      </c>
      <c r="AY95" t="inlineStr">
        <is>
          <t>2026-01-28 05:30:00</t>
        </is>
      </c>
      <c r="AZ95" t="inlineStr">
        <is>
          <t>CITIN26611504159</t>
        </is>
      </c>
      <c r="BA95" t="n">
        <v>0</v>
      </c>
      <c r="BB95" t="inlineStr">
        <is>
          <t>1d0535be539f5fd5441e3070508f0e19dadf28505a53e846fc71bcdda6fd7517</t>
        </is>
      </c>
    </row>
    <row r="96">
      <c r="A96" t="inlineStr">
        <is>
          <t>91</t>
        </is>
      </c>
      <c r="B96" t="inlineStr">
        <is>
          <t>7708466784</t>
        </is>
      </c>
      <c r="C96" t="inlineStr">
        <is>
          <t>2026-01-21 01:27:02</t>
        </is>
      </c>
      <c r="D96" t="inlineStr">
        <is>
          <t>4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229</v>
      </c>
      <c r="P96" t="n">
        <v>3.5</v>
      </c>
      <c r="Q96" t="n">
        <v>0</v>
      </c>
      <c r="R96" t="n">
        <v>68.7</v>
      </c>
      <c r="S96" t="n">
        <v>0</v>
      </c>
      <c r="T96" t="n">
        <v>0</v>
      </c>
      <c r="U96" t="n">
        <v>0</v>
      </c>
      <c r="V96" t="n">
        <v>8.19</v>
      </c>
      <c r="W96" t="n">
        <v>171.99</v>
      </c>
      <c r="X96" t="n">
        <v>163.8</v>
      </c>
      <c r="Y96" t="n">
        <v>19</v>
      </c>
      <c r="Z96" t="n">
        <v>31.12</v>
      </c>
      <c r="AA96" t="n">
        <v>3.16</v>
      </c>
      <c r="AB96" t="n">
        <v>34.28</v>
      </c>
      <c r="AC96" t="n">
        <v>6.17</v>
      </c>
      <c r="AD96" t="n">
        <v>0</v>
      </c>
      <c r="AE96" t="n">
        <v>163.8</v>
      </c>
      <c r="AF96" t="n">
        <v>0</v>
      </c>
      <c r="AG96" t="n">
        <v>0</v>
      </c>
      <c r="AH96" t="n">
        <v>0.16</v>
      </c>
      <c r="AI96" t="n">
        <v>8.199999999999999</v>
      </c>
      <c r="AJ96" t="n">
        <v>-0.01</v>
      </c>
      <c r="AK96" t="n">
        <v>14.53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48.81</v>
      </c>
      <c r="AV96" t="n">
        <v>0</v>
      </c>
      <c r="AW96" t="n">
        <v>123.18</v>
      </c>
      <c r="AX96" t="inlineStr">
        <is>
          <t>settled</t>
        </is>
      </c>
      <c r="AY96" t="inlineStr">
        <is>
          <t>2026-01-28 05:30:00</t>
        </is>
      </c>
      <c r="AZ96" t="inlineStr">
        <is>
          <t>CITIN26611504159</t>
        </is>
      </c>
      <c r="BA96" t="n">
        <v>0</v>
      </c>
      <c r="BB96" t="inlineStr">
        <is>
          <t>1d3e1ea145e068bc3f959bb430c88045e8cbe199838f3348546c04f5f4140992</t>
        </is>
      </c>
    </row>
    <row r="97">
      <c r="A97" t="inlineStr">
        <is>
          <t>92</t>
        </is>
      </c>
      <c r="B97" t="inlineStr">
        <is>
          <t>7712557726</t>
        </is>
      </c>
      <c r="C97" t="inlineStr">
        <is>
          <t>2026-01-21 01:27:20</t>
        </is>
      </c>
      <c r="D97" t="inlineStr">
        <is>
          <t>4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355</v>
      </c>
      <c r="P97" t="n">
        <v>3.5</v>
      </c>
      <c r="Q97" t="n">
        <v>0</v>
      </c>
      <c r="R97" t="n">
        <v>75</v>
      </c>
      <c r="S97" t="n">
        <v>0</v>
      </c>
      <c r="T97" t="n">
        <v>0</v>
      </c>
      <c r="U97" t="n">
        <v>0</v>
      </c>
      <c r="V97" t="n">
        <v>14.18</v>
      </c>
      <c r="W97" t="n">
        <v>297.68</v>
      </c>
      <c r="X97" t="n">
        <v>283.5</v>
      </c>
      <c r="Y97" t="n">
        <v>19</v>
      </c>
      <c r="Z97" t="n">
        <v>53.86</v>
      </c>
      <c r="AA97" t="n">
        <v>5.48</v>
      </c>
      <c r="AB97" t="n">
        <v>59.34</v>
      </c>
      <c r="AC97" t="n">
        <v>10.68</v>
      </c>
      <c r="AD97" t="n">
        <v>0</v>
      </c>
      <c r="AE97" t="n">
        <v>283.5</v>
      </c>
      <c r="AF97" t="n">
        <v>0</v>
      </c>
      <c r="AG97" t="n">
        <v>0</v>
      </c>
      <c r="AH97" t="n">
        <v>0.28</v>
      </c>
      <c r="AI97" t="n">
        <v>14.18</v>
      </c>
      <c r="AJ97" t="n">
        <v>0</v>
      </c>
      <c r="AK97" t="n">
        <v>25.14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84.48</v>
      </c>
      <c r="AV97" t="n">
        <v>0</v>
      </c>
      <c r="AW97" t="n">
        <v>213.2</v>
      </c>
      <c r="AX97" t="inlineStr">
        <is>
          <t>settled</t>
        </is>
      </c>
      <c r="AY97" t="inlineStr">
        <is>
          <t>2026-01-28 05:30:00</t>
        </is>
      </c>
      <c r="AZ97" t="inlineStr">
        <is>
          <t>CITIN26611504159</t>
        </is>
      </c>
      <c r="BA97" t="n">
        <v>0</v>
      </c>
      <c r="BB97" t="inlineStr">
        <is>
          <t>9e61f88753a606ee62ce5af3f2682b64431d563d44f820a230682a371c5ed5b9</t>
        </is>
      </c>
    </row>
    <row r="98">
      <c r="A98" t="inlineStr">
        <is>
          <t>93</t>
        </is>
      </c>
      <c r="B98" t="inlineStr">
        <is>
          <t>7711658845</t>
        </is>
      </c>
      <c r="C98" t="inlineStr">
        <is>
          <t>2026-01-21 01:34:43</t>
        </is>
      </c>
      <c r="D98" t="inlineStr">
        <is>
          <t>4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229</v>
      </c>
      <c r="P98" t="n">
        <v>3.5</v>
      </c>
      <c r="Q98" t="n">
        <v>0</v>
      </c>
      <c r="R98" t="n">
        <v>68.7</v>
      </c>
      <c r="S98" t="n">
        <v>0</v>
      </c>
      <c r="T98" t="n">
        <v>0</v>
      </c>
      <c r="U98" t="n">
        <v>0</v>
      </c>
      <c r="V98" t="n">
        <v>8.19</v>
      </c>
      <c r="W98" t="n">
        <v>171.99</v>
      </c>
      <c r="X98" t="n">
        <v>163.8</v>
      </c>
      <c r="Y98" t="n">
        <v>19</v>
      </c>
      <c r="Z98" t="n">
        <v>31.12</v>
      </c>
      <c r="AA98" t="n">
        <v>3.16</v>
      </c>
      <c r="AB98" t="n">
        <v>34.28</v>
      </c>
      <c r="AC98" t="n">
        <v>6.17</v>
      </c>
      <c r="AD98" t="n">
        <v>0</v>
      </c>
      <c r="AE98" t="n">
        <v>163.8</v>
      </c>
      <c r="AF98" t="n">
        <v>0</v>
      </c>
      <c r="AG98" t="n">
        <v>0</v>
      </c>
      <c r="AH98" t="n">
        <v>0.16</v>
      </c>
      <c r="AI98" t="n">
        <v>8.199999999999999</v>
      </c>
      <c r="AJ98" t="n">
        <v>-0.01</v>
      </c>
      <c r="AK98" t="n">
        <v>14.53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48.81</v>
      </c>
      <c r="AV98" t="n">
        <v>0</v>
      </c>
      <c r="AW98" t="n">
        <v>123.18</v>
      </c>
      <c r="AX98" t="inlineStr">
        <is>
          <t>settled</t>
        </is>
      </c>
      <c r="AY98" t="inlineStr">
        <is>
          <t>2026-01-28 05:30:00</t>
        </is>
      </c>
      <c r="AZ98" t="inlineStr">
        <is>
          <t>CITIN26611504159</t>
        </is>
      </c>
      <c r="BA98" t="n">
        <v>0</v>
      </c>
      <c r="BB98" t="inlineStr">
        <is>
          <t>150a733d601c6dfdf7ef7fc5b8aa1f87b121328139a444349043f638cc3bedf6</t>
        </is>
      </c>
    </row>
    <row r="99">
      <c r="A99" t="inlineStr">
        <is>
          <t>94</t>
        </is>
      </c>
      <c r="B99" t="inlineStr">
        <is>
          <t>7709652945</t>
        </is>
      </c>
      <c r="C99" t="inlineStr">
        <is>
          <t>2026-01-21 01:44:18</t>
        </is>
      </c>
      <c r="D99" t="inlineStr">
        <is>
          <t>4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NA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219</v>
      </c>
      <c r="P99" t="n">
        <v>3.5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11.13</v>
      </c>
      <c r="W99" t="n">
        <v>233.63</v>
      </c>
      <c r="X99" t="n">
        <v>222.5</v>
      </c>
      <c r="Y99" t="n">
        <v>19</v>
      </c>
      <c r="Z99" t="n">
        <v>42.28</v>
      </c>
      <c r="AA99" t="n">
        <v>4.3</v>
      </c>
      <c r="AB99" t="n">
        <v>46.58</v>
      </c>
      <c r="AC99" t="n">
        <v>8.380000000000001</v>
      </c>
      <c r="AD99" t="n">
        <v>0</v>
      </c>
      <c r="AE99" t="n">
        <v>222.5</v>
      </c>
      <c r="AF99" t="n">
        <v>0</v>
      </c>
      <c r="AG99" t="n">
        <v>0</v>
      </c>
      <c r="AH99" t="n">
        <v>0.22</v>
      </c>
      <c r="AI99" t="n">
        <v>11.13</v>
      </c>
      <c r="AJ99" t="n">
        <v>0</v>
      </c>
      <c r="AK99" t="n">
        <v>19.73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66.31</v>
      </c>
      <c r="AV99" t="n">
        <v>0</v>
      </c>
      <c r="AW99" t="n">
        <v>167.32</v>
      </c>
      <c r="AX99" t="inlineStr">
        <is>
          <t>settled</t>
        </is>
      </c>
      <c r="AY99" t="inlineStr">
        <is>
          <t>2026-01-28 05:30:00</t>
        </is>
      </c>
      <c r="AZ99" t="inlineStr">
        <is>
          <t>CITIN26611504159</t>
        </is>
      </c>
      <c r="BA99" t="n">
        <v>0</v>
      </c>
      <c r="BB99" t="inlineStr">
        <is>
          <t>4f0ce48a042a0172cae85d4be5fa52152f1cfd65afb6fb60bdcc1789e603e86d</t>
        </is>
      </c>
    </row>
    <row r="100">
      <c r="A100" t="inlineStr">
        <is>
          <t>95</t>
        </is>
      </c>
      <c r="B100" t="inlineStr">
        <is>
          <t>7712615123</t>
        </is>
      </c>
      <c r="C100" t="inlineStr">
        <is>
          <t>2026-01-21 01:49:53</t>
        </is>
      </c>
      <c r="D100" t="inlineStr">
        <is>
          <t>4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NA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219</v>
      </c>
      <c r="P100" t="n">
        <v>3.5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11.13</v>
      </c>
      <c r="W100" t="n">
        <v>233.63</v>
      </c>
      <c r="X100" t="n">
        <v>222.5</v>
      </c>
      <c r="Y100" t="n">
        <v>19</v>
      </c>
      <c r="Z100" t="n">
        <v>42.28</v>
      </c>
      <c r="AA100" t="n">
        <v>4.3</v>
      </c>
      <c r="AB100" t="n">
        <v>46.58</v>
      </c>
      <c r="AC100" t="n">
        <v>8.380000000000001</v>
      </c>
      <c r="AD100" t="n">
        <v>0</v>
      </c>
      <c r="AE100" t="n">
        <v>222.5</v>
      </c>
      <c r="AF100" t="n">
        <v>0</v>
      </c>
      <c r="AG100" t="n">
        <v>0</v>
      </c>
      <c r="AH100" t="n">
        <v>0.22</v>
      </c>
      <c r="AI100" t="n">
        <v>11.13</v>
      </c>
      <c r="AJ100" t="n">
        <v>0</v>
      </c>
      <c r="AK100" t="n">
        <v>19.73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66.31</v>
      </c>
      <c r="AV100" t="n">
        <v>0</v>
      </c>
      <c r="AW100" t="n">
        <v>167.32</v>
      </c>
      <c r="AX100" t="inlineStr">
        <is>
          <t>settled</t>
        </is>
      </c>
      <c r="AY100" t="inlineStr">
        <is>
          <t>2026-01-28 05:30:00</t>
        </is>
      </c>
      <c r="AZ100" t="inlineStr">
        <is>
          <t>CITIN26611504159</t>
        </is>
      </c>
      <c r="BA100" t="n">
        <v>0</v>
      </c>
      <c r="BB100" t="inlineStr">
        <is>
          <t>92628d0c9ddb9234e90e86c1453b9960e493e171d852c8e1cd5a99652dd785ec</t>
        </is>
      </c>
    </row>
    <row r="101">
      <c r="A101" t="inlineStr">
        <is>
          <t>96</t>
        </is>
      </c>
      <c r="B101" t="inlineStr">
        <is>
          <t>7706145984</t>
        </is>
      </c>
      <c r="C101" t="inlineStr">
        <is>
          <t>2026-01-21 01:55:27</t>
        </is>
      </c>
      <c r="D101" t="inlineStr">
        <is>
          <t>4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NA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774</v>
      </c>
      <c r="P101" t="n">
        <v>3.5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38.88</v>
      </c>
      <c r="W101" t="n">
        <v>816.38</v>
      </c>
      <c r="X101" t="n">
        <v>777.5</v>
      </c>
      <c r="Y101" t="n">
        <v>19</v>
      </c>
      <c r="Z101" t="n">
        <v>147.72</v>
      </c>
      <c r="AA101" t="n">
        <v>15.02</v>
      </c>
      <c r="AB101" t="n">
        <v>162.74</v>
      </c>
      <c r="AC101" t="n">
        <v>29.29</v>
      </c>
      <c r="AD101" t="n">
        <v>0</v>
      </c>
      <c r="AE101" t="n">
        <v>777.5</v>
      </c>
      <c r="AF101" t="n">
        <v>0</v>
      </c>
      <c r="AG101" t="n">
        <v>0</v>
      </c>
      <c r="AH101" t="n">
        <v>0.78</v>
      </c>
      <c r="AI101" t="n">
        <v>38.88</v>
      </c>
      <c r="AJ101" t="n">
        <v>0</v>
      </c>
      <c r="AK101" t="n">
        <v>68.95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231.69</v>
      </c>
      <c r="AV101" t="n">
        <v>0</v>
      </c>
      <c r="AW101" t="n">
        <v>584.6900000000001</v>
      </c>
      <c r="AX101" t="inlineStr">
        <is>
          <t>settled</t>
        </is>
      </c>
      <c r="AY101" t="inlineStr">
        <is>
          <t>2026-01-28 05:30:00</t>
        </is>
      </c>
      <c r="AZ101" t="inlineStr">
        <is>
          <t>CITIN26611504159</t>
        </is>
      </c>
      <c r="BA101" t="n">
        <v>0</v>
      </c>
      <c r="BB101" t="inlineStr">
        <is>
          <t>1c515f4d87b4dadf1324bb759b2981cb54412eab898ccf0e80c453e3c747b500</t>
        </is>
      </c>
    </row>
    <row r="102">
      <c r="A102" t="inlineStr">
        <is>
          <t>97</t>
        </is>
      </c>
      <c r="B102" t="inlineStr">
        <is>
          <t>7712716057</t>
        </is>
      </c>
      <c r="C102" t="inlineStr">
        <is>
          <t>2026-01-21 02:06:24</t>
        </is>
      </c>
      <c r="D102" t="inlineStr">
        <is>
          <t>4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229</v>
      </c>
      <c r="P102" t="n">
        <v>3.5</v>
      </c>
      <c r="Q102" t="n">
        <v>0</v>
      </c>
      <c r="R102" t="n">
        <v>68.7</v>
      </c>
      <c r="S102" t="n">
        <v>0</v>
      </c>
      <c r="T102" t="n">
        <v>0</v>
      </c>
      <c r="U102" t="n">
        <v>0</v>
      </c>
      <c r="V102" t="n">
        <v>8.19</v>
      </c>
      <c r="W102" t="n">
        <v>171.99</v>
      </c>
      <c r="X102" t="n">
        <v>163.8</v>
      </c>
      <c r="Y102" t="n">
        <v>19</v>
      </c>
      <c r="Z102" t="n">
        <v>31.12</v>
      </c>
      <c r="AA102" t="n">
        <v>3.16</v>
      </c>
      <c r="AB102" t="n">
        <v>34.28</v>
      </c>
      <c r="AC102" t="n">
        <v>6.17</v>
      </c>
      <c r="AD102" t="n">
        <v>0</v>
      </c>
      <c r="AE102" t="n">
        <v>163.8</v>
      </c>
      <c r="AF102" t="n">
        <v>0</v>
      </c>
      <c r="AG102" t="n">
        <v>0</v>
      </c>
      <c r="AH102" t="n">
        <v>0.16</v>
      </c>
      <c r="AI102" t="n">
        <v>8.199999999999999</v>
      </c>
      <c r="AJ102" t="n">
        <v>-0.01</v>
      </c>
      <c r="AK102" t="n">
        <v>14.53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48.81</v>
      </c>
      <c r="AV102" t="n">
        <v>0</v>
      </c>
      <c r="AW102" t="n">
        <v>123.18</v>
      </c>
      <c r="AX102" t="inlineStr">
        <is>
          <t>settled</t>
        </is>
      </c>
      <c r="AY102" t="inlineStr">
        <is>
          <t>2026-01-28 05:30:00</t>
        </is>
      </c>
      <c r="AZ102" t="inlineStr">
        <is>
          <t>CITIN26611504159</t>
        </is>
      </c>
      <c r="BA102" t="n">
        <v>0</v>
      </c>
      <c r="BB102" t="inlineStr">
        <is>
          <t>a6c5f7234fee9c822d1337007113c801196b9b965ff6441c487a7e94a41578a5</t>
        </is>
      </c>
    </row>
    <row r="103">
      <c r="A103" t="inlineStr">
        <is>
          <t>98</t>
        </is>
      </c>
      <c r="B103" t="inlineStr">
        <is>
          <t>7710064554</t>
        </is>
      </c>
      <c r="C103" t="inlineStr">
        <is>
          <t>2026-01-21 02:19:17</t>
        </is>
      </c>
      <c r="D103" t="inlineStr">
        <is>
          <t>4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458</v>
      </c>
      <c r="P103" t="n">
        <v>3.5</v>
      </c>
      <c r="Q103" t="n">
        <v>0</v>
      </c>
      <c r="R103" t="n">
        <v>75</v>
      </c>
      <c r="S103" t="n">
        <v>0</v>
      </c>
      <c r="T103" t="n">
        <v>0</v>
      </c>
      <c r="U103" t="n">
        <v>0</v>
      </c>
      <c r="V103" t="n">
        <v>19.33</v>
      </c>
      <c r="W103" t="n">
        <v>405.83</v>
      </c>
      <c r="X103" t="n">
        <v>386.5</v>
      </c>
      <c r="Y103" t="n">
        <v>19</v>
      </c>
      <c r="Z103" t="n">
        <v>73.44</v>
      </c>
      <c r="AA103" t="n">
        <v>7.47</v>
      </c>
      <c r="AB103" t="n">
        <v>80.91</v>
      </c>
      <c r="AC103" t="n">
        <v>14.56</v>
      </c>
      <c r="AD103" t="n">
        <v>0</v>
      </c>
      <c r="AE103" t="n">
        <v>386.5</v>
      </c>
      <c r="AF103" t="n">
        <v>0</v>
      </c>
      <c r="AG103" t="n">
        <v>0</v>
      </c>
      <c r="AH103" t="n">
        <v>0.39</v>
      </c>
      <c r="AI103" t="n">
        <v>19.33</v>
      </c>
      <c r="AJ103" t="n">
        <v>0</v>
      </c>
      <c r="AK103" t="n">
        <v>34.28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115.19</v>
      </c>
      <c r="AV103" t="n">
        <v>0</v>
      </c>
      <c r="AW103" t="n">
        <v>290.64</v>
      </c>
      <c r="AX103" t="inlineStr">
        <is>
          <t>settled</t>
        </is>
      </c>
      <c r="AY103" t="inlineStr">
        <is>
          <t>2026-01-28 05:30:00</t>
        </is>
      </c>
      <c r="AZ103" t="inlineStr">
        <is>
          <t>CITIN26611504159</t>
        </is>
      </c>
      <c r="BA103" t="n">
        <v>0</v>
      </c>
      <c r="BB103" t="inlineStr">
        <is>
          <t>d7986a5014e3462d113208db0bac75604fe70b8b35b7579a7ff4127a60ac8d8f</t>
        </is>
      </c>
    </row>
    <row r="104">
      <c r="A104" t="inlineStr">
        <is>
          <t>99</t>
        </is>
      </c>
      <c r="B104" t="inlineStr">
        <is>
          <t>7712518880</t>
        </is>
      </c>
      <c r="C104" t="inlineStr">
        <is>
          <t>2026-01-21 02:29:54</t>
        </is>
      </c>
      <c r="D104" t="inlineStr">
        <is>
          <t>4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219</v>
      </c>
      <c r="P104" t="n">
        <v>3.5</v>
      </c>
      <c r="Q104" t="n">
        <v>0</v>
      </c>
      <c r="R104" t="n">
        <v>65.7</v>
      </c>
      <c r="S104" t="n">
        <v>0</v>
      </c>
      <c r="T104" t="n">
        <v>0</v>
      </c>
      <c r="U104" t="n">
        <v>0</v>
      </c>
      <c r="V104" t="n">
        <v>7.84</v>
      </c>
      <c r="W104" t="n">
        <v>164.64</v>
      </c>
      <c r="X104" t="n">
        <v>156.8</v>
      </c>
      <c r="Y104" t="n">
        <v>19</v>
      </c>
      <c r="Z104" t="n">
        <v>29.79</v>
      </c>
      <c r="AA104" t="n">
        <v>3.03</v>
      </c>
      <c r="AB104" t="n">
        <v>32.82</v>
      </c>
      <c r="AC104" t="n">
        <v>5.91</v>
      </c>
      <c r="AD104" t="n">
        <v>0</v>
      </c>
      <c r="AE104" t="n">
        <v>156.8</v>
      </c>
      <c r="AF104" t="n">
        <v>0</v>
      </c>
      <c r="AG104" t="n">
        <v>0</v>
      </c>
      <c r="AH104" t="n">
        <v>0.16</v>
      </c>
      <c r="AI104" t="n">
        <v>7.85</v>
      </c>
      <c r="AJ104" t="n">
        <v>-0.01</v>
      </c>
      <c r="AK104" t="n">
        <v>13.92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46.74</v>
      </c>
      <c r="AV104" t="n">
        <v>0</v>
      </c>
      <c r="AW104" t="n">
        <v>117.9</v>
      </c>
      <c r="AX104" t="inlineStr">
        <is>
          <t>settled</t>
        </is>
      </c>
      <c r="AY104" t="inlineStr">
        <is>
          <t>2026-01-28 05:30:00</t>
        </is>
      </c>
      <c r="AZ104" t="inlineStr">
        <is>
          <t>CITIN26611504159</t>
        </is>
      </c>
      <c r="BA104" t="n">
        <v>0</v>
      </c>
      <c r="BB104" t="inlineStr">
        <is>
          <t>64d00286fd41287bf905a8aa638ba059b60db45e48a424168b815be510e836c1</t>
        </is>
      </c>
    </row>
    <row r="105">
      <c r="A105" t="inlineStr">
        <is>
          <t>100</t>
        </is>
      </c>
      <c r="B105" t="inlineStr">
        <is>
          <t>7712112290</t>
        </is>
      </c>
      <c r="C105" t="inlineStr">
        <is>
          <t>2026-01-21 03:07:59</t>
        </is>
      </c>
      <c r="D105" t="inlineStr">
        <is>
          <t>4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30% off upto ₹75 (2025-06-25 - 2031-01-01)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219</v>
      </c>
      <c r="P105" t="n">
        <v>3.5</v>
      </c>
      <c r="Q105" t="n">
        <v>0</v>
      </c>
      <c r="R105" t="n">
        <v>65.7</v>
      </c>
      <c r="S105" t="n">
        <v>0</v>
      </c>
      <c r="T105" t="n">
        <v>0</v>
      </c>
      <c r="U105" t="n">
        <v>0</v>
      </c>
      <c r="V105" t="n">
        <v>7.84</v>
      </c>
      <c r="W105" t="n">
        <v>164.64</v>
      </c>
      <c r="X105" t="n">
        <v>156.8</v>
      </c>
      <c r="Y105" t="n">
        <v>19</v>
      </c>
      <c r="Z105" t="n">
        <v>29.79</v>
      </c>
      <c r="AA105" t="n">
        <v>3.03</v>
      </c>
      <c r="AB105" t="n">
        <v>32.82</v>
      </c>
      <c r="AC105" t="n">
        <v>5.91</v>
      </c>
      <c r="AD105" t="n">
        <v>0</v>
      </c>
      <c r="AE105" t="n">
        <v>156.8</v>
      </c>
      <c r="AF105" t="n">
        <v>0</v>
      </c>
      <c r="AG105" t="n">
        <v>0</v>
      </c>
      <c r="AH105" t="n">
        <v>0.16</v>
      </c>
      <c r="AI105" t="n">
        <v>7.85</v>
      </c>
      <c r="AJ105" t="n">
        <v>-0.01</v>
      </c>
      <c r="AK105" t="n">
        <v>13.92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46.74</v>
      </c>
      <c r="AV105" t="n">
        <v>0</v>
      </c>
      <c r="AW105" t="n">
        <v>117.9</v>
      </c>
      <c r="AX105" t="inlineStr">
        <is>
          <t>settled</t>
        </is>
      </c>
      <c r="AY105" t="inlineStr">
        <is>
          <t>2026-01-28 05:30:00</t>
        </is>
      </c>
      <c r="AZ105" t="inlineStr">
        <is>
          <t>CITIN26611504159</t>
        </is>
      </c>
      <c r="BA105" t="n">
        <v>0</v>
      </c>
      <c r="BB105" t="inlineStr">
        <is>
          <t>6356ad7842b4d09ff7a2ff009eb942b0b2e66b329003e069cf92f0a04ee11710</t>
        </is>
      </c>
    </row>
    <row r="106">
      <c r="A106" t="inlineStr">
        <is>
          <t>101</t>
        </is>
      </c>
      <c r="B106" t="inlineStr">
        <is>
          <t>7692720647</t>
        </is>
      </c>
      <c r="C106" t="inlineStr">
        <is>
          <t>2026-01-21 03:14:18</t>
        </is>
      </c>
      <c r="D106" t="inlineStr">
        <is>
          <t>4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30% off upto ₹75 (2025-06-25 - 2031-01-01)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219</v>
      </c>
      <c r="P106" t="n">
        <v>3.5</v>
      </c>
      <c r="Q106" t="n">
        <v>0</v>
      </c>
      <c r="R106" t="n">
        <v>65.7</v>
      </c>
      <c r="S106" t="n">
        <v>0</v>
      </c>
      <c r="T106" t="n">
        <v>0</v>
      </c>
      <c r="U106" t="n">
        <v>0</v>
      </c>
      <c r="V106" t="n">
        <v>7.84</v>
      </c>
      <c r="W106" t="n">
        <v>164.64</v>
      </c>
      <c r="X106" t="n">
        <v>156.8</v>
      </c>
      <c r="Y106" t="n">
        <v>19</v>
      </c>
      <c r="Z106" t="n">
        <v>29.79</v>
      </c>
      <c r="AA106" t="n">
        <v>3.03</v>
      </c>
      <c r="AB106" t="n">
        <v>32.82</v>
      </c>
      <c r="AC106" t="n">
        <v>5.91</v>
      </c>
      <c r="AD106" t="n">
        <v>0</v>
      </c>
      <c r="AE106" t="n">
        <v>156.8</v>
      </c>
      <c r="AF106" t="n">
        <v>0</v>
      </c>
      <c r="AG106" t="n">
        <v>0</v>
      </c>
      <c r="AH106" t="n">
        <v>0.16</v>
      </c>
      <c r="AI106" t="n">
        <v>7.85</v>
      </c>
      <c r="AJ106" t="n">
        <v>-0.01</v>
      </c>
      <c r="AK106" t="n">
        <v>13.92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46.74</v>
      </c>
      <c r="AV106" t="n">
        <v>0</v>
      </c>
      <c r="AW106" t="n">
        <v>117.9</v>
      </c>
      <c r="AX106" t="inlineStr">
        <is>
          <t>settled</t>
        </is>
      </c>
      <c r="AY106" t="inlineStr">
        <is>
          <t>2026-01-28 05:30:00</t>
        </is>
      </c>
      <c r="AZ106" t="inlineStr">
        <is>
          <t>CITIN26611504159</t>
        </is>
      </c>
      <c r="BA106" t="n">
        <v>0</v>
      </c>
      <c r="BB106" t="inlineStr">
        <is>
          <t>d644005bb648e5063fedea91d1f5a073a6456f5b193a57d1ccfbd9cd1159c3f3</t>
        </is>
      </c>
    </row>
    <row r="107">
      <c r="A107" t="inlineStr">
        <is>
          <t>102</t>
        </is>
      </c>
      <c r="B107" t="inlineStr">
        <is>
          <t>7710637186</t>
        </is>
      </c>
      <c r="C107" t="inlineStr">
        <is>
          <t>2026-01-21 04:33:13</t>
        </is>
      </c>
      <c r="D107" t="inlineStr">
        <is>
          <t>4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NA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219</v>
      </c>
      <c r="P107" t="n">
        <v>3.5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11.13</v>
      </c>
      <c r="W107" t="n">
        <v>233.63</v>
      </c>
      <c r="X107" t="n">
        <v>222.5</v>
      </c>
      <c r="Y107" t="n">
        <v>19</v>
      </c>
      <c r="Z107" t="n">
        <v>42.28</v>
      </c>
      <c r="AA107" t="n">
        <v>4.3</v>
      </c>
      <c r="AB107" t="n">
        <v>46.58</v>
      </c>
      <c r="AC107" t="n">
        <v>8.380000000000001</v>
      </c>
      <c r="AD107" t="n">
        <v>0</v>
      </c>
      <c r="AE107" t="n">
        <v>222.5</v>
      </c>
      <c r="AF107" t="n">
        <v>0</v>
      </c>
      <c r="AG107" t="n">
        <v>0</v>
      </c>
      <c r="AH107" t="n">
        <v>0.22</v>
      </c>
      <c r="AI107" t="n">
        <v>11.13</v>
      </c>
      <c r="AJ107" t="n">
        <v>0</v>
      </c>
      <c r="AK107" t="n">
        <v>19.73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66.31</v>
      </c>
      <c r="AV107" t="n">
        <v>0</v>
      </c>
      <c r="AW107" t="n">
        <v>167.32</v>
      </c>
      <c r="AX107" t="inlineStr">
        <is>
          <t>settled</t>
        </is>
      </c>
      <c r="AY107" t="inlineStr">
        <is>
          <t>2026-01-28 05:30:00</t>
        </is>
      </c>
      <c r="AZ107" t="inlineStr">
        <is>
          <t>CITIN26611504159</t>
        </is>
      </c>
      <c r="BA107" t="n">
        <v>0</v>
      </c>
      <c r="BB107" t="inlineStr">
        <is>
          <t>f1905529657c098b4ba4f743bf7c52fd1bbde61efd42bbadc1bc1827789c0c2b</t>
        </is>
      </c>
    </row>
    <row r="108">
      <c r="A108" t="inlineStr">
        <is>
          <t>103</t>
        </is>
      </c>
      <c r="B108" t="inlineStr">
        <is>
          <t>7706297742</t>
        </is>
      </c>
      <c r="C108" t="inlineStr">
        <is>
          <t>2026-01-21 04:58:13</t>
        </is>
      </c>
      <c r="D108" t="inlineStr">
        <is>
          <t>4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418</v>
      </c>
      <c r="P108" t="n">
        <v>3.5</v>
      </c>
      <c r="Q108" t="n">
        <v>0</v>
      </c>
      <c r="R108" t="n">
        <v>75</v>
      </c>
      <c r="S108" t="n">
        <v>0</v>
      </c>
      <c r="T108" t="n">
        <v>0</v>
      </c>
      <c r="U108" t="n">
        <v>0</v>
      </c>
      <c r="V108" t="n">
        <v>17.33</v>
      </c>
      <c r="W108" t="n">
        <v>363.83</v>
      </c>
      <c r="X108" t="n">
        <v>346.5</v>
      </c>
      <c r="Y108" t="n">
        <v>19</v>
      </c>
      <c r="Z108" t="n">
        <v>65.84</v>
      </c>
      <c r="AA108" t="n">
        <v>6.69</v>
      </c>
      <c r="AB108" t="n">
        <v>72.53</v>
      </c>
      <c r="AC108" t="n">
        <v>13.05</v>
      </c>
      <c r="AD108" t="n">
        <v>0</v>
      </c>
      <c r="AE108" t="n">
        <v>346.5</v>
      </c>
      <c r="AF108" t="n">
        <v>0</v>
      </c>
      <c r="AG108" t="n">
        <v>0</v>
      </c>
      <c r="AH108" t="n">
        <v>0.35</v>
      </c>
      <c r="AI108" t="n">
        <v>17.33</v>
      </c>
      <c r="AJ108" t="n">
        <v>0</v>
      </c>
      <c r="AK108" t="n">
        <v>30.73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103.26</v>
      </c>
      <c r="AV108" t="n">
        <v>0</v>
      </c>
      <c r="AW108" t="n">
        <v>260.57</v>
      </c>
      <c r="AX108" t="inlineStr">
        <is>
          <t>settled</t>
        </is>
      </c>
      <c r="AY108" t="inlineStr">
        <is>
          <t>2026-01-28 05:30:00</t>
        </is>
      </c>
      <c r="AZ108" t="inlineStr">
        <is>
          <t>CITIN26611504159</t>
        </is>
      </c>
      <c r="BA108" t="n">
        <v>0</v>
      </c>
      <c r="BB108" t="inlineStr">
        <is>
          <t>498058b3f2a15569e7c370f04a4121b8dd4617bf1c5c878d72d32eb62ad31267</t>
        </is>
      </c>
    </row>
    <row r="109">
      <c r="A109" t="inlineStr">
        <is>
          <t>104</t>
        </is>
      </c>
      <c r="B109" t="inlineStr">
        <is>
          <t>7711767576</t>
        </is>
      </c>
      <c r="C109" t="inlineStr">
        <is>
          <t>2026-01-21 04:58:52</t>
        </is>
      </c>
      <c r="D109" t="inlineStr">
        <is>
          <t>4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NA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258</v>
      </c>
      <c r="P109" t="n">
        <v>3.5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13.08</v>
      </c>
      <c r="W109" t="n">
        <v>274.58</v>
      </c>
      <c r="X109" t="n">
        <v>261.5</v>
      </c>
      <c r="Y109" t="n">
        <v>19</v>
      </c>
      <c r="Z109" t="n">
        <v>49.68</v>
      </c>
      <c r="AA109" t="n">
        <v>5.05</v>
      </c>
      <c r="AB109" t="n">
        <v>54.73</v>
      </c>
      <c r="AC109" t="n">
        <v>9.85</v>
      </c>
      <c r="AD109" t="n">
        <v>0</v>
      </c>
      <c r="AE109" t="n">
        <v>261.5</v>
      </c>
      <c r="AF109" t="n">
        <v>0</v>
      </c>
      <c r="AG109" t="n">
        <v>0</v>
      </c>
      <c r="AH109" t="n">
        <v>0.26</v>
      </c>
      <c r="AI109" t="n">
        <v>13.08</v>
      </c>
      <c r="AJ109" t="n">
        <v>0</v>
      </c>
      <c r="AK109" t="n">
        <v>23.19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77.92</v>
      </c>
      <c r="AV109" t="n">
        <v>0</v>
      </c>
      <c r="AW109" t="n">
        <v>196.66</v>
      </c>
      <c r="AX109" t="inlineStr">
        <is>
          <t>settled</t>
        </is>
      </c>
      <c r="AY109" t="inlineStr">
        <is>
          <t>2026-01-28 05:30:00</t>
        </is>
      </c>
      <c r="AZ109" t="inlineStr">
        <is>
          <t>CITIN26611504159</t>
        </is>
      </c>
      <c r="BA109" t="n">
        <v>0</v>
      </c>
      <c r="BB109" t="inlineStr">
        <is>
          <t>f1905529657c098b4ba4f743bf7c52fd1bbde61efd42bbadc1bc1827789c0c2b</t>
        </is>
      </c>
    </row>
    <row r="110">
      <c r="A110" t="inlineStr">
        <is>
          <t>105</t>
        </is>
      </c>
      <c r="B110" t="inlineStr">
        <is>
          <t>7711212133</t>
        </is>
      </c>
      <c r="C110" t="inlineStr">
        <is>
          <t>2026-01-21 09:37:43</t>
        </is>
      </c>
      <c r="D110" t="inlineStr">
        <is>
          <t>4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458</v>
      </c>
      <c r="P110" t="n">
        <v>3.5</v>
      </c>
      <c r="Q110" t="n">
        <v>0</v>
      </c>
      <c r="R110" t="n">
        <v>75</v>
      </c>
      <c r="S110" t="n">
        <v>0</v>
      </c>
      <c r="T110" t="n">
        <v>0</v>
      </c>
      <c r="U110" t="n">
        <v>0</v>
      </c>
      <c r="V110" t="n">
        <v>19.33</v>
      </c>
      <c r="W110" t="n">
        <v>405.83</v>
      </c>
      <c r="X110" t="n">
        <v>386.5</v>
      </c>
      <c r="Y110" t="n">
        <v>19</v>
      </c>
      <c r="Z110" t="n">
        <v>73.44</v>
      </c>
      <c r="AA110" t="n">
        <v>7.47</v>
      </c>
      <c r="AB110" t="n">
        <v>80.91</v>
      </c>
      <c r="AC110" t="n">
        <v>14.56</v>
      </c>
      <c r="AD110" t="n">
        <v>0</v>
      </c>
      <c r="AE110" t="n">
        <v>386.5</v>
      </c>
      <c r="AF110" t="n">
        <v>0</v>
      </c>
      <c r="AG110" t="n">
        <v>0</v>
      </c>
      <c r="AH110" t="n">
        <v>0.39</v>
      </c>
      <c r="AI110" t="n">
        <v>19.33</v>
      </c>
      <c r="AJ110" t="n">
        <v>0</v>
      </c>
      <c r="AK110" t="n">
        <v>34.28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115.19</v>
      </c>
      <c r="AV110" t="n">
        <v>0</v>
      </c>
      <c r="AW110" t="n">
        <v>290.64</v>
      </c>
      <c r="AX110" t="inlineStr">
        <is>
          <t>settled</t>
        </is>
      </c>
      <c r="AY110" t="inlineStr">
        <is>
          <t>2026-01-28 05:30:00</t>
        </is>
      </c>
      <c r="AZ110" t="inlineStr">
        <is>
          <t>CITIN26611504159</t>
        </is>
      </c>
      <c r="BA110" t="n">
        <v>0</v>
      </c>
      <c r="BB110" t="inlineStr">
        <is>
          <t>672089ad4912ddfda03fd1e1cefc87ed00fe0750459e9ed2af5626563af01335</t>
        </is>
      </c>
    </row>
    <row r="111">
      <c r="A111" t="inlineStr">
        <is>
          <t>106</t>
        </is>
      </c>
      <c r="B111" t="inlineStr">
        <is>
          <t>7710312985</t>
        </is>
      </c>
      <c r="C111" t="inlineStr">
        <is>
          <t>2026-01-21 12:14:22</t>
        </is>
      </c>
      <c r="D111" t="inlineStr">
        <is>
          <t>4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NA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355</v>
      </c>
      <c r="P111" t="n">
        <v>3.5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17.93</v>
      </c>
      <c r="W111" t="n">
        <v>376.43</v>
      </c>
      <c r="X111" t="n">
        <v>358.5</v>
      </c>
      <c r="Y111" t="n">
        <v>19</v>
      </c>
      <c r="Z111" t="n">
        <v>68.12</v>
      </c>
      <c r="AA111" t="n">
        <v>6.93</v>
      </c>
      <c r="AB111" t="n">
        <v>75.05</v>
      </c>
      <c r="AC111" t="n">
        <v>13.51</v>
      </c>
      <c r="AD111" t="n">
        <v>0</v>
      </c>
      <c r="AE111" t="n">
        <v>358.5</v>
      </c>
      <c r="AF111" t="n">
        <v>0</v>
      </c>
      <c r="AG111" t="n">
        <v>0</v>
      </c>
      <c r="AH111" t="n">
        <v>0.36</v>
      </c>
      <c r="AI111" t="n">
        <v>17.93</v>
      </c>
      <c r="AJ111" t="n">
        <v>0</v>
      </c>
      <c r="AK111" t="n">
        <v>31.8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106.85</v>
      </c>
      <c r="AV111" t="n">
        <v>0</v>
      </c>
      <c r="AW111" t="n">
        <v>269.58</v>
      </c>
      <c r="AX111" t="inlineStr">
        <is>
          <t>settled</t>
        </is>
      </c>
      <c r="AY111" t="inlineStr">
        <is>
          <t>2026-01-28 05:30:00</t>
        </is>
      </c>
      <c r="AZ111" t="inlineStr">
        <is>
          <t>CITIN26611504159</t>
        </is>
      </c>
      <c r="BA111" t="n">
        <v>0</v>
      </c>
      <c r="BB111" t="inlineStr">
        <is>
          <t>c4855ed50bdc871cff9d09ed8d70be1019f48b5ef41758546b59f7187f44f8d7</t>
        </is>
      </c>
    </row>
    <row r="112">
      <c r="A112" t="inlineStr">
        <is>
          <t>107</t>
        </is>
      </c>
      <c r="B112" t="inlineStr">
        <is>
          <t>7708743897</t>
        </is>
      </c>
      <c r="C112" t="inlineStr">
        <is>
          <t>2026-01-21 13:11:49</t>
        </is>
      </c>
      <c r="D112" t="inlineStr">
        <is>
          <t>4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229</v>
      </c>
      <c r="P112" t="n">
        <v>3.5</v>
      </c>
      <c r="Q112" t="n">
        <v>0</v>
      </c>
      <c r="R112" t="n">
        <v>68.7</v>
      </c>
      <c r="S112" t="n">
        <v>0</v>
      </c>
      <c r="T112" t="n">
        <v>0</v>
      </c>
      <c r="U112" t="n">
        <v>0</v>
      </c>
      <c r="V112" t="n">
        <v>8.19</v>
      </c>
      <c r="W112" t="n">
        <v>171.99</v>
      </c>
      <c r="X112" t="n">
        <v>163.8</v>
      </c>
      <c r="Y112" t="n">
        <v>19</v>
      </c>
      <c r="Z112" t="n">
        <v>31.12</v>
      </c>
      <c r="AA112" t="n">
        <v>3.16</v>
      </c>
      <c r="AB112" t="n">
        <v>34.28</v>
      </c>
      <c r="AC112" t="n">
        <v>6.17</v>
      </c>
      <c r="AD112" t="n">
        <v>0</v>
      </c>
      <c r="AE112" t="n">
        <v>163.8</v>
      </c>
      <c r="AF112" t="n">
        <v>0</v>
      </c>
      <c r="AG112" t="n">
        <v>0</v>
      </c>
      <c r="AH112" t="n">
        <v>0.16</v>
      </c>
      <c r="AI112" t="n">
        <v>8.199999999999999</v>
      </c>
      <c r="AJ112" t="n">
        <v>-0.01</v>
      </c>
      <c r="AK112" t="n">
        <v>14.53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48.81</v>
      </c>
      <c r="AV112" t="n">
        <v>0</v>
      </c>
      <c r="AW112" t="n">
        <v>123.18</v>
      </c>
      <c r="AX112" t="inlineStr">
        <is>
          <t>settled</t>
        </is>
      </c>
      <c r="AY112" t="inlineStr">
        <is>
          <t>2026-01-28 05:30:00</t>
        </is>
      </c>
      <c r="AZ112" t="inlineStr">
        <is>
          <t>CITIN26611504159</t>
        </is>
      </c>
      <c r="BA112" t="n">
        <v>0</v>
      </c>
      <c r="BB112" t="inlineStr">
        <is>
          <t>59f18132d1864e436253b28a98e10c9b07d004c997e9ae4a23628fa74e196565</t>
        </is>
      </c>
    </row>
    <row r="113">
      <c r="A113" t="inlineStr">
        <is>
          <t>108</t>
        </is>
      </c>
      <c r="B113" t="inlineStr">
        <is>
          <t>7711990023</t>
        </is>
      </c>
      <c r="C113" t="inlineStr">
        <is>
          <t>2026-01-21 13:31:56</t>
        </is>
      </c>
      <c r="D113" t="inlineStr">
        <is>
          <t>4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NA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219</v>
      </c>
      <c r="P113" t="n">
        <v>3.5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11.13</v>
      </c>
      <c r="W113" t="n">
        <v>233.63</v>
      </c>
      <c r="X113" t="n">
        <v>222.5</v>
      </c>
      <c r="Y113" t="n">
        <v>19</v>
      </c>
      <c r="Z113" t="n">
        <v>42.28</v>
      </c>
      <c r="AA113" t="n">
        <v>4.3</v>
      </c>
      <c r="AB113" t="n">
        <v>46.58</v>
      </c>
      <c r="AC113" t="n">
        <v>8.380000000000001</v>
      </c>
      <c r="AD113" t="n">
        <v>0</v>
      </c>
      <c r="AE113" t="n">
        <v>222.5</v>
      </c>
      <c r="AF113" t="n">
        <v>0</v>
      </c>
      <c r="AG113" t="n">
        <v>0</v>
      </c>
      <c r="AH113" t="n">
        <v>0.22</v>
      </c>
      <c r="AI113" t="n">
        <v>11.13</v>
      </c>
      <c r="AJ113" t="n">
        <v>0</v>
      </c>
      <c r="AK113" t="n">
        <v>19.73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66.31</v>
      </c>
      <c r="AV113" t="n">
        <v>0</v>
      </c>
      <c r="AW113" t="n">
        <v>167.32</v>
      </c>
      <c r="AX113" t="inlineStr">
        <is>
          <t>settled</t>
        </is>
      </c>
      <c r="AY113" t="inlineStr">
        <is>
          <t>2026-01-28 05:30:00</t>
        </is>
      </c>
      <c r="AZ113" t="inlineStr">
        <is>
          <t>CITIN26611504159</t>
        </is>
      </c>
      <c r="BA113" t="n">
        <v>0</v>
      </c>
      <c r="BB113" t="inlineStr">
        <is>
          <t>819cdd02f7a8d1ea1173fd10a444d3cccced6f22b9213799efc0db0ce68ea45c</t>
        </is>
      </c>
    </row>
    <row r="114">
      <c r="A114" t="inlineStr">
        <is>
          <t>109</t>
        </is>
      </c>
      <c r="B114" t="inlineStr">
        <is>
          <t>7712206167</t>
        </is>
      </c>
      <c r="C114" t="inlineStr">
        <is>
          <t>2026-01-21 14:05:29</t>
        </is>
      </c>
      <c r="D114" t="inlineStr">
        <is>
          <t>4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30% off upto ₹75 (2025-06-25 - 2031-01-01)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229</v>
      </c>
      <c r="P114" t="n">
        <v>3.5</v>
      </c>
      <c r="Q114" t="n">
        <v>0</v>
      </c>
      <c r="R114" t="n">
        <v>68.7</v>
      </c>
      <c r="S114" t="n">
        <v>0</v>
      </c>
      <c r="T114" t="n">
        <v>0</v>
      </c>
      <c r="U114" t="n">
        <v>0</v>
      </c>
      <c r="V114" t="n">
        <v>8.19</v>
      </c>
      <c r="W114" t="n">
        <v>171.99</v>
      </c>
      <c r="X114" t="n">
        <v>163.8</v>
      </c>
      <c r="Y114" t="n">
        <v>19</v>
      </c>
      <c r="Z114" t="n">
        <v>31.12</v>
      </c>
      <c r="AA114" t="n">
        <v>3.16</v>
      </c>
      <c r="AB114" t="n">
        <v>34.28</v>
      </c>
      <c r="AC114" t="n">
        <v>6.17</v>
      </c>
      <c r="AD114" t="n">
        <v>0</v>
      </c>
      <c r="AE114" t="n">
        <v>163.8</v>
      </c>
      <c r="AF114" t="n">
        <v>0</v>
      </c>
      <c r="AG114" t="n">
        <v>0</v>
      </c>
      <c r="AH114" t="n">
        <v>0.16</v>
      </c>
      <c r="AI114" t="n">
        <v>8.199999999999999</v>
      </c>
      <c r="AJ114" t="n">
        <v>-0.01</v>
      </c>
      <c r="AK114" t="n">
        <v>14.53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48.81</v>
      </c>
      <c r="AV114" t="n">
        <v>0</v>
      </c>
      <c r="AW114" t="n">
        <v>123.18</v>
      </c>
      <c r="AX114" t="inlineStr">
        <is>
          <t>settled</t>
        </is>
      </c>
      <c r="AY114" t="inlineStr">
        <is>
          <t>2026-01-28 05:30:00</t>
        </is>
      </c>
      <c r="AZ114" t="inlineStr">
        <is>
          <t>CITIN26611504159</t>
        </is>
      </c>
      <c r="BA114" t="n">
        <v>0</v>
      </c>
      <c r="BB114" t="inlineStr">
        <is>
          <t>7d10643de08ba7791d1e63486efe605d0601dc0599afb9adb2b11bfdf5407f27</t>
        </is>
      </c>
    </row>
    <row r="115">
      <c r="A115" t="inlineStr">
        <is>
          <t>110</t>
        </is>
      </c>
      <c r="B115" t="inlineStr">
        <is>
          <t>7711809715</t>
        </is>
      </c>
      <c r="C115" t="inlineStr">
        <is>
          <t>2026-01-21 14:50:19</t>
        </is>
      </c>
      <c r="D115" t="inlineStr">
        <is>
          <t>4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547</v>
      </c>
      <c r="P115" t="n">
        <v>3.5</v>
      </c>
      <c r="Q115" t="n">
        <v>0</v>
      </c>
      <c r="R115" t="n">
        <v>75</v>
      </c>
      <c r="S115" t="n">
        <v>0</v>
      </c>
      <c r="T115" t="n">
        <v>0</v>
      </c>
      <c r="U115" t="n">
        <v>0</v>
      </c>
      <c r="V115" t="n">
        <v>23.78</v>
      </c>
      <c r="W115" t="n">
        <v>499.28</v>
      </c>
      <c r="X115" t="n">
        <v>475.5</v>
      </c>
      <c r="Y115" t="n">
        <v>19</v>
      </c>
      <c r="Z115" t="n">
        <v>90.34</v>
      </c>
      <c r="AA115" t="n">
        <v>9.19</v>
      </c>
      <c r="AB115" t="n">
        <v>99.53</v>
      </c>
      <c r="AC115" t="n">
        <v>17.91</v>
      </c>
      <c r="AD115" t="n">
        <v>0</v>
      </c>
      <c r="AE115" t="n">
        <v>475.5</v>
      </c>
      <c r="AF115" t="n">
        <v>0</v>
      </c>
      <c r="AG115" t="n">
        <v>0</v>
      </c>
      <c r="AH115" t="n">
        <v>0.48</v>
      </c>
      <c r="AI115" t="n">
        <v>23.78</v>
      </c>
      <c r="AJ115" t="n">
        <v>0</v>
      </c>
      <c r="AK115" t="n">
        <v>42.17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141.7</v>
      </c>
      <c r="AV115" t="n">
        <v>0</v>
      </c>
      <c r="AW115" t="n">
        <v>357.58</v>
      </c>
      <c r="AX115" t="inlineStr">
        <is>
          <t>settled</t>
        </is>
      </c>
      <c r="AY115" t="inlineStr">
        <is>
          <t>2026-01-28 05:30:00</t>
        </is>
      </c>
      <c r="AZ115" t="inlineStr">
        <is>
          <t>CITIN26611504159</t>
        </is>
      </c>
      <c r="BA115" t="n">
        <v>0</v>
      </c>
      <c r="BB115" t="inlineStr">
        <is>
          <t>f3101efde15585fd3687753e8ec14f2cecea4a2852bd20d9225346d38a02086a</t>
        </is>
      </c>
    </row>
    <row r="116">
      <c r="A116" t="inlineStr">
        <is>
          <t>111</t>
        </is>
      </c>
      <c r="B116" t="inlineStr">
        <is>
          <t>7713786077</t>
        </is>
      </c>
      <c r="C116" t="inlineStr">
        <is>
          <t>2026-01-21 15:01:35</t>
        </is>
      </c>
      <c r="D116" t="inlineStr">
        <is>
          <t>4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227</v>
      </c>
      <c r="P116" t="n">
        <v>3.5</v>
      </c>
      <c r="Q116" t="n">
        <v>0</v>
      </c>
      <c r="R116" t="n">
        <v>68.09999999999999</v>
      </c>
      <c r="S116" t="n">
        <v>0</v>
      </c>
      <c r="T116" t="n">
        <v>0</v>
      </c>
      <c r="U116" t="n">
        <v>0</v>
      </c>
      <c r="V116" t="n">
        <v>8.119999999999999</v>
      </c>
      <c r="W116" t="n">
        <v>170.52</v>
      </c>
      <c r="X116" t="n">
        <v>162.4</v>
      </c>
      <c r="Y116" t="n">
        <v>19</v>
      </c>
      <c r="Z116" t="n">
        <v>30.86</v>
      </c>
      <c r="AA116" t="n">
        <v>3.14</v>
      </c>
      <c r="AB116" t="n">
        <v>34</v>
      </c>
      <c r="AC116" t="n">
        <v>6.12</v>
      </c>
      <c r="AD116" t="n">
        <v>0</v>
      </c>
      <c r="AE116" t="n">
        <v>162.4</v>
      </c>
      <c r="AF116" t="n">
        <v>0</v>
      </c>
      <c r="AG116" t="n">
        <v>0</v>
      </c>
      <c r="AH116" t="n">
        <v>0.16</v>
      </c>
      <c r="AI116" t="n">
        <v>8.130000000000001</v>
      </c>
      <c r="AJ116" t="n">
        <v>-0.01</v>
      </c>
      <c r="AK116" t="n">
        <v>14.41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48.41</v>
      </c>
      <c r="AV116" t="n">
        <v>0</v>
      </c>
      <c r="AW116" t="n">
        <v>122.11</v>
      </c>
      <c r="AX116" t="inlineStr">
        <is>
          <t>settled</t>
        </is>
      </c>
      <c r="AY116" t="inlineStr">
        <is>
          <t>2026-01-28 05:30:00</t>
        </is>
      </c>
      <c r="AZ116" t="inlineStr">
        <is>
          <t>CITIN26611504159</t>
        </is>
      </c>
      <c r="BA116" t="n">
        <v>0</v>
      </c>
      <c r="BB116" t="inlineStr">
        <is>
          <t>1719b4acbcc3243e0387e0aa73d5964456e1780696f9fb3823f39ae20e2de89d</t>
        </is>
      </c>
    </row>
    <row r="117">
      <c r="A117" t="inlineStr">
        <is>
          <t>112</t>
        </is>
      </c>
      <c r="B117" t="inlineStr">
        <is>
          <t>7713835732</t>
        </is>
      </c>
      <c r="C117" t="inlineStr">
        <is>
          <t>2026-01-21 15:12:40</t>
        </is>
      </c>
      <c r="D117" t="inlineStr">
        <is>
          <t>4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30% off upto ₹75 (2025-06-25 - 2031-01-01)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229</v>
      </c>
      <c r="P117" t="n">
        <v>3.5</v>
      </c>
      <c r="Q117" t="n">
        <v>0</v>
      </c>
      <c r="R117" t="n">
        <v>68.7</v>
      </c>
      <c r="S117" t="n">
        <v>0</v>
      </c>
      <c r="T117" t="n">
        <v>0</v>
      </c>
      <c r="U117" t="n">
        <v>0</v>
      </c>
      <c r="V117" t="n">
        <v>8.19</v>
      </c>
      <c r="W117" t="n">
        <v>171.99</v>
      </c>
      <c r="X117" t="n">
        <v>163.8</v>
      </c>
      <c r="Y117" t="n">
        <v>19</v>
      </c>
      <c r="Z117" t="n">
        <v>31.12</v>
      </c>
      <c r="AA117" t="n">
        <v>3.16</v>
      </c>
      <c r="AB117" t="n">
        <v>34.28</v>
      </c>
      <c r="AC117" t="n">
        <v>6.17</v>
      </c>
      <c r="AD117" t="n">
        <v>0</v>
      </c>
      <c r="AE117" t="n">
        <v>163.8</v>
      </c>
      <c r="AF117" t="n">
        <v>0</v>
      </c>
      <c r="AG117" t="n">
        <v>0</v>
      </c>
      <c r="AH117" t="n">
        <v>0.16</v>
      </c>
      <c r="AI117" t="n">
        <v>8.199999999999999</v>
      </c>
      <c r="AJ117" t="n">
        <v>-0.01</v>
      </c>
      <c r="AK117" t="n">
        <v>14.53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48.81</v>
      </c>
      <c r="AV117" t="n">
        <v>0</v>
      </c>
      <c r="AW117" t="n">
        <v>123.18</v>
      </c>
      <c r="AX117" t="inlineStr">
        <is>
          <t>settled</t>
        </is>
      </c>
      <c r="AY117" t="inlineStr">
        <is>
          <t>2026-01-28 05:30:00</t>
        </is>
      </c>
      <c r="AZ117" t="inlineStr">
        <is>
          <t>CITIN26611504159</t>
        </is>
      </c>
      <c r="BA117" t="n">
        <v>0</v>
      </c>
      <c r="BB117" t="inlineStr">
        <is>
          <t>1c7c2a6eb9ca4385e954ab92ad9586a35fb6cb107ca6f78c1e12fa7462d3d38c</t>
        </is>
      </c>
    </row>
    <row r="118">
      <c r="A118" t="inlineStr">
        <is>
          <t>113</t>
        </is>
      </c>
      <c r="B118" t="inlineStr">
        <is>
          <t>7714153975</t>
        </is>
      </c>
      <c r="C118" t="inlineStr">
        <is>
          <t>2026-01-21 15:31:15</t>
        </is>
      </c>
      <c r="D118" t="inlineStr">
        <is>
          <t>4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219</v>
      </c>
      <c r="P118" t="n">
        <v>3.5</v>
      </c>
      <c r="Q118" t="n">
        <v>0</v>
      </c>
      <c r="R118" t="n">
        <v>65.7</v>
      </c>
      <c r="S118" t="n">
        <v>0</v>
      </c>
      <c r="T118" t="n">
        <v>0</v>
      </c>
      <c r="U118" t="n">
        <v>0</v>
      </c>
      <c r="V118" t="n">
        <v>7.84</v>
      </c>
      <c r="W118" t="n">
        <v>164.64</v>
      </c>
      <c r="X118" t="n">
        <v>156.8</v>
      </c>
      <c r="Y118" t="n">
        <v>19</v>
      </c>
      <c r="Z118" t="n">
        <v>29.79</v>
      </c>
      <c r="AA118" t="n">
        <v>3.03</v>
      </c>
      <c r="AB118" t="n">
        <v>32.82</v>
      </c>
      <c r="AC118" t="n">
        <v>5.91</v>
      </c>
      <c r="AD118" t="n">
        <v>0</v>
      </c>
      <c r="AE118" t="n">
        <v>156.8</v>
      </c>
      <c r="AF118" t="n">
        <v>0</v>
      </c>
      <c r="AG118" t="n">
        <v>0</v>
      </c>
      <c r="AH118" t="n">
        <v>0.16</v>
      </c>
      <c r="AI118" t="n">
        <v>7.85</v>
      </c>
      <c r="AJ118" t="n">
        <v>-0.01</v>
      </c>
      <c r="AK118" t="n">
        <v>13.92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46.74</v>
      </c>
      <c r="AV118" t="n">
        <v>0</v>
      </c>
      <c r="AW118" t="n">
        <v>117.9</v>
      </c>
      <c r="AX118" t="inlineStr">
        <is>
          <t>settled</t>
        </is>
      </c>
      <c r="AY118" t="inlineStr">
        <is>
          <t>2026-01-28 05:30:00</t>
        </is>
      </c>
      <c r="AZ118" t="inlineStr">
        <is>
          <t>CITIN26611504159</t>
        </is>
      </c>
      <c r="BA118" t="n">
        <v>0</v>
      </c>
      <c r="BB118" t="inlineStr">
        <is>
          <t>7e9b56938187c294b6add006041b5d3080af6d84c0a4147e62f7a0ac46bf47c3</t>
        </is>
      </c>
    </row>
    <row r="119">
      <c r="A119" t="inlineStr">
        <is>
          <t>114</t>
        </is>
      </c>
      <c r="B119" t="inlineStr">
        <is>
          <t>7711858048</t>
        </is>
      </c>
      <c r="C119" t="inlineStr">
        <is>
          <t>2026-01-21 16:02:04</t>
        </is>
      </c>
      <c r="D119" t="inlineStr">
        <is>
          <t>4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229</v>
      </c>
      <c r="P119" t="n">
        <v>3.5</v>
      </c>
      <c r="Q119" t="n">
        <v>0</v>
      </c>
      <c r="R119" t="n">
        <v>68.7</v>
      </c>
      <c r="S119" t="n">
        <v>0</v>
      </c>
      <c r="T119" t="n">
        <v>0</v>
      </c>
      <c r="U119" t="n">
        <v>0</v>
      </c>
      <c r="V119" t="n">
        <v>8.19</v>
      </c>
      <c r="W119" t="n">
        <v>171.99</v>
      </c>
      <c r="X119" t="n">
        <v>163.8</v>
      </c>
      <c r="Y119" t="n">
        <v>19</v>
      </c>
      <c r="Z119" t="n">
        <v>31.12</v>
      </c>
      <c r="AA119" t="n">
        <v>3.16</v>
      </c>
      <c r="AB119" t="n">
        <v>34.28</v>
      </c>
      <c r="AC119" t="n">
        <v>6.17</v>
      </c>
      <c r="AD119" t="n">
        <v>0</v>
      </c>
      <c r="AE119" t="n">
        <v>163.8</v>
      </c>
      <c r="AF119" t="n">
        <v>0</v>
      </c>
      <c r="AG119" t="n">
        <v>0</v>
      </c>
      <c r="AH119" t="n">
        <v>0.16</v>
      </c>
      <c r="AI119" t="n">
        <v>8.199999999999999</v>
      </c>
      <c r="AJ119" t="n">
        <v>-0.01</v>
      </c>
      <c r="AK119" t="n">
        <v>14.53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48.81</v>
      </c>
      <c r="AV119" t="n">
        <v>0</v>
      </c>
      <c r="AW119" t="n">
        <v>123.18</v>
      </c>
      <c r="AX119" t="inlineStr">
        <is>
          <t>settled</t>
        </is>
      </c>
      <c r="AY119" t="inlineStr">
        <is>
          <t>2026-01-28 05:30:00</t>
        </is>
      </c>
      <c r="AZ119" t="inlineStr">
        <is>
          <t>CITIN26611504159</t>
        </is>
      </c>
      <c r="BA119" t="n">
        <v>0</v>
      </c>
      <c r="BB119" t="inlineStr">
        <is>
          <t>035d82acc9ca59697fdb36b3ca8da7aa998b23e17fb2b1c1e220fac3bab78ad4</t>
        </is>
      </c>
    </row>
    <row r="120">
      <c r="A120" t="inlineStr">
        <is>
          <t>115</t>
        </is>
      </c>
      <c r="B120" t="inlineStr">
        <is>
          <t>7712094881</t>
        </is>
      </c>
      <c r="C120" t="inlineStr">
        <is>
          <t>2026-01-21 16:42:36</t>
        </is>
      </c>
      <c r="D120" t="inlineStr">
        <is>
          <t>4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30% off upto ₹75 (2025-06-25 - 2031-01-01)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229</v>
      </c>
      <c r="P120" t="n">
        <v>3.5</v>
      </c>
      <c r="Q120" t="n">
        <v>0</v>
      </c>
      <c r="R120" t="n">
        <v>68.7</v>
      </c>
      <c r="S120" t="n">
        <v>0</v>
      </c>
      <c r="T120" t="n">
        <v>0</v>
      </c>
      <c r="U120" t="n">
        <v>0</v>
      </c>
      <c r="V120" t="n">
        <v>8.19</v>
      </c>
      <c r="W120" t="n">
        <v>171.99</v>
      </c>
      <c r="X120" t="n">
        <v>163.8</v>
      </c>
      <c r="Y120" t="n">
        <v>19</v>
      </c>
      <c r="Z120" t="n">
        <v>31.12</v>
      </c>
      <c r="AA120" t="n">
        <v>3.16</v>
      </c>
      <c r="AB120" t="n">
        <v>34.28</v>
      </c>
      <c r="AC120" t="n">
        <v>6.17</v>
      </c>
      <c r="AD120" t="n">
        <v>0</v>
      </c>
      <c r="AE120" t="n">
        <v>163.8</v>
      </c>
      <c r="AF120" t="n">
        <v>0</v>
      </c>
      <c r="AG120" t="n">
        <v>0</v>
      </c>
      <c r="AH120" t="n">
        <v>0.16</v>
      </c>
      <c r="AI120" t="n">
        <v>8.199999999999999</v>
      </c>
      <c r="AJ120" t="n">
        <v>-0.01</v>
      </c>
      <c r="AK120" t="n">
        <v>14.53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48.81</v>
      </c>
      <c r="AV120" t="n">
        <v>0</v>
      </c>
      <c r="AW120" t="n">
        <v>123.18</v>
      </c>
      <c r="AX120" t="inlineStr">
        <is>
          <t>settled</t>
        </is>
      </c>
      <c r="AY120" t="inlineStr">
        <is>
          <t>2026-01-28 05:30:00</t>
        </is>
      </c>
      <c r="AZ120" t="inlineStr">
        <is>
          <t>CITIN26611504159</t>
        </is>
      </c>
      <c r="BA120" t="n">
        <v>0</v>
      </c>
      <c r="BB120" t="inlineStr">
        <is>
          <t>5aa6d797b19c91f21e27cb63882476ed8cdc122c4754a8ab21da931c0c490cc4</t>
        </is>
      </c>
    </row>
    <row r="121">
      <c r="A121" t="inlineStr">
        <is>
          <t>116</t>
        </is>
      </c>
      <c r="B121" t="inlineStr">
        <is>
          <t>7714283747</t>
        </is>
      </c>
      <c r="C121" t="inlineStr">
        <is>
          <t>2026-01-21 16:43:40</t>
        </is>
      </c>
      <c r="D121" t="inlineStr">
        <is>
          <t>4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30% off upto ₹75 (2025-06-25 - 2031-01-01)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219</v>
      </c>
      <c r="P121" t="n">
        <v>3.5</v>
      </c>
      <c r="Q121" t="n">
        <v>0</v>
      </c>
      <c r="R121" t="n">
        <v>65.7</v>
      </c>
      <c r="S121" t="n">
        <v>0</v>
      </c>
      <c r="T121" t="n">
        <v>0</v>
      </c>
      <c r="U121" t="n">
        <v>0</v>
      </c>
      <c r="V121" t="n">
        <v>7.84</v>
      </c>
      <c r="W121" t="n">
        <v>164.64</v>
      </c>
      <c r="X121" t="n">
        <v>156.8</v>
      </c>
      <c r="Y121" t="n">
        <v>19</v>
      </c>
      <c r="Z121" t="n">
        <v>29.79</v>
      </c>
      <c r="AA121" t="n">
        <v>3.03</v>
      </c>
      <c r="AB121" t="n">
        <v>32.82</v>
      </c>
      <c r="AC121" t="n">
        <v>5.91</v>
      </c>
      <c r="AD121" t="n">
        <v>0</v>
      </c>
      <c r="AE121" t="n">
        <v>156.8</v>
      </c>
      <c r="AF121" t="n">
        <v>0</v>
      </c>
      <c r="AG121" t="n">
        <v>0</v>
      </c>
      <c r="AH121" t="n">
        <v>0.16</v>
      </c>
      <c r="AI121" t="n">
        <v>7.85</v>
      </c>
      <c r="AJ121" t="n">
        <v>-0.01</v>
      </c>
      <c r="AK121" t="n">
        <v>13.92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46.74</v>
      </c>
      <c r="AV121" t="n">
        <v>0</v>
      </c>
      <c r="AW121" t="n">
        <v>117.9</v>
      </c>
      <c r="AX121" t="inlineStr">
        <is>
          <t>settled</t>
        </is>
      </c>
      <c r="AY121" t="inlineStr">
        <is>
          <t>2026-01-28 05:30:00</t>
        </is>
      </c>
      <c r="AZ121" t="inlineStr">
        <is>
          <t>CITIN26611504159</t>
        </is>
      </c>
      <c r="BA121" t="n">
        <v>0</v>
      </c>
      <c r="BB121" t="inlineStr">
        <is>
          <t>1dacaba0c0bdc5ddb326191608b2c44972bd593dbfa1b8cfd8a2ff835df2ae88</t>
        </is>
      </c>
    </row>
    <row r="122">
      <c r="A122" t="inlineStr">
        <is>
          <t>117</t>
        </is>
      </c>
      <c r="B122" t="inlineStr">
        <is>
          <t>7713661451</t>
        </is>
      </c>
      <c r="C122" t="inlineStr">
        <is>
          <t>2026-01-21 16:51:22</t>
        </is>
      </c>
      <c r="D122" t="inlineStr">
        <is>
          <t>4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30% off upto ₹75 (2025-06-25 - 2031-01-01)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229</v>
      </c>
      <c r="P122" t="n">
        <v>3.5</v>
      </c>
      <c r="Q122" t="n">
        <v>0</v>
      </c>
      <c r="R122" t="n">
        <v>68.7</v>
      </c>
      <c r="S122" t="n">
        <v>0</v>
      </c>
      <c r="T122" t="n">
        <v>0</v>
      </c>
      <c r="U122" t="n">
        <v>0</v>
      </c>
      <c r="V122" t="n">
        <v>8.19</v>
      </c>
      <c r="W122" t="n">
        <v>171.99</v>
      </c>
      <c r="X122" t="n">
        <v>163.8</v>
      </c>
      <c r="Y122" t="n">
        <v>19</v>
      </c>
      <c r="Z122" t="n">
        <v>31.12</v>
      </c>
      <c r="AA122" t="n">
        <v>3.16</v>
      </c>
      <c r="AB122" t="n">
        <v>34.28</v>
      </c>
      <c r="AC122" t="n">
        <v>6.17</v>
      </c>
      <c r="AD122" t="n">
        <v>0</v>
      </c>
      <c r="AE122" t="n">
        <v>163.8</v>
      </c>
      <c r="AF122" t="n">
        <v>0</v>
      </c>
      <c r="AG122" t="n">
        <v>0</v>
      </c>
      <c r="AH122" t="n">
        <v>0.16</v>
      </c>
      <c r="AI122" t="n">
        <v>8.199999999999999</v>
      </c>
      <c r="AJ122" t="n">
        <v>-0.01</v>
      </c>
      <c r="AK122" t="n">
        <v>14.53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48.81</v>
      </c>
      <c r="AV122" t="n">
        <v>0</v>
      </c>
      <c r="AW122" t="n">
        <v>123.18</v>
      </c>
      <c r="AX122" t="inlineStr">
        <is>
          <t>settled</t>
        </is>
      </c>
      <c r="AY122" t="inlineStr">
        <is>
          <t>2026-01-28 05:30:00</t>
        </is>
      </c>
      <c r="AZ122" t="inlineStr">
        <is>
          <t>CITIN26611504159</t>
        </is>
      </c>
      <c r="BA122" t="n">
        <v>0</v>
      </c>
      <c r="BB122" t="inlineStr">
        <is>
          <t>1443614189f916618bc5c88e31e398f99bbad346e21bb6c544ef8ae1e3662b62</t>
        </is>
      </c>
    </row>
    <row r="123">
      <c r="A123" t="inlineStr">
        <is>
          <t>118</t>
        </is>
      </c>
      <c r="B123" t="inlineStr">
        <is>
          <t>7707979927</t>
        </is>
      </c>
      <c r="C123" t="inlineStr">
        <is>
          <t>2026-01-21 17:18:26</t>
        </is>
      </c>
      <c r="D123" t="inlineStr">
        <is>
          <t>4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30% off upto ₹75 (2025-06-25 - 2031-01-01)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229</v>
      </c>
      <c r="P123" t="n">
        <v>3.5</v>
      </c>
      <c r="Q123" t="n">
        <v>0</v>
      </c>
      <c r="R123" t="n">
        <v>68.7</v>
      </c>
      <c r="S123" t="n">
        <v>0</v>
      </c>
      <c r="T123" t="n">
        <v>0</v>
      </c>
      <c r="U123" t="n">
        <v>0</v>
      </c>
      <c r="V123" t="n">
        <v>8.19</v>
      </c>
      <c r="W123" t="n">
        <v>171.99</v>
      </c>
      <c r="X123" t="n">
        <v>163.8</v>
      </c>
      <c r="Y123" t="n">
        <v>19</v>
      </c>
      <c r="Z123" t="n">
        <v>31.12</v>
      </c>
      <c r="AA123" t="n">
        <v>3.16</v>
      </c>
      <c r="AB123" t="n">
        <v>34.28</v>
      </c>
      <c r="AC123" t="n">
        <v>6.17</v>
      </c>
      <c r="AD123" t="n">
        <v>0</v>
      </c>
      <c r="AE123" t="n">
        <v>163.8</v>
      </c>
      <c r="AF123" t="n">
        <v>0</v>
      </c>
      <c r="AG123" t="n">
        <v>0</v>
      </c>
      <c r="AH123" t="n">
        <v>0.16</v>
      </c>
      <c r="AI123" t="n">
        <v>8.199999999999999</v>
      </c>
      <c r="AJ123" t="n">
        <v>-0.01</v>
      </c>
      <c r="AK123" t="n">
        <v>14.53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48.81</v>
      </c>
      <c r="AV123" t="n">
        <v>0</v>
      </c>
      <c r="AW123" t="n">
        <v>123.18</v>
      </c>
      <c r="AX123" t="inlineStr">
        <is>
          <t>settled</t>
        </is>
      </c>
      <c r="AY123" t="inlineStr">
        <is>
          <t>2026-01-28 05:30:00</t>
        </is>
      </c>
      <c r="AZ123" t="inlineStr">
        <is>
          <t>CITIN26611504159</t>
        </is>
      </c>
      <c r="BA123" t="n">
        <v>0</v>
      </c>
      <c r="BB123" t="inlineStr">
        <is>
          <t>93502df1d5955ac2a6a48250653cf30217150ceed7e588ff0d09e7e15d8dc2aa</t>
        </is>
      </c>
    </row>
    <row r="124">
      <c r="A124" t="inlineStr">
        <is>
          <t>119</t>
        </is>
      </c>
      <c r="B124" t="inlineStr">
        <is>
          <t>7710537799</t>
        </is>
      </c>
      <c r="C124" t="inlineStr">
        <is>
          <t>2026-01-21 17:52:37</t>
        </is>
      </c>
      <c r="D124" t="inlineStr">
        <is>
          <t>4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219</v>
      </c>
      <c r="P124" t="n">
        <v>3.5</v>
      </c>
      <c r="Q124" t="n">
        <v>0</v>
      </c>
      <c r="R124" t="n">
        <v>65.7</v>
      </c>
      <c r="S124" t="n">
        <v>0</v>
      </c>
      <c r="T124" t="n">
        <v>0</v>
      </c>
      <c r="U124" t="n">
        <v>0</v>
      </c>
      <c r="V124" t="n">
        <v>7.84</v>
      </c>
      <c r="W124" t="n">
        <v>164.64</v>
      </c>
      <c r="X124" t="n">
        <v>156.8</v>
      </c>
      <c r="Y124" t="n">
        <v>19</v>
      </c>
      <c r="Z124" t="n">
        <v>29.79</v>
      </c>
      <c r="AA124" t="n">
        <v>3.03</v>
      </c>
      <c r="AB124" t="n">
        <v>32.82</v>
      </c>
      <c r="AC124" t="n">
        <v>5.91</v>
      </c>
      <c r="AD124" t="n">
        <v>0</v>
      </c>
      <c r="AE124" t="n">
        <v>156.8</v>
      </c>
      <c r="AF124" t="n">
        <v>0</v>
      </c>
      <c r="AG124" t="n">
        <v>0</v>
      </c>
      <c r="AH124" t="n">
        <v>0.16</v>
      </c>
      <c r="AI124" t="n">
        <v>7.85</v>
      </c>
      <c r="AJ124" t="n">
        <v>-0.01</v>
      </c>
      <c r="AK124" t="n">
        <v>13.92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46.74</v>
      </c>
      <c r="AV124" t="n">
        <v>0</v>
      </c>
      <c r="AW124" t="n">
        <v>117.9</v>
      </c>
      <c r="AX124" t="inlineStr">
        <is>
          <t>settled</t>
        </is>
      </c>
      <c r="AY124" t="inlineStr">
        <is>
          <t>2026-01-28 05:30:00</t>
        </is>
      </c>
      <c r="AZ124" t="inlineStr">
        <is>
          <t>CITIN26611504159</t>
        </is>
      </c>
      <c r="BA124" t="n">
        <v>0</v>
      </c>
      <c r="BB124" t="inlineStr">
        <is>
          <t>a1cd25d8a2d37bcbe5b9d2e4ea412378f067854c6e36307e79696e3634ad49af</t>
        </is>
      </c>
    </row>
    <row r="125">
      <c r="A125" t="inlineStr">
        <is>
          <t>120</t>
        </is>
      </c>
      <c r="B125" t="inlineStr">
        <is>
          <t>7713541699</t>
        </is>
      </c>
      <c r="C125" t="inlineStr">
        <is>
          <t>2026-01-21 18:17:32</t>
        </is>
      </c>
      <c r="D125" t="inlineStr">
        <is>
          <t>4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settled</t>
        </is>
      </c>
      <c r="AY125" t="inlineStr">
        <is>
          <t>2026-01-28 05:30:00</t>
        </is>
      </c>
      <c r="AZ125" t="inlineStr">
        <is>
          <t>CITIN26611504159</t>
        </is>
      </c>
      <c r="BA125" t="n">
        <v>0</v>
      </c>
      <c r="BB125" t="inlineStr">
        <is>
          <t>b68f1540a41cdd0eaa592b85517d5ced6a115aac0ec99719352a60b8cbc42e35</t>
        </is>
      </c>
    </row>
    <row r="126">
      <c r="A126" t="inlineStr">
        <is>
          <t>121</t>
        </is>
      </c>
      <c r="B126" t="inlineStr">
        <is>
          <t>7710948227</t>
        </is>
      </c>
      <c r="C126" t="inlineStr">
        <is>
          <t>2026-01-21 18:55:22</t>
        </is>
      </c>
      <c r="D126" t="inlineStr">
        <is>
          <t>4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229</v>
      </c>
      <c r="P126" t="n">
        <v>3.5</v>
      </c>
      <c r="Q126" t="n">
        <v>0</v>
      </c>
      <c r="R126" t="n">
        <v>68.7</v>
      </c>
      <c r="S126" t="n">
        <v>0</v>
      </c>
      <c r="T126" t="n">
        <v>0</v>
      </c>
      <c r="U126" t="n">
        <v>0</v>
      </c>
      <c r="V126" t="n">
        <v>8.19</v>
      </c>
      <c r="W126" t="n">
        <v>171.99</v>
      </c>
      <c r="X126" t="n">
        <v>163.8</v>
      </c>
      <c r="Y126" t="n">
        <v>19</v>
      </c>
      <c r="Z126" t="n">
        <v>31.12</v>
      </c>
      <c r="AA126" t="n">
        <v>3.16</v>
      </c>
      <c r="AB126" t="n">
        <v>34.28</v>
      </c>
      <c r="AC126" t="n">
        <v>6.17</v>
      </c>
      <c r="AD126" t="n">
        <v>0</v>
      </c>
      <c r="AE126" t="n">
        <v>163.8</v>
      </c>
      <c r="AF126" t="n">
        <v>0</v>
      </c>
      <c r="AG126" t="n">
        <v>0</v>
      </c>
      <c r="AH126" t="n">
        <v>0.16</v>
      </c>
      <c r="AI126" t="n">
        <v>8.199999999999999</v>
      </c>
      <c r="AJ126" t="n">
        <v>-0.01</v>
      </c>
      <c r="AK126" t="n">
        <v>14.53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48.81</v>
      </c>
      <c r="AV126" t="n">
        <v>0</v>
      </c>
      <c r="AW126" t="n">
        <v>123.18</v>
      </c>
      <c r="AX126" t="inlineStr">
        <is>
          <t>settled</t>
        </is>
      </c>
      <c r="AY126" t="inlineStr">
        <is>
          <t>2026-01-28 05:30:00</t>
        </is>
      </c>
      <c r="AZ126" t="inlineStr">
        <is>
          <t>CITIN26611504159</t>
        </is>
      </c>
      <c r="BA126" t="n">
        <v>0</v>
      </c>
      <c r="BB126" t="inlineStr">
        <is>
          <t>43be763d7df2f2ca94ceb33cd32154d64025d7d14170f605df7877552a5aef2c</t>
        </is>
      </c>
    </row>
    <row r="127">
      <c r="A127" t="inlineStr">
        <is>
          <t>122</t>
        </is>
      </c>
      <c r="B127" t="inlineStr">
        <is>
          <t>7703570646</t>
        </is>
      </c>
      <c r="C127" t="inlineStr">
        <is>
          <t>2026-01-21 19:00:35</t>
        </is>
      </c>
      <c r="D127" t="inlineStr">
        <is>
          <t>4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30% off upto ₹75 (2025-06-25 - 2031-01-01)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229</v>
      </c>
      <c r="P127" t="n">
        <v>3.5</v>
      </c>
      <c r="Q127" t="n">
        <v>0</v>
      </c>
      <c r="R127" t="n">
        <v>68.7</v>
      </c>
      <c r="S127" t="n">
        <v>0</v>
      </c>
      <c r="T127" t="n">
        <v>0</v>
      </c>
      <c r="U127" t="n">
        <v>0</v>
      </c>
      <c r="V127" t="n">
        <v>8.19</v>
      </c>
      <c r="W127" t="n">
        <v>171.99</v>
      </c>
      <c r="X127" t="n">
        <v>163.8</v>
      </c>
      <c r="Y127" t="n">
        <v>19</v>
      </c>
      <c r="Z127" t="n">
        <v>31.12</v>
      </c>
      <c r="AA127" t="n">
        <v>3.16</v>
      </c>
      <c r="AB127" t="n">
        <v>34.28</v>
      </c>
      <c r="AC127" t="n">
        <v>6.17</v>
      </c>
      <c r="AD127" t="n">
        <v>0</v>
      </c>
      <c r="AE127" t="n">
        <v>163.8</v>
      </c>
      <c r="AF127" t="n">
        <v>0</v>
      </c>
      <c r="AG127" t="n">
        <v>0</v>
      </c>
      <c r="AH127" t="n">
        <v>0.16</v>
      </c>
      <c r="AI127" t="n">
        <v>8.199999999999999</v>
      </c>
      <c r="AJ127" t="n">
        <v>-0.01</v>
      </c>
      <c r="AK127" t="n">
        <v>14.53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48.81</v>
      </c>
      <c r="AV127" t="n">
        <v>0</v>
      </c>
      <c r="AW127" t="n">
        <v>123.18</v>
      </c>
      <c r="AX127" t="inlineStr">
        <is>
          <t>settled</t>
        </is>
      </c>
      <c r="AY127" t="inlineStr">
        <is>
          <t>2026-01-28 05:30:00</t>
        </is>
      </c>
      <c r="AZ127" t="inlineStr">
        <is>
          <t>CITIN26611504159</t>
        </is>
      </c>
      <c r="BA127" t="n">
        <v>0</v>
      </c>
      <c r="BB127" t="inlineStr">
        <is>
          <t>61eff6bf2a29d51c3d4078e7c62fbab76a6e1f312952909371629f21567d939b</t>
        </is>
      </c>
    </row>
    <row r="128">
      <c r="A128" t="inlineStr">
        <is>
          <t>123</t>
        </is>
      </c>
      <c r="B128" t="inlineStr">
        <is>
          <t>7713016873</t>
        </is>
      </c>
      <c r="C128" t="inlineStr">
        <is>
          <t>2026-01-21 19:29:39</t>
        </is>
      </c>
      <c r="D128" t="inlineStr">
        <is>
          <t>4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30% off upto ₹75 (2025-06-25 - 2031-01-01)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229</v>
      </c>
      <c r="P128" t="n">
        <v>3.5</v>
      </c>
      <c r="Q128" t="n">
        <v>0</v>
      </c>
      <c r="R128" t="n">
        <v>68.7</v>
      </c>
      <c r="S128" t="n">
        <v>0</v>
      </c>
      <c r="T128" t="n">
        <v>0</v>
      </c>
      <c r="U128" t="n">
        <v>0</v>
      </c>
      <c r="V128" t="n">
        <v>8.19</v>
      </c>
      <c r="W128" t="n">
        <v>171.99</v>
      </c>
      <c r="X128" t="n">
        <v>163.8</v>
      </c>
      <c r="Y128" t="n">
        <v>19</v>
      </c>
      <c r="Z128" t="n">
        <v>31.12</v>
      </c>
      <c r="AA128" t="n">
        <v>3.16</v>
      </c>
      <c r="AB128" t="n">
        <v>34.28</v>
      </c>
      <c r="AC128" t="n">
        <v>6.17</v>
      </c>
      <c r="AD128" t="n">
        <v>0</v>
      </c>
      <c r="AE128" t="n">
        <v>163.8</v>
      </c>
      <c r="AF128" t="n">
        <v>0</v>
      </c>
      <c r="AG128" t="n">
        <v>0</v>
      </c>
      <c r="AH128" t="n">
        <v>0.16</v>
      </c>
      <c r="AI128" t="n">
        <v>8.199999999999999</v>
      </c>
      <c r="AJ128" t="n">
        <v>-0.01</v>
      </c>
      <c r="AK128" t="n">
        <v>14.53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48.81</v>
      </c>
      <c r="AV128" t="n">
        <v>0</v>
      </c>
      <c r="AW128" t="n">
        <v>123.18</v>
      </c>
      <c r="AX128" t="inlineStr">
        <is>
          <t>settled</t>
        </is>
      </c>
      <c r="AY128" t="inlineStr">
        <is>
          <t>2026-01-28 05:30:00</t>
        </is>
      </c>
      <c r="AZ128" t="inlineStr">
        <is>
          <t>CITIN26611504159</t>
        </is>
      </c>
      <c r="BA128" t="n">
        <v>0</v>
      </c>
      <c r="BB128" t="inlineStr">
        <is>
          <t>bef03bbe09d025cb3350864c4d6d6b07baaaaabf8c7ac4b0abdbdc186d160592</t>
        </is>
      </c>
    </row>
    <row r="129">
      <c r="A129" t="inlineStr">
        <is>
          <t>124</t>
        </is>
      </c>
      <c r="B129" t="inlineStr">
        <is>
          <t>7709441658</t>
        </is>
      </c>
      <c r="C129" t="inlineStr">
        <is>
          <t>2026-01-21 20:06:06</t>
        </is>
      </c>
      <c r="D129" t="inlineStr">
        <is>
          <t>4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219</v>
      </c>
      <c r="P129" t="n">
        <v>3.5</v>
      </c>
      <c r="Q129" t="n">
        <v>0</v>
      </c>
      <c r="R129" t="n">
        <v>65.7</v>
      </c>
      <c r="S129" t="n">
        <v>0</v>
      </c>
      <c r="T129" t="n">
        <v>0</v>
      </c>
      <c r="U129" t="n">
        <v>0</v>
      </c>
      <c r="V129" t="n">
        <v>7.84</v>
      </c>
      <c r="W129" t="n">
        <v>164.64</v>
      </c>
      <c r="X129" t="n">
        <v>156.8</v>
      </c>
      <c r="Y129" t="n">
        <v>19</v>
      </c>
      <c r="Z129" t="n">
        <v>29.79</v>
      </c>
      <c r="AA129" t="n">
        <v>3.03</v>
      </c>
      <c r="AB129" t="n">
        <v>32.82</v>
      </c>
      <c r="AC129" t="n">
        <v>5.91</v>
      </c>
      <c r="AD129" t="n">
        <v>0</v>
      </c>
      <c r="AE129" t="n">
        <v>156.8</v>
      </c>
      <c r="AF129" t="n">
        <v>0</v>
      </c>
      <c r="AG129" t="n">
        <v>0</v>
      </c>
      <c r="AH129" t="n">
        <v>0.16</v>
      </c>
      <c r="AI129" t="n">
        <v>7.85</v>
      </c>
      <c r="AJ129" t="n">
        <v>-0.01</v>
      </c>
      <c r="AK129" t="n">
        <v>13.92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46.74</v>
      </c>
      <c r="AV129" t="n">
        <v>0</v>
      </c>
      <c r="AW129" t="n">
        <v>117.9</v>
      </c>
      <c r="AX129" t="inlineStr">
        <is>
          <t>settled</t>
        </is>
      </c>
      <c r="AY129" t="inlineStr">
        <is>
          <t>2026-01-28 05:30:00</t>
        </is>
      </c>
      <c r="AZ129" t="inlineStr">
        <is>
          <t>CITIN26611504159</t>
        </is>
      </c>
      <c r="BA129" t="n">
        <v>0</v>
      </c>
      <c r="BB129" t="inlineStr">
        <is>
          <t>a7246e46403dd8839a6788a0fb4e9d6c4894925eb22628f7ff77a394aaa262ee</t>
        </is>
      </c>
    </row>
    <row r="130">
      <c r="A130" t="inlineStr">
        <is>
          <t>125</t>
        </is>
      </c>
      <c r="B130" t="inlineStr">
        <is>
          <t>7711991605</t>
        </is>
      </c>
      <c r="C130" t="inlineStr">
        <is>
          <t>2026-01-21 21:00:12</t>
        </is>
      </c>
      <c r="D130" t="inlineStr">
        <is>
          <t>4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NA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229</v>
      </c>
      <c r="P130" t="n">
        <v>3.5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11.63</v>
      </c>
      <c r="W130" t="n">
        <v>244.13</v>
      </c>
      <c r="X130" t="n">
        <v>232.5</v>
      </c>
      <c r="Y130" t="n">
        <v>19</v>
      </c>
      <c r="Z130" t="n">
        <v>44.18</v>
      </c>
      <c r="AA130" t="n">
        <v>4.49</v>
      </c>
      <c r="AB130" t="n">
        <v>48.67</v>
      </c>
      <c r="AC130" t="n">
        <v>8.76</v>
      </c>
      <c r="AD130" t="n">
        <v>0</v>
      </c>
      <c r="AE130" t="n">
        <v>232.5</v>
      </c>
      <c r="AF130" t="n">
        <v>0</v>
      </c>
      <c r="AG130" t="n">
        <v>0</v>
      </c>
      <c r="AH130" t="n">
        <v>0.23</v>
      </c>
      <c r="AI130" t="n">
        <v>11.63</v>
      </c>
      <c r="AJ130" t="n">
        <v>0</v>
      </c>
      <c r="AK130" t="n">
        <v>20.62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69.29000000000001</v>
      </c>
      <c r="AV130" t="n">
        <v>0</v>
      </c>
      <c r="AW130" t="n">
        <v>174.84</v>
      </c>
      <c r="AX130" t="inlineStr">
        <is>
          <t>settled</t>
        </is>
      </c>
      <c r="AY130" t="inlineStr">
        <is>
          <t>2026-01-28 05:30:00</t>
        </is>
      </c>
      <c r="AZ130" t="inlineStr">
        <is>
          <t>CITIN26611504159</t>
        </is>
      </c>
      <c r="BA130" t="n">
        <v>0</v>
      </c>
      <c r="BB130" t="inlineStr">
        <is>
          <t>019510b195e5619c98690c0fba51eb86eb62737b2dd98ae26275f8cf2db7f669</t>
        </is>
      </c>
    </row>
    <row r="131">
      <c r="A131" t="inlineStr">
        <is>
          <t>126</t>
        </is>
      </c>
      <c r="B131" t="inlineStr">
        <is>
          <t>7700684735</t>
        </is>
      </c>
      <c r="C131" t="inlineStr">
        <is>
          <t>2026-01-21 21:29:41</t>
        </is>
      </c>
      <c r="D131" t="inlineStr">
        <is>
          <t>4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30% off upto ₹75 (2025-06-25 - 2031-01-01)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458</v>
      </c>
      <c r="P131" t="n">
        <v>3.5</v>
      </c>
      <c r="Q131" t="n">
        <v>0</v>
      </c>
      <c r="R131" t="n">
        <v>75</v>
      </c>
      <c r="S131" t="n">
        <v>0</v>
      </c>
      <c r="T131" t="n">
        <v>0</v>
      </c>
      <c r="U131" t="n">
        <v>0</v>
      </c>
      <c r="V131" t="n">
        <v>19.33</v>
      </c>
      <c r="W131" t="n">
        <v>405.83</v>
      </c>
      <c r="X131" t="n">
        <v>386.5</v>
      </c>
      <c r="Y131" t="n">
        <v>19</v>
      </c>
      <c r="Z131" t="n">
        <v>73.44</v>
      </c>
      <c r="AA131" t="n">
        <v>7.47</v>
      </c>
      <c r="AB131" t="n">
        <v>80.91</v>
      </c>
      <c r="AC131" t="n">
        <v>14.56</v>
      </c>
      <c r="AD131" t="n">
        <v>0</v>
      </c>
      <c r="AE131" t="n">
        <v>386.5</v>
      </c>
      <c r="AF131" t="n">
        <v>0</v>
      </c>
      <c r="AG131" t="n">
        <v>0</v>
      </c>
      <c r="AH131" t="n">
        <v>0.39</v>
      </c>
      <c r="AI131" t="n">
        <v>19.33</v>
      </c>
      <c r="AJ131" t="n">
        <v>0</v>
      </c>
      <c r="AK131" t="n">
        <v>34.28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115.19</v>
      </c>
      <c r="AV131" t="n">
        <v>0</v>
      </c>
      <c r="AW131" t="n">
        <v>290.64</v>
      </c>
      <c r="AX131" t="inlineStr">
        <is>
          <t>settled</t>
        </is>
      </c>
      <c r="AY131" t="inlineStr">
        <is>
          <t>2026-01-28 05:30:00</t>
        </is>
      </c>
      <c r="AZ131" t="inlineStr">
        <is>
          <t>CITIN26611504159</t>
        </is>
      </c>
      <c r="BA131" t="n">
        <v>0</v>
      </c>
      <c r="BB131" t="inlineStr">
        <is>
          <t>30074b8b4aac3ecd6e97c5c0e8912c6896719ca02c32bea3b8fd8aaa8b862f50</t>
        </is>
      </c>
    </row>
    <row r="132">
      <c r="A132" t="inlineStr">
        <is>
          <t>127</t>
        </is>
      </c>
      <c r="B132" t="inlineStr">
        <is>
          <t>7711871138</t>
        </is>
      </c>
      <c r="C132" t="inlineStr">
        <is>
          <t>2026-01-21 21:37:18</t>
        </is>
      </c>
      <c r="D132" t="inlineStr">
        <is>
          <t>4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2026-01-28 05:30:00</t>
        </is>
      </c>
      <c r="AZ132" t="inlineStr">
        <is>
          <t>CITIN26611504159</t>
        </is>
      </c>
      <c r="BA132" t="n">
        <v>0</v>
      </c>
      <c r="BB132" t="inlineStr">
        <is>
          <t>5bbf14df8938f95d3b7c17a99beb70d7782f65008db9840edde8a35ba5e8e65f</t>
        </is>
      </c>
    </row>
    <row r="133">
      <c r="A133" t="inlineStr">
        <is>
          <t>128</t>
        </is>
      </c>
      <c r="B133" t="inlineStr">
        <is>
          <t>7710522697</t>
        </is>
      </c>
      <c r="C133" t="inlineStr">
        <is>
          <t>2026-01-21 22:39:27</t>
        </is>
      </c>
      <c r="D133" t="inlineStr">
        <is>
          <t>4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NA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188</v>
      </c>
      <c r="P133" t="n">
        <v>3.5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9.58</v>
      </c>
      <c r="W133" t="n">
        <v>201.08</v>
      </c>
      <c r="X133" t="n">
        <v>191.5</v>
      </c>
      <c r="Y133" t="n">
        <v>19</v>
      </c>
      <c r="Z133" t="n">
        <v>36.38</v>
      </c>
      <c r="AA133" t="n">
        <v>3.7</v>
      </c>
      <c r="AB133" t="n">
        <v>40.08</v>
      </c>
      <c r="AC133" t="n">
        <v>7.22</v>
      </c>
      <c r="AD133" t="n">
        <v>0</v>
      </c>
      <c r="AE133" t="n">
        <v>191.5</v>
      </c>
      <c r="AF133" t="n">
        <v>0</v>
      </c>
      <c r="AG133" t="n">
        <v>0</v>
      </c>
      <c r="AH133" t="n">
        <v>0.19</v>
      </c>
      <c r="AI133" t="n">
        <v>9.58</v>
      </c>
      <c r="AJ133" t="n">
        <v>0</v>
      </c>
      <c r="AK133" t="n">
        <v>16.99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57.07</v>
      </c>
      <c r="AV133" t="n">
        <v>0</v>
      </c>
      <c r="AW133" t="n">
        <v>144.01</v>
      </c>
      <c r="AX133" t="inlineStr">
        <is>
          <t>settled</t>
        </is>
      </c>
      <c r="AY133" t="inlineStr">
        <is>
          <t>2026-01-28 05:30:00</t>
        </is>
      </c>
      <c r="AZ133" t="inlineStr">
        <is>
          <t>CITIN26611504159</t>
        </is>
      </c>
      <c r="BA133" t="n">
        <v>0</v>
      </c>
      <c r="BB133" t="inlineStr">
        <is>
          <t>aff79f8a6e7cba297a86476ef1e4be1564f00dec2bd565deaeadf002955cd545</t>
        </is>
      </c>
    </row>
    <row r="134">
      <c r="A134" t="inlineStr">
        <is>
          <t>129</t>
        </is>
      </c>
      <c r="B134" t="inlineStr">
        <is>
          <t>7706944219</t>
        </is>
      </c>
      <c r="C134" t="inlineStr">
        <is>
          <t>2026-01-21 22:40:34</t>
        </is>
      </c>
      <c r="D134" t="inlineStr">
        <is>
          <t>4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30% off upto ₹75 (2025-06-25 - 2031-01-01)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229</v>
      </c>
      <c r="P134" t="n">
        <v>3.5</v>
      </c>
      <c r="Q134" t="n">
        <v>0</v>
      </c>
      <c r="R134" t="n">
        <v>68.7</v>
      </c>
      <c r="S134" t="n">
        <v>0</v>
      </c>
      <c r="T134" t="n">
        <v>0</v>
      </c>
      <c r="U134" t="n">
        <v>0</v>
      </c>
      <c r="V134" t="n">
        <v>8.19</v>
      </c>
      <c r="W134" t="n">
        <v>171.99</v>
      </c>
      <c r="X134" t="n">
        <v>163.8</v>
      </c>
      <c r="Y134" t="n">
        <v>19</v>
      </c>
      <c r="Z134" t="n">
        <v>31.12</v>
      </c>
      <c r="AA134" t="n">
        <v>3.16</v>
      </c>
      <c r="AB134" t="n">
        <v>34.28</v>
      </c>
      <c r="AC134" t="n">
        <v>6.17</v>
      </c>
      <c r="AD134" t="n">
        <v>0</v>
      </c>
      <c r="AE134" t="n">
        <v>163.8</v>
      </c>
      <c r="AF134" t="n">
        <v>0</v>
      </c>
      <c r="AG134" t="n">
        <v>0</v>
      </c>
      <c r="AH134" t="n">
        <v>0.16</v>
      </c>
      <c r="AI134" t="n">
        <v>8.199999999999999</v>
      </c>
      <c r="AJ134" t="n">
        <v>-0.01</v>
      </c>
      <c r="AK134" t="n">
        <v>14.53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48.81</v>
      </c>
      <c r="AV134" t="n">
        <v>0</v>
      </c>
      <c r="AW134" t="n">
        <v>123.18</v>
      </c>
      <c r="AX134" t="inlineStr">
        <is>
          <t>settled</t>
        </is>
      </c>
      <c r="AY134" t="inlineStr">
        <is>
          <t>2026-01-28 05:30:00</t>
        </is>
      </c>
      <c r="AZ134" t="inlineStr">
        <is>
          <t>CITIN26611504159</t>
        </is>
      </c>
      <c r="BA134" t="n">
        <v>0</v>
      </c>
      <c r="BB134" t="inlineStr">
        <is>
          <t>2e274b5245c2fb32d3dbac750c591fce0c94014fd3991310c90c22a1a2de82c7</t>
        </is>
      </c>
    </row>
    <row r="135">
      <c r="A135" t="inlineStr">
        <is>
          <t>130</t>
        </is>
      </c>
      <c r="B135" t="inlineStr">
        <is>
          <t>7715551010</t>
        </is>
      </c>
      <c r="C135" t="inlineStr">
        <is>
          <t>2026-01-21 22:41:02</t>
        </is>
      </c>
      <c r="D135" t="inlineStr">
        <is>
          <t>4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30% off upto ₹75 (2025-06-25 - 2031-01-01)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229</v>
      </c>
      <c r="P135" t="n">
        <v>3.5</v>
      </c>
      <c r="Q135" t="n">
        <v>0</v>
      </c>
      <c r="R135" t="n">
        <v>68.7</v>
      </c>
      <c r="S135" t="n">
        <v>0</v>
      </c>
      <c r="T135" t="n">
        <v>0</v>
      </c>
      <c r="U135" t="n">
        <v>0</v>
      </c>
      <c r="V135" t="n">
        <v>8.19</v>
      </c>
      <c r="W135" t="n">
        <v>171.99</v>
      </c>
      <c r="X135" t="n">
        <v>163.8</v>
      </c>
      <c r="Y135" t="n">
        <v>19</v>
      </c>
      <c r="Z135" t="n">
        <v>31.12</v>
      </c>
      <c r="AA135" t="n">
        <v>3.16</v>
      </c>
      <c r="AB135" t="n">
        <v>34.28</v>
      </c>
      <c r="AC135" t="n">
        <v>6.17</v>
      </c>
      <c r="AD135" t="n">
        <v>0</v>
      </c>
      <c r="AE135" t="n">
        <v>163.8</v>
      </c>
      <c r="AF135" t="n">
        <v>0</v>
      </c>
      <c r="AG135" t="n">
        <v>0</v>
      </c>
      <c r="AH135" t="n">
        <v>0.16</v>
      </c>
      <c r="AI135" t="n">
        <v>8.199999999999999</v>
      </c>
      <c r="AJ135" t="n">
        <v>-0.01</v>
      </c>
      <c r="AK135" t="n">
        <v>14.53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48.81</v>
      </c>
      <c r="AV135" t="n">
        <v>0</v>
      </c>
      <c r="AW135" t="n">
        <v>123.18</v>
      </c>
      <c r="AX135" t="inlineStr">
        <is>
          <t>settled</t>
        </is>
      </c>
      <c r="AY135" t="inlineStr">
        <is>
          <t>2026-01-28 05:30:00</t>
        </is>
      </c>
      <c r="AZ135" t="inlineStr">
        <is>
          <t>CITIN26611504159</t>
        </is>
      </c>
      <c r="BA135" t="n">
        <v>0</v>
      </c>
      <c r="BB135" t="inlineStr">
        <is>
          <t>c266a807b1f1b73b8824ec1f391470483eda3b52cddbb0090ac43b9965b61ba4</t>
        </is>
      </c>
    </row>
    <row r="136">
      <c r="A136" t="inlineStr">
        <is>
          <t>131</t>
        </is>
      </c>
      <c r="B136" t="inlineStr">
        <is>
          <t>7713910821</t>
        </is>
      </c>
      <c r="C136" t="inlineStr">
        <is>
          <t>2026-01-21 22:57:09</t>
        </is>
      </c>
      <c r="D136" t="inlineStr">
        <is>
          <t>4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219</v>
      </c>
      <c r="P136" t="n">
        <v>3.5</v>
      </c>
      <c r="Q136" t="n">
        <v>0</v>
      </c>
      <c r="R136" t="n">
        <v>65.7</v>
      </c>
      <c r="S136" t="n">
        <v>0</v>
      </c>
      <c r="T136" t="n">
        <v>0</v>
      </c>
      <c r="U136" t="n">
        <v>0</v>
      </c>
      <c r="V136" t="n">
        <v>7.84</v>
      </c>
      <c r="W136" t="n">
        <v>164.64</v>
      </c>
      <c r="X136" t="n">
        <v>156.8</v>
      </c>
      <c r="Y136" t="n">
        <v>19</v>
      </c>
      <c r="Z136" t="n">
        <v>29.79</v>
      </c>
      <c r="AA136" t="n">
        <v>3.03</v>
      </c>
      <c r="AB136" t="n">
        <v>32.82</v>
      </c>
      <c r="AC136" t="n">
        <v>5.91</v>
      </c>
      <c r="AD136" t="n">
        <v>0</v>
      </c>
      <c r="AE136" t="n">
        <v>156.8</v>
      </c>
      <c r="AF136" t="n">
        <v>0</v>
      </c>
      <c r="AG136" t="n">
        <v>0</v>
      </c>
      <c r="AH136" t="n">
        <v>0.16</v>
      </c>
      <c r="AI136" t="n">
        <v>7.85</v>
      </c>
      <c r="AJ136" t="n">
        <v>-0.01</v>
      </c>
      <c r="AK136" t="n">
        <v>13.92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46.74</v>
      </c>
      <c r="AV136" t="n">
        <v>0</v>
      </c>
      <c r="AW136" t="n">
        <v>117.9</v>
      </c>
      <c r="AX136" t="inlineStr">
        <is>
          <t>settled</t>
        </is>
      </c>
      <c r="AY136" t="inlineStr">
        <is>
          <t>2026-01-28 05:30:00</t>
        </is>
      </c>
      <c r="AZ136" t="inlineStr">
        <is>
          <t>CITIN26611504159</t>
        </is>
      </c>
      <c r="BA136" t="n">
        <v>0</v>
      </c>
      <c r="BB136" t="inlineStr">
        <is>
          <t>8444ae22b32a9ad2035fe5c2372de185a8ecddc6a1eb4e031c593146348ea36f</t>
        </is>
      </c>
    </row>
    <row r="137">
      <c r="A137" t="inlineStr">
        <is>
          <t>132</t>
        </is>
      </c>
      <c r="B137" t="inlineStr">
        <is>
          <t>7706900028</t>
        </is>
      </c>
      <c r="C137" t="inlineStr">
        <is>
          <t>2026-01-21 22:57:11</t>
        </is>
      </c>
      <c r="D137" t="inlineStr">
        <is>
          <t>4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229</v>
      </c>
      <c r="P137" t="n">
        <v>3.5</v>
      </c>
      <c r="Q137" t="n">
        <v>0</v>
      </c>
      <c r="R137" t="n">
        <v>68.7</v>
      </c>
      <c r="S137" t="n">
        <v>0</v>
      </c>
      <c r="T137" t="n">
        <v>0</v>
      </c>
      <c r="U137" t="n">
        <v>0</v>
      </c>
      <c r="V137" t="n">
        <v>8.19</v>
      </c>
      <c r="W137" t="n">
        <v>171.99</v>
      </c>
      <c r="X137" t="n">
        <v>163.8</v>
      </c>
      <c r="Y137" t="n">
        <v>19</v>
      </c>
      <c r="Z137" t="n">
        <v>31.12</v>
      </c>
      <c r="AA137" t="n">
        <v>3.16</v>
      </c>
      <c r="AB137" t="n">
        <v>34.28</v>
      </c>
      <c r="AC137" t="n">
        <v>6.17</v>
      </c>
      <c r="AD137" t="n">
        <v>0</v>
      </c>
      <c r="AE137" t="n">
        <v>163.8</v>
      </c>
      <c r="AF137" t="n">
        <v>0</v>
      </c>
      <c r="AG137" t="n">
        <v>0</v>
      </c>
      <c r="AH137" t="n">
        <v>0.16</v>
      </c>
      <c r="AI137" t="n">
        <v>8.199999999999999</v>
      </c>
      <c r="AJ137" t="n">
        <v>-0.01</v>
      </c>
      <c r="AK137" t="n">
        <v>14.53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48.81</v>
      </c>
      <c r="AV137" t="n">
        <v>0</v>
      </c>
      <c r="AW137" t="n">
        <v>123.18</v>
      </c>
      <c r="AX137" t="inlineStr">
        <is>
          <t>settled</t>
        </is>
      </c>
      <c r="AY137" t="inlineStr">
        <is>
          <t>2026-01-28 05:30:00</t>
        </is>
      </c>
      <c r="AZ137" t="inlineStr">
        <is>
          <t>CITIN26611504159</t>
        </is>
      </c>
      <c r="BA137" t="n">
        <v>0</v>
      </c>
      <c r="BB137" t="inlineStr">
        <is>
          <t>f5253dcba91a538193ee5b4313868a92e5511643e367172f3d1d34be7162e302</t>
        </is>
      </c>
    </row>
    <row r="138">
      <c r="A138" t="inlineStr">
        <is>
          <t>133</t>
        </is>
      </c>
      <c r="B138" t="inlineStr">
        <is>
          <t>7714384754</t>
        </is>
      </c>
      <c r="C138" t="inlineStr">
        <is>
          <t>2026-01-21 22:59:39</t>
        </is>
      </c>
      <c r="D138" t="inlineStr">
        <is>
          <t>4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229</v>
      </c>
      <c r="P138" t="n">
        <v>3.5</v>
      </c>
      <c r="Q138" t="n">
        <v>0</v>
      </c>
      <c r="R138" t="n">
        <v>68.7</v>
      </c>
      <c r="S138" t="n">
        <v>0</v>
      </c>
      <c r="T138" t="n">
        <v>0</v>
      </c>
      <c r="U138" t="n">
        <v>0</v>
      </c>
      <c r="V138" t="n">
        <v>8.19</v>
      </c>
      <c r="W138" t="n">
        <v>171.99</v>
      </c>
      <c r="X138" t="n">
        <v>163.8</v>
      </c>
      <c r="Y138" t="n">
        <v>19</v>
      </c>
      <c r="Z138" t="n">
        <v>31.12</v>
      </c>
      <c r="AA138" t="n">
        <v>3.16</v>
      </c>
      <c r="AB138" t="n">
        <v>34.28</v>
      </c>
      <c r="AC138" t="n">
        <v>6.17</v>
      </c>
      <c r="AD138" t="n">
        <v>0</v>
      </c>
      <c r="AE138" t="n">
        <v>163.8</v>
      </c>
      <c r="AF138" t="n">
        <v>0</v>
      </c>
      <c r="AG138" t="n">
        <v>0</v>
      </c>
      <c r="AH138" t="n">
        <v>0.16</v>
      </c>
      <c r="AI138" t="n">
        <v>8.199999999999999</v>
      </c>
      <c r="AJ138" t="n">
        <v>-0.01</v>
      </c>
      <c r="AK138" t="n">
        <v>14.53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48.81</v>
      </c>
      <c r="AV138" t="n">
        <v>0</v>
      </c>
      <c r="AW138" t="n">
        <v>123.18</v>
      </c>
      <c r="AX138" t="inlineStr">
        <is>
          <t>settled</t>
        </is>
      </c>
      <c r="AY138" t="inlineStr">
        <is>
          <t>2026-01-28 05:30:00</t>
        </is>
      </c>
      <c r="AZ138" t="inlineStr">
        <is>
          <t>CITIN26611504159</t>
        </is>
      </c>
      <c r="BA138" t="n">
        <v>0</v>
      </c>
      <c r="BB138" t="inlineStr">
        <is>
          <t>64295d7b89d26ecc4ff06b083fbb84ec88770b25f976dc215aff5da405c42ab5</t>
        </is>
      </c>
    </row>
    <row r="139">
      <c r="A139" t="inlineStr">
        <is>
          <t>134</t>
        </is>
      </c>
      <c r="B139" t="inlineStr">
        <is>
          <t>7714336436</t>
        </is>
      </c>
      <c r="C139" t="inlineStr">
        <is>
          <t>2026-01-21 23:13:39</t>
        </is>
      </c>
      <c r="D139" t="inlineStr">
        <is>
          <t>4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219</v>
      </c>
      <c r="P139" t="n">
        <v>3.5</v>
      </c>
      <c r="Q139" t="n">
        <v>0</v>
      </c>
      <c r="R139" t="n">
        <v>65.7</v>
      </c>
      <c r="S139" t="n">
        <v>0</v>
      </c>
      <c r="T139" t="n">
        <v>0</v>
      </c>
      <c r="U139" t="n">
        <v>0</v>
      </c>
      <c r="V139" t="n">
        <v>7.84</v>
      </c>
      <c r="W139" t="n">
        <v>164.64</v>
      </c>
      <c r="X139" t="n">
        <v>156.8</v>
      </c>
      <c r="Y139" t="n">
        <v>19</v>
      </c>
      <c r="Z139" t="n">
        <v>29.79</v>
      </c>
      <c r="AA139" t="n">
        <v>3.03</v>
      </c>
      <c r="AB139" t="n">
        <v>32.82</v>
      </c>
      <c r="AC139" t="n">
        <v>5.91</v>
      </c>
      <c r="AD139" t="n">
        <v>0</v>
      </c>
      <c r="AE139" t="n">
        <v>156.8</v>
      </c>
      <c r="AF139" t="n">
        <v>0</v>
      </c>
      <c r="AG139" t="n">
        <v>0</v>
      </c>
      <c r="AH139" t="n">
        <v>0.16</v>
      </c>
      <c r="AI139" t="n">
        <v>7.85</v>
      </c>
      <c r="AJ139" t="n">
        <v>-0.01</v>
      </c>
      <c r="AK139" t="n">
        <v>13.92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46.74</v>
      </c>
      <c r="AV139" t="n">
        <v>0</v>
      </c>
      <c r="AW139" t="n">
        <v>117.9</v>
      </c>
      <c r="AX139" t="inlineStr">
        <is>
          <t>settled</t>
        </is>
      </c>
      <c r="AY139" t="inlineStr">
        <is>
          <t>2026-01-28 05:30:00</t>
        </is>
      </c>
      <c r="AZ139" t="inlineStr">
        <is>
          <t>CITIN26611504159</t>
        </is>
      </c>
      <c r="BA139" t="n">
        <v>0</v>
      </c>
      <c r="BB139" t="inlineStr">
        <is>
          <t>1ff390185c05bb1051fa01ebcab3f9432489e882588524f96c959d303e58f9ad</t>
        </is>
      </c>
    </row>
    <row r="140">
      <c r="A140" t="inlineStr">
        <is>
          <t>135</t>
        </is>
      </c>
      <c r="B140" t="inlineStr">
        <is>
          <t>7713375686</t>
        </is>
      </c>
      <c r="C140" t="inlineStr">
        <is>
          <t>2026-01-21 23:21:36</t>
        </is>
      </c>
      <c r="D140" t="inlineStr">
        <is>
          <t>4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30% off upto ₹75 (2025-06-25 - 2031-01-01)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657</v>
      </c>
      <c r="P140" t="n">
        <v>3.5</v>
      </c>
      <c r="Q140" t="n">
        <v>0</v>
      </c>
      <c r="R140" t="n">
        <v>75</v>
      </c>
      <c r="S140" t="n">
        <v>0</v>
      </c>
      <c r="T140" t="n">
        <v>0</v>
      </c>
      <c r="U140" t="n">
        <v>0</v>
      </c>
      <c r="V140" t="n">
        <v>29.28</v>
      </c>
      <c r="W140" t="n">
        <v>614.78</v>
      </c>
      <c r="X140" t="n">
        <v>585.5</v>
      </c>
      <c r="Y140" t="n">
        <v>19</v>
      </c>
      <c r="Z140" t="n">
        <v>111.24</v>
      </c>
      <c r="AA140" t="n">
        <v>11.31</v>
      </c>
      <c r="AB140" t="n">
        <v>122.55</v>
      </c>
      <c r="AC140" t="n">
        <v>22.06</v>
      </c>
      <c r="AD140" t="n">
        <v>0</v>
      </c>
      <c r="AE140" t="n">
        <v>585.5</v>
      </c>
      <c r="AF140" t="n">
        <v>0</v>
      </c>
      <c r="AG140" t="n">
        <v>0</v>
      </c>
      <c r="AH140" t="n">
        <v>0.59</v>
      </c>
      <c r="AI140" t="n">
        <v>29.28</v>
      </c>
      <c r="AJ140" t="n">
        <v>0</v>
      </c>
      <c r="AK140" t="n">
        <v>51.93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174.48</v>
      </c>
      <c r="AV140" t="n">
        <v>0</v>
      </c>
      <c r="AW140" t="n">
        <v>440.3</v>
      </c>
      <c r="AX140" t="inlineStr">
        <is>
          <t>settled</t>
        </is>
      </c>
      <c r="AY140" t="inlineStr">
        <is>
          <t>2026-01-28 05:30:00</t>
        </is>
      </c>
      <c r="AZ140" t="inlineStr">
        <is>
          <t>CITIN26611504159</t>
        </is>
      </c>
      <c r="BA140" t="n">
        <v>0</v>
      </c>
      <c r="BB140" t="inlineStr">
        <is>
          <t>c20306c44a52f4ed61d53be7309b5aa2534bf4da3d139f5d4c3280ff98e518e6</t>
        </is>
      </c>
    </row>
    <row r="141">
      <c r="A141" t="inlineStr">
        <is>
          <t>136</t>
        </is>
      </c>
      <c r="B141" t="inlineStr">
        <is>
          <t>7708745166</t>
        </is>
      </c>
      <c r="C141" t="inlineStr">
        <is>
          <t>2026-01-21 23:33:38</t>
        </is>
      </c>
      <c r="D141" t="inlineStr">
        <is>
          <t>4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NA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229</v>
      </c>
      <c r="P141" t="n">
        <v>3.5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11.63</v>
      </c>
      <c r="W141" t="n">
        <v>244.13</v>
      </c>
      <c r="X141" t="n">
        <v>232.5</v>
      </c>
      <c r="Y141" t="n">
        <v>19</v>
      </c>
      <c r="Z141" t="n">
        <v>44.18</v>
      </c>
      <c r="AA141" t="n">
        <v>4.49</v>
      </c>
      <c r="AB141" t="n">
        <v>48.67</v>
      </c>
      <c r="AC141" t="n">
        <v>8.76</v>
      </c>
      <c r="AD141" t="n">
        <v>0</v>
      </c>
      <c r="AE141" t="n">
        <v>232.5</v>
      </c>
      <c r="AF141" t="n">
        <v>0</v>
      </c>
      <c r="AG141" t="n">
        <v>0</v>
      </c>
      <c r="AH141" t="n">
        <v>0.23</v>
      </c>
      <c r="AI141" t="n">
        <v>11.63</v>
      </c>
      <c r="AJ141" t="n">
        <v>0</v>
      </c>
      <c r="AK141" t="n">
        <v>20.62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69.29000000000001</v>
      </c>
      <c r="AV141" t="n">
        <v>0</v>
      </c>
      <c r="AW141" t="n">
        <v>174.84</v>
      </c>
      <c r="AX141" t="inlineStr">
        <is>
          <t>settled</t>
        </is>
      </c>
      <c r="AY141" t="inlineStr">
        <is>
          <t>2026-01-28 05:30:00</t>
        </is>
      </c>
      <c r="AZ141" t="inlineStr">
        <is>
          <t>CITIN26611504159</t>
        </is>
      </c>
      <c r="BA141" t="n">
        <v>0</v>
      </c>
      <c r="BB141" t="inlineStr">
        <is>
          <t>65cadf94b1e9d19474906cb7576f93ccc15862f15f9aed57f0796e89963bc240</t>
        </is>
      </c>
    </row>
    <row r="142">
      <c r="A142" t="inlineStr">
        <is>
          <t>137</t>
        </is>
      </c>
      <c r="B142" t="inlineStr">
        <is>
          <t>7677467928</t>
        </is>
      </c>
      <c r="C142" t="inlineStr">
        <is>
          <t>2026-01-21 23:36:22</t>
        </is>
      </c>
      <c r="D142" t="inlineStr">
        <is>
          <t>4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30% off upto ₹75 (2025-06-25 - 2031-01-01)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355</v>
      </c>
      <c r="P142" t="n">
        <v>3.5</v>
      </c>
      <c r="Q142" t="n">
        <v>0</v>
      </c>
      <c r="R142" t="n">
        <v>75</v>
      </c>
      <c r="S142" t="n">
        <v>0</v>
      </c>
      <c r="T142" t="n">
        <v>0</v>
      </c>
      <c r="U142" t="n">
        <v>0</v>
      </c>
      <c r="V142" t="n">
        <v>14.18</v>
      </c>
      <c r="W142" t="n">
        <v>297.68</v>
      </c>
      <c r="X142" t="n">
        <v>283.5</v>
      </c>
      <c r="Y142" t="n">
        <v>19</v>
      </c>
      <c r="Z142" t="n">
        <v>53.86</v>
      </c>
      <c r="AA142" t="n">
        <v>5.48</v>
      </c>
      <c r="AB142" t="n">
        <v>59.34</v>
      </c>
      <c r="AC142" t="n">
        <v>10.68</v>
      </c>
      <c r="AD142" t="n">
        <v>0</v>
      </c>
      <c r="AE142" t="n">
        <v>283.5</v>
      </c>
      <c r="AF142" t="n">
        <v>0</v>
      </c>
      <c r="AG142" t="n">
        <v>0</v>
      </c>
      <c r="AH142" t="n">
        <v>0.28</v>
      </c>
      <c r="AI142" t="n">
        <v>14.18</v>
      </c>
      <c r="AJ142" t="n">
        <v>0</v>
      </c>
      <c r="AK142" t="n">
        <v>25.14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84.48</v>
      </c>
      <c r="AV142" t="n">
        <v>0</v>
      </c>
      <c r="AW142" t="n">
        <v>213.2</v>
      </c>
      <c r="AX142" t="inlineStr">
        <is>
          <t>settled</t>
        </is>
      </c>
      <c r="AY142" t="inlineStr">
        <is>
          <t>2026-01-28 05:30:00</t>
        </is>
      </c>
      <c r="AZ142" t="inlineStr">
        <is>
          <t>CITIN26611504159</t>
        </is>
      </c>
      <c r="BA142" t="n">
        <v>0</v>
      </c>
      <c r="BB142" t="inlineStr">
        <is>
          <t>e543f273cc15f38f915fd9342eb4514eb73c46431cad16ad1bcc2f08deb34962</t>
        </is>
      </c>
    </row>
    <row r="143">
      <c r="A143" t="inlineStr">
        <is>
          <t>138</t>
        </is>
      </c>
      <c r="B143" t="inlineStr">
        <is>
          <t>7712365903</t>
        </is>
      </c>
      <c r="C143" t="inlineStr">
        <is>
          <t>2026-01-21 23:40:08</t>
        </is>
      </c>
      <c r="D143" t="inlineStr">
        <is>
          <t>4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NA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219</v>
      </c>
      <c r="P143" t="n">
        <v>3.5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11.13</v>
      </c>
      <c r="W143" t="n">
        <v>233.63</v>
      </c>
      <c r="X143" t="n">
        <v>222.5</v>
      </c>
      <c r="Y143" t="n">
        <v>19</v>
      </c>
      <c r="Z143" t="n">
        <v>42.28</v>
      </c>
      <c r="AA143" t="n">
        <v>4.3</v>
      </c>
      <c r="AB143" t="n">
        <v>46.58</v>
      </c>
      <c r="AC143" t="n">
        <v>8.380000000000001</v>
      </c>
      <c r="AD143" t="n">
        <v>0</v>
      </c>
      <c r="AE143" t="n">
        <v>222.5</v>
      </c>
      <c r="AF143" t="n">
        <v>0</v>
      </c>
      <c r="AG143" t="n">
        <v>0</v>
      </c>
      <c r="AH143" t="n">
        <v>0.22</v>
      </c>
      <c r="AI143" t="n">
        <v>11.13</v>
      </c>
      <c r="AJ143" t="n">
        <v>0</v>
      </c>
      <c r="AK143" t="n">
        <v>19.73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66.31</v>
      </c>
      <c r="AV143" t="n">
        <v>0</v>
      </c>
      <c r="AW143" t="n">
        <v>167.32</v>
      </c>
      <c r="AX143" t="inlineStr">
        <is>
          <t>settled</t>
        </is>
      </c>
      <c r="AY143" t="inlineStr">
        <is>
          <t>2026-01-28 05:30:00</t>
        </is>
      </c>
      <c r="AZ143" t="inlineStr">
        <is>
          <t>CITIN26611504159</t>
        </is>
      </c>
      <c r="BA143" t="n">
        <v>0</v>
      </c>
      <c r="BB143" t="inlineStr">
        <is>
          <t>59d4fc0f0b378f187b2a7beee8c83eb884b24194872993c614ff1cce9a64d553</t>
        </is>
      </c>
    </row>
    <row r="144">
      <c r="A144" t="inlineStr">
        <is>
          <t>139</t>
        </is>
      </c>
      <c r="B144" t="inlineStr">
        <is>
          <t>7713580727</t>
        </is>
      </c>
      <c r="C144" t="inlineStr">
        <is>
          <t>2026-01-21 23:41:30</t>
        </is>
      </c>
      <c r="D144" t="inlineStr">
        <is>
          <t>4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229</v>
      </c>
      <c r="P144" t="n">
        <v>3.5</v>
      </c>
      <c r="Q144" t="n">
        <v>0</v>
      </c>
      <c r="R144" t="n">
        <v>68.7</v>
      </c>
      <c r="S144" t="n">
        <v>0</v>
      </c>
      <c r="T144" t="n">
        <v>0</v>
      </c>
      <c r="U144" t="n">
        <v>0</v>
      </c>
      <c r="V144" t="n">
        <v>8.19</v>
      </c>
      <c r="W144" t="n">
        <v>171.99</v>
      </c>
      <c r="X144" t="n">
        <v>163.8</v>
      </c>
      <c r="Y144" t="n">
        <v>19</v>
      </c>
      <c r="Z144" t="n">
        <v>31.12</v>
      </c>
      <c r="AA144" t="n">
        <v>3.16</v>
      </c>
      <c r="AB144" t="n">
        <v>34.28</v>
      </c>
      <c r="AC144" t="n">
        <v>6.17</v>
      </c>
      <c r="AD144" t="n">
        <v>0</v>
      </c>
      <c r="AE144" t="n">
        <v>163.8</v>
      </c>
      <c r="AF144" t="n">
        <v>0</v>
      </c>
      <c r="AG144" t="n">
        <v>0</v>
      </c>
      <c r="AH144" t="n">
        <v>0.16</v>
      </c>
      <c r="AI144" t="n">
        <v>8.199999999999999</v>
      </c>
      <c r="AJ144" t="n">
        <v>-0.01</v>
      </c>
      <c r="AK144" t="n">
        <v>14.53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48.81</v>
      </c>
      <c r="AV144" t="n">
        <v>0</v>
      </c>
      <c r="AW144" t="n">
        <v>123.18</v>
      </c>
      <c r="AX144" t="inlineStr">
        <is>
          <t>settled</t>
        </is>
      </c>
      <c r="AY144" t="inlineStr">
        <is>
          <t>2026-01-28 05:30:00</t>
        </is>
      </c>
      <c r="AZ144" t="inlineStr">
        <is>
          <t>CITIN26611504159</t>
        </is>
      </c>
      <c r="BA144" t="n">
        <v>0</v>
      </c>
      <c r="BB144" t="inlineStr">
        <is>
          <t>29147a38f10cef7ee79ef9630556068aaf9bb37c0bd2d955705445d4fd62dd8f</t>
        </is>
      </c>
    </row>
    <row r="145">
      <c r="A145" t="inlineStr">
        <is>
          <t>140</t>
        </is>
      </c>
      <c r="B145" t="inlineStr">
        <is>
          <t>7707176863</t>
        </is>
      </c>
      <c r="C145" t="inlineStr">
        <is>
          <t>2026-01-21 23:45:33</t>
        </is>
      </c>
      <c r="D145" t="inlineStr">
        <is>
          <t>4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30% off upto ₹75 (2025-06-25 - 2031-01-01)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219</v>
      </c>
      <c r="P145" t="n">
        <v>3.5</v>
      </c>
      <c r="Q145" t="n">
        <v>0</v>
      </c>
      <c r="R145" t="n">
        <v>65.7</v>
      </c>
      <c r="S145" t="n">
        <v>0</v>
      </c>
      <c r="T145" t="n">
        <v>0</v>
      </c>
      <c r="U145" t="n">
        <v>0</v>
      </c>
      <c r="V145" t="n">
        <v>7.84</v>
      </c>
      <c r="W145" t="n">
        <v>164.64</v>
      </c>
      <c r="X145" t="n">
        <v>156.8</v>
      </c>
      <c r="Y145" t="n">
        <v>19</v>
      </c>
      <c r="Z145" t="n">
        <v>29.79</v>
      </c>
      <c r="AA145" t="n">
        <v>3.03</v>
      </c>
      <c r="AB145" t="n">
        <v>32.82</v>
      </c>
      <c r="AC145" t="n">
        <v>5.91</v>
      </c>
      <c r="AD145" t="n">
        <v>0</v>
      </c>
      <c r="AE145" t="n">
        <v>156.8</v>
      </c>
      <c r="AF145" t="n">
        <v>0</v>
      </c>
      <c r="AG145" t="n">
        <v>0</v>
      </c>
      <c r="AH145" t="n">
        <v>0.16</v>
      </c>
      <c r="AI145" t="n">
        <v>7.85</v>
      </c>
      <c r="AJ145" t="n">
        <v>-0.01</v>
      </c>
      <c r="AK145" t="n">
        <v>13.92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46.74</v>
      </c>
      <c r="AV145" t="n">
        <v>0</v>
      </c>
      <c r="AW145" t="n">
        <v>117.9</v>
      </c>
      <c r="AX145" t="inlineStr">
        <is>
          <t>settled</t>
        </is>
      </c>
      <c r="AY145" t="inlineStr">
        <is>
          <t>2026-01-28 05:30:00</t>
        </is>
      </c>
      <c r="AZ145" t="inlineStr">
        <is>
          <t>CITIN26611504159</t>
        </is>
      </c>
      <c r="BA145" t="n">
        <v>0</v>
      </c>
      <c r="BB145" t="inlineStr">
        <is>
          <t>d048b43349f01c56e8fa4d8fdc2a794a31730df827ee9ab7f95bc83e06a88854</t>
        </is>
      </c>
    </row>
    <row r="146">
      <c r="A146" t="inlineStr">
        <is>
          <t>141</t>
        </is>
      </c>
      <c r="B146" t="inlineStr">
        <is>
          <t>7714487701</t>
        </is>
      </c>
      <c r="C146" t="inlineStr">
        <is>
          <t>2026-01-21 23:52:22</t>
        </is>
      </c>
      <c r="D146" t="inlineStr">
        <is>
          <t>4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30% off upto ₹75 (2025-06-25 - 2031-01-01)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68.7</v>
      </c>
      <c r="S146" t="n">
        <v>0</v>
      </c>
      <c r="T146" t="n">
        <v>0</v>
      </c>
      <c r="U146" t="n">
        <v>0</v>
      </c>
      <c r="V146" t="n">
        <v>8.19</v>
      </c>
      <c r="W146" t="n">
        <v>171.99</v>
      </c>
      <c r="X146" t="n">
        <v>163.8</v>
      </c>
      <c r="Y146" t="n">
        <v>19</v>
      </c>
      <c r="Z146" t="n">
        <v>31.12</v>
      </c>
      <c r="AA146" t="n">
        <v>3.16</v>
      </c>
      <c r="AB146" t="n">
        <v>34.28</v>
      </c>
      <c r="AC146" t="n">
        <v>6.17</v>
      </c>
      <c r="AD146" t="n">
        <v>0</v>
      </c>
      <c r="AE146" t="n">
        <v>163.8</v>
      </c>
      <c r="AF146" t="n">
        <v>0</v>
      </c>
      <c r="AG146" t="n">
        <v>0</v>
      </c>
      <c r="AH146" t="n">
        <v>0.16</v>
      </c>
      <c r="AI146" t="n">
        <v>8.199999999999999</v>
      </c>
      <c r="AJ146" t="n">
        <v>-0.01</v>
      </c>
      <c r="AK146" t="n">
        <v>14.53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48.81</v>
      </c>
      <c r="AV146" t="n">
        <v>0</v>
      </c>
      <c r="AW146" t="n">
        <v>123.18</v>
      </c>
      <c r="AX146" t="inlineStr">
        <is>
          <t>settled</t>
        </is>
      </c>
      <c r="AY146" t="inlineStr">
        <is>
          <t>2026-01-28 05:30:00</t>
        </is>
      </c>
      <c r="AZ146" t="inlineStr">
        <is>
          <t>CITIN26611504159</t>
        </is>
      </c>
      <c r="BA146" t="n">
        <v>0</v>
      </c>
      <c r="BB146" t="inlineStr">
        <is>
          <t>468de2621803fd0ae1c3fc8df92d5076f3eea6c9efb6957e0492f806eec448b2</t>
        </is>
      </c>
    </row>
    <row r="147">
      <c r="A147" t="inlineStr">
        <is>
          <t>142</t>
        </is>
      </c>
      <c r="B147" t="inlineStr">
        <is>
          <t>7710914008</t>
        </is>
      </c>
      <c r="C147" t="inlineStr">
        <is>
          <t>2026-01-22 00:34:32</t>
        </is>
      </c>
      <c r="D147" t="inlineStr">
        <is>
          <t>4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NA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219</v>
      </c>
      <c r="P147" t="n">
        <v>3.5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11.13</v>
      </c>
      <c r="W147" t="n">
        <v>233.63</v>
      </c>
      <c r="X147" t="n">
        <v>222.5</v>
      </c>
      <c r="Y147" t="n">
        <v>19</v>
      </c>
      <c r="Z147" t="n">
        <v>42.28</v>
      </c>
      <c r="AA147" t="n">
        <v>4.3</v>
      </c>
      <c r="AB147" t="n">
        <v>46.58</v>
      </c>
      <c r="AC147" t="n">
        <v>8.380000000000001</v>
      </c>
      <c r="AD147" t="n">
        <v>0</v>
      </c>
      <c r="AE147" t="n">
        <v>222.5</v>
      </c>
      <c r="AF147" t="n">
        <v>0</v>
      </c>
      <c r="AG147" t="n">
        <v>0</v>
      </c>
      <c r="AH147" t="n">
        <v>0.22</v>
      </c>
      <c r="AI147" t="n">
        <v>11.13</v>
      </c>
      <c r="AJ147" t="n">
        <v>0</v>
      </c>
      <c r="AK147" t="n">
        <v>19.73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66.31</v>
      </c>
      <c r="AV147" t="n">
        <v>0</v>
      </c>
      <c r="AW147" t="n">
        <v>167.32</v>
      </c>
      <c r="AX147" t="inlineStr">
        <is>
          <t>settled</t>
        </is>
      </c>
      <c r="AY147" t="inlineStr">
        <is>
          <t>2026-01-28 05:30:00</t>
        </is>
      </c>
      <c r="AZ147" t="inlineStr">
        <is>
          <t>CITIN26611504159</t>
        </is>
      </c>
      <c r="BA147" t="n">
        <v>0</v>
      </c>
      <c r="BB147" t="inlineStr">
        <is>
          <t>676857e2d4dbb275e26ece79285eedbcda33d40774021f88e72c961f64e2dec8</t>
        </is>
      </c>
    </row>
    <row r="148">
      <c r="A148" t="inlineStr">
        <is>
          <t>143</t>
        </is>
      </c>
      <c r="B148" t="inlineStr">
        <is>
          <t>7710250392</t>
        </is>
      </c>
      <c r="C148" t="inlineStr">
        <is>
          <t>2026-01-22 00:45:19</t>
        </is>
      </c>
      <c r="D148" t="inlineStr">
        <is>
          <t>4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NA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448</v>
      </c>
      <c r="P148" t="n">
        <v>3.5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22.58</v>
      </c>
      <c r="W148" t="n">
        <v>474.08</v>
      </c>
      <c r="X148" t="n">
        <v>451.5</v>
      </c>
      <c r="Y148" t="n">
        <v>19</v>
      </c>
      <c r="Z148" t="n">
        <v>85.78</v>
      </c>
      <c r="AA148" t="n">
        <v>8.720000000000001</v>
      </c>
      <c r="AB148" t="n">
        <v>94.5</v>
      </c>
      <c r="AC148" t="n">
        <v>17.01</v>
      </c>
      <c r="AD148" t="n">
        <v>0</v>
      </c>
      <c r="AE148" t="n">
        <v>451.5</v>
      </c>
      <c r="AF148" t="n">
        <v>0</v>
      </c>
      <c r="AG148" t="n">
        <v>0</v>
      </c>
      <c r="AH148" t="n">
        <v>0.45</v>
      </c>
      <c r="AI148" t="n">
        <v>22.58</v>
      </c>
      <c r="AJ148" t="n">
        <v>0</v>
      </c>
      <c r="AK148" t="n">
        <v>40.04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134.54</v>
      </c>
      <c r="AV148" t="n">
        <v>0</v>
      </c>
      <c r="AW148" t="n">
        <v>339.54</v>
      </c>
      <c r="AX148" t="inlineStr">
        <is>
          <t>settled</t>
        </is>
      </c>
      <c r="AY148" t="inlineStr">
        <is>
          <t>2026-01-28 05:30:00</t>
        </is>
      </c>
      <c r="AZ148" t="inlineStr">
        <is>
          <t>CITIN26611504159</t>
        </is>
      </c>
      <c r="BA148" t="n">
        <v>0</v>
      </c>
      <c r="BB148" t="inlineStr">
        <is>
          <t>816f411725d1e02d6ee0e5f4d1ed9346bd1eaf42cabd5257f9ed600d7a056ee0</t>
        </is>
      </c>
    </row>
    <row r="149">
      <c r="A149" t="inlineStr">
        <is>
          <t>144</t>
        </is>
      </c>
      <c r="B149" t="inlineStr">
        <is>
          <t>7714866788</t>
        </is>
      </c>
      <c r="C149" t="inlineStr">
        <is>
          <t>2026-01-22 00:52:30</t>
        </is>
      </c>
      <c r="D149" t="inlineStr">
        <is>
          <t>4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219</v>
      </c>
      <c r="P149" t="n">
        <v>3.5</v>
      </c>
      <c r="Q149" t="n">
        <v>0</v>
      </c>
      <c r="R149" t="n">
        <v>65.7</v>
      </c>
      <c r="S149" t="n">
        <v>0</v>
      </c>
      <c r="T149" t="n">
        <v>0</v>
      </c>
      <c r="U149" t="n">
        <v>0</v>
      </c>
      <c r="V149" t="n">
        <v>7.84</v>
      </c>
      <c r="W149" t="n">
        <v>164.64</v>
      </c>
      <c r="X149" t="n">
        <v>156.8</v>
      </c>
      <c r="Y149" t="n">
        <v>19</v>
      </c>
      <c r="Z149" t="n">
        <v>29.79</v>
      </c>
      <c r="AA149" t="n">
        <v>3.03</v>
      </c>
      <c r="AB149" t="n">
        <v>32.82</v>
      </c>
      <c r="AC149" t="n">
        <v>5.91</v>
      </c>
      <c r="AD149" t="n">
        <v>0</v>
      </c>
      <c r="AE149" t="n">
        <v>156.8</v>
      </c>
      <c r="AF149" t="n">
        <v>0</v>
      </c>
      <c r="AG149" t="n">
        <v>0</v>
      </c>
      <c r="AH149" t="n">
        <v>0.16</v>
      </c>
      <c r="AI149" t="n">
        <v>7.85</v>
      </c>
      <c r="AJ149" t="n">
        <v>-0.01</v>
      </c>
      <c r="AK149" t="n">
        <v>13.92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46.74</v>
      </c>
      <c r="AV149" t="n">
        <v>0</v>
      </c>
      <c r="AW149" t="n">
        <v>117.9</v>
      </c>
      <c r="AX149" t="inlineStr">
        <is>
          <t>settled</t>
        </is>
      </c>
      <c r="AY149" t="inlineStr">
        <is>
          <t>2026-01-28 05:30:00</t>
        </is>
      </c>
      <c r="AZ149" t="inlineStr">
        <is>
          <t>CITIN26611504159</t>
        </is>
      </c>
      <c r="BA149" t="n">
        <v>0</v>
      </c>
      <c r="BB149" t="inlineStr">
        <is>
          <t>45851e894dc61d6992b9aded42560561f5c7ea294e2b13c7cfdce244fe5d3783</t>
        </is>
      </c>
    </row>
    <row r="150">
      <c r="A150" t="inlineStr">
        <is>
          <t>145</t>
        </is>
      </c>
      <c r="B150" t="inlineStr">
        <is>
          <t>7716259725</t>
        </is>
      </c>
      <c r="C150" t="inlineStr">
        <is>
          <t>2026-01-22 00:56:28</t>
        </is>
      </c>
      <c r="D150" t="inlineStr">
        <is>
          <t>4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30% off upto ₹75 (2025-06-25 - 2031-01-01)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355</v>
      </c>
      <c r="P150" t="n">
        <v>3.5</v>
      </c>
      <c r="Q150" t="n">
        <v>0</v>
      </c>
      <c r="R150" t="n">
        <v>75</v>
      </c>
      <c r="S150" t="n">
        <v>0</v>
      </c>
      <c r="T150" t="n">
        <v>0</v>
      </c>
      <c r="U150" t="n">
        <v>0</v>
      </c>
      <c r="V150" t="n">
        <v>14.18</v>
      </c>
      <c r="W150" t="n">
        <v>297.68</v>
      </c>
      <c r="X150" t="n">
        <v>283.5</v>
      </c>
      <c r="Y150" t="n">
        <v>19</v>
      </c>
      <c r="Z150" t="n">
        <v>53.86</v>
      </c>
      <c r="AA150" t="n">
        <v>5.48</v>
      </c>
      <c r="AB150" t="n">
        <v>59.34</v>
      </c>
      <c r="AC150" t="n">
        <v>10.68</v>
      </c>
      <c r="AD150" t="n">
        <v>0</v>
      </c>
      <c r="AE150" t="n">
        <v>283.5</v>
      </c>
      <c r="AF150" t="n">
        <v>0</v>
      </c>
      <c r="AG150" t="n">
        <v>0</v>
      </c>
      <c r="AH150" t="n">
        <v>0.28</v>
      </c>
      <c r="AI150" t="n">
        <v>14.18</v>
      </c>
      <c r="AJ150" t="n">
        <v>0</v>
      </c>
      <c r="AK150" t="n">
        <v>25.14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84.48</v>
      </c>
      <c r="AV150" t="n">
        <v>0</v>
      </c>
      <c r="AW150" t="n">
        <v>213.2</v>
      </c>
      <c r="AX150" t="inlineStr">
        <is>
          <t>settled</t>
        </is>
      </c>
      <c r="AY150" t="inlineStr">
        <is>
          <t>2026-01-28 05:30:00</t>
        </is>
      </c>
      <c r="AZ150" t="inlineStr">
        <is>
          <t>CITIN26611504159</t>
        </is>
      </c>
      <c r="BA150" t="n">
        <v>0</v>
      </c>
      <c r="BB150" t="inlineStr">
        <is>
          <t>6959a35b604f00d9e51bd32a2a5893c7678360ac1d93f09b54d9839661a9b7d6</t>
        </is>
      </c>
    </row>
    <row r="151">
      <c r="A151" t="inlineStr">
        <is>
          <t>146</t>
        </is>
      </c>
      <c r="B151" t="inlineStr">
        <is>
          <t>7701525611</t>
        </is>
      </c>
      <c r="C151" t="inlineStr">
        <is>
          <t>2026-01-22 01:05:55</t>
        </is>
      </c>
      <c r="D151" t="inlineStr">
        <is>
          <t>4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NA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345</v>
      </c>
      <c r="P151" t="n">
        <v>3.5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17.43</v>
      </c>
      <c r="W151" t="n">
        <v>365.93</v>
      </c>
      <c r="X151" t="n">
        <v>348.5</v>
      </c>
      <c r="Y151" t="n">
        <v>19</v>
      </c>
      <c r="Z151" t="n">
        <v>66.22</v>
      </c>
      <c r="AA151" t="n">
        <v>6.73</v>
      </c>
      <c r="AB151" t="n">
        <v>72.95</v>
      </c>
      <c r="AC151" t="n">
        <v>13.13</v>
      </c>
      <c r="AD151" t="n">
        <v>0</v>
      </c>
      <c r="AE151" t="n">
        <v>348.5</v>
      </c>
      <c r="AF151" t="n">
        <v>0</v>
      </c>
      <c r="AG151" t="n">
        <v>0</v>
      </c>
      <c r="AH151" t="n">
        <v>0.35</v>
      </c>
      <c r="AI151" t="n">
        <v>17.43</v>
      </c>
      <c r="AJ151" t="n">
        <v>0</v>
      </c>
      <c r="AK151" t="n">
        <v>30.91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103.86</v>
      </c>
      <c r="AV151" t="n">
        <v>0</v>
      </c>
      <c r="AW151" t="n">
        <v>262.07</v>
      </c>
      <c r="AX151" t="inlineStr">
        <is>
          <t>settled</t>
        </is>
      </c>
      <c r="AY151" t="inlineStr">
        <is>
          <t>2026-01-28 05:30:00</t>
        </is>
      </c>
      <c r="AZ151" t="inlineStr">
        <is>
          <t>CITIN26611504159</t>
        </is>
      </c>
      <c r="BA151" t="n">
        <v>0</v>
      </c>
      <c r="BB151" t="inlineStr">
        <is>
          <t>26189709a11cc0a11a568c1e3d64a3726c598a6ca44f07993a87ca1f6ca7417c</t>
        </is>
      </c>
    </row>
    <row r="152">
      <c r="A152" t="inlineStr">
        <is>
          <t>147</t>
        </is>
      </c>
      <c r="B152" t="inlineStr">
        <is>
          <t>7716131146</t>
        </is>
      </c>
      <c r="C152" t="inlineStr">
        <is>
          <t>2026-01-22 01:09:05</t>
        </is>
      </c>
      <c r="D152" t="inlineStr">
        <is>
          <t>4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229</v>
      </c>
      <c r="P152" t="n">
        <v>3.5</v>
      </c>
      <c r="Q152" t="n">
        <v>0</v>
      </c>
      <c r="R152" t="n">
        <v>68.7</v>
      </c>
      <c r="S152" t="n">
        <v>0</v>
      </c>
      <c r="T152" t="n">
        <v>0</v>
      </c>
      <c r="U152" t="n">
        <v>0</v>
      </c>
      <c r="V152" t="n">
        <v>8.19</v>
      </c>
      <c r="W152" t="n">
        <v>171.99</v>
      </c>
      <c r="X152" t="n">
        <v>163.8</v>
      </c>
      <c r="Y152" t="n">
        <v>19</v>
      </c>
      <c r="Z152" t="n">
        <v>31.12</v>
      </c>
      <c r="AA152" t="n">
        <v>3.16</v>
      </c>
      <c r="AB152" t="n">
        <v>34.28</v>
      </c>
      <c r="AC152" t="n">
        <v>6.17</v>
      </c>
      <c r="AD152" t="n">
        <v>0</v>
      </c>
      <c r="AE152" t="n">
        <v>163.8</v>
      </c>
      <c r="AF152" t="n">
        <v>0</v>
      </c>
      <c r="AG152" t="n">
        <v>0</v>
      </c>
      <c r="AH152" t="n">
        <v>0.16</v>
      </c>
      <c r="AI152" t="n">
        <v>8.199999999999999</v>
      </c>
      <c r="AJ152" t="n">
        <v>-0.01</v>
      </c>
      <c r="AK152" t="n">
        <v>14.53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48.81</v>
      </c>
      <c r="AV152" t="n">
        <v>0</v>
      </c>
      <c r="AW152" t="n">
        <v>123.18</v>
      </c>
      <c r="AX152" t="inlineStr">
        <is>
          <t>settled</t>
        </is>
      </c>
      <c r="AY152" t="inlineStr">
        <is>
          <t>2026-01-28 05:30:00</t>
        </is>
      </c>
      <c r="AZ152" t="inlineStr">
        <is>
          <t>CITIN26611504159</t>
        </is>
      </c>
      <c r="BA152" t="n">
        <v>0</v>
      </c>
      <c r="BB152" t="inlineStr">
        <is>
          <t>981bd64341e87ed3054732db2783bb812130cd2ac7b5dd59f85f8feb76874edc</t>
        </is>
      </c>
    </row>
    <row r="153">
      <c r="A153" t="inlineStr">
        <is>
          <t>148</t>
        </is>
      </c>
      <c r="B153" t="inlineStr">
        <is>
          <t>7711400985</t>
        </is>
      </c>
      <c r="C153" t="inlineStr">
        <is>
          <t>2026-01-22 01:18:11</t>
        </is>
      </c>
      <c r="D153" t="inlineStr">
        <is>
          <t>4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NA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219</v>
      </c>
      <c r="P153" t="n">
        <v>3.5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11.13</v>
      </c>
      <c r="W153" t="n">
        <v>233.63</v>
      </c>
      <c r="X153" t="n">
        <v>222.5</v>
      </c>
      <c r="Y153" t="n">
        <v>19</v>
      </c>
      <c r="Z153" t="n">
        <v>42.28</v>
      </c>
      <c r="AA153" t="n">
        <v>4.3</v>
      </c>
      <c r="AB153" t="n">
        <v>46.58</v>
      </c>
      <c r="AC153" t="n">
        <v>8.380000000000001</v>
      </c>
      <c r="AD153" t="n">
        <v>0</v>
      </c>
      <c r="AE153" t="n">
        <v>222.5</v>
      </c>
      <c r="AF153" t="n">
        <v>0</v>
      </c>
      <c r="AG153" t="n">
        <v>0</v>
      </c>
      <c r="AH153" t="n">
        <v>0.22</v>
      </c>
      <c r="AI153" t="n">
        <v>11.13</v>
      </c>
      <c r="AJ153" t="n">
        <v>0</v>
      </c>
      <c r="AK153" t="n">
        <v>19.73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66.31</v>
      </c>
      <c r="AV153" t="n">
        <v>0</v>
      </c>
      <c r="AW153" t="n">
        <v>167.32</v>
      </c>
      <c r="AX153" t="inlineStr">
        <is>
          <t>settled</t>
        </is>
      </c>
      <c r="AY153" t="inlineStr">
        <is>
          <t>2026-01-28 05:30:00</t>
        </is>
      </c>
      <c r="AZ153" t="inlineStr">
        <is>
          <t>CITIN26611504159</t>
        </is>
      </c>
      <c r="BA153" t="n">
        <v>0</v>
      </c>
      <c r="BB153" t="inlineStr">
        <is>
          <t>3af6d80d643f9276b2b91631d3151c062db3a15c67d2884dac6b79a0bc7b044c</t>
        </is>
      </c>
    </row>
    <row r="154">
      <c r="A154" t="inlineStr">
        <is>
          <t>149</t>
        </is>
      </c>
      <c r="B154" t="inlineStr">
        <is>
          <t>7712013335</t>
        </is>
      </c>
      <c r="C154" t="inlineStr">
        <is>
          <t>2026-01-22 02:00:16</t>
        </is>
      </c>
      <c r="D154" t="inlineStr">
        <is>
          <t>4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NA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518</v>
      </c>
      <c r="P154" t="n">
        <v>3.5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26.08</v>
      </c>
      <c r="W154" t="n">
        <v>547.58</v>
      </c>
      <c r="X154" t="n">
        <v>521.5</v>
      </c>
      <c r="Y154" t="n">
        <v>19</v>
      </c>
      <c r="Z154" t="n">
        <v>99.08</v>
      </c>
      <c r="AA154" t="n">
        <v>10.08</v>
      </c>
      <c r="AB154" t="n">
        <v>109.16</v>
      </c>
      <c r="AC154" t="n">
        <v>19.64</v>
      </c>
      <c r="AD154" t="n">
        <v>0</v>
      </c>
      <c r="AE154" t="n">
        <v>521.5</v>
      </c>
      <c r="AF154" t="n">
        <v>0</v>
      </c>
      <c r="AG154" t="n">
        <v>0</v>
      </c>
      <c r="AH154" t="n">
        <v>0.52</v>
      </c>
      <c r="AI154" t="n">
        <v>26.08</v>
      </c>
      <c r="AJ154" t="n">
        <v>0</v>
      </c>
      <c r="AK154" t="n">
        <v>46.24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155.4</v>
      </c>
      <c r="AV154" t="n">
        <v>0</v>
      </c>
      <c r="AW154" t="n">
        <v>392.18</v>
      </c>
      <c r="AX154" t="inlineStr">
        <is>
          <t>settled</t>
        </is>
      </c>
      <c r="AY154" t="inlineStr">
        <is>
          <t>2026-01-28 05:30:00</t>
        </is>
      </c>
      <c r="AZ154" t="inlineStr">
        <is>
          <t>CITIN26611504159</t>
        </is>
      </c>
      <c r="BA154" t="n">
        <v>0</v>
      </c>
      <c r="BB154" t="inlineStr">
        <is>
          <t>3b3eedbc00075d74ef258fd0d5f29c15b8f460f036f8335a5e72559352053176</t>
        </is>
      </c>
    </row>
    <row r="155">
      <c r="A155" t="inlineStr">
        <is>
          <t>150</t>
        </is>
      </c>
      <c r="B155" t="inlineStr">
        <is>
          <t>7714753988</t>
        </is>
      </c>
      <c r="C155" t="inlineStr">
        <is>
          <t>2026-01-22 02:08:25</t>
        </is>
      </c>
      <c r="D155" t="inlineStr">
        <is>
          <t>4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30% off upto ₹75 (2025-06-25 - 2031-01-01)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229</v>
      </c>
      <c r="P155" t="n">
        <v>3.5</v>
      </c>
      <c r="Q155" t="n">
        <v>0</v>
      </c>
      <c r="R155" t="n">
        <v>68.7</v>
      </c>
      <c r="S155" t="n">
        <v>0</v>
      </c>
      <c r="T155" t="n">
        <v>0</v>
      </c>
      <c r="U155" t="n">
        <v>0</v>
      </c>
      <c r="V155" t="n">
        <v>8.19</v>
      </c>
      <c r="W155" t="n">
        <v>171.99</v>
      </c>
      <c r="X155" t="n">
        <v>163.8</v>
      </c>
      <c r="Y155" t="n">
        <v>19</v>
      </c>
      <c r="Z155" t="n">
        <v>31.12</v>
      </c>
      <c r="AA155" t="n">
        <v>3.16</v>
      </c>
      <c r="AB155" t="n">
        <v>34.28</v>
      </c>
      <c r="AC155" t="n">
        <v>6.17</v>
      </c>
      <c r="AD155" t="n">
        <v>0</v>
      </c>
      <c r="AE155" t="n">
        <v>163.8</v>
      </c>
      <c r="AF155" t="n">
        <v>0</v>
      </c>
      <c r="AG155" t="n">
        <v>0</v>
      </c>
      <c r="AH155" t="n">
        <v>0.16</v>
      </c>
      <c r="AI155" t="n">
        <v>8.199999999999999</v>
      </c>
      <c r="AJ155" t="n">
        <v>-0.01</v>
      </c>
      <c r="AK155" t="n">
        <v>14.53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48.81</v>
      </c>
      <c r="AV155" t="n">
        <v>0</v>
      </c>
      <c r="AW155" t="n">
        <v>123.18</v>
      </c>
      <c r="AX155" t="inlineStr">
        <is>
          <t>settled</t>
        </is>
      </c>
      <c r="AY155" t="inlineStr">
        <is>
          <t>2026-01-28 05:30:00</t>
        </is>
      </c>
      <c r="AZ155" t="inlineStr">
        <is>
          <t>CITIN26611504159</t>
        </is>
      </c>
      <c r="BA155" t="n">
        <v>0</v>
      </c>
      <c r="BB155" t="inlineStr">
        <is>
          <t>5e9ed294a9cf3db60c1d0debd1d3f88192408d6d9cc68861b8985ff8b1222cba</t>
        </is>
      </c>
    </row>
    <row r="156">
      <c r="A156" t="inlineStr">
        <is>
          <t>151</t>
        </is>
      </c>
      <c r="B156" t="inlineStr">
        <is>
          <t>7710577228</t>
        </is>
      </c>
      <c r="C156" t="inlineStr">
        <is>
          <t>2026-01-22 02:10:25</t>
        </is>
      </c>
      <c r="D156" t="inlineStr">
        <is>
          <t>4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30% off upto ₹75 (2025-06-25 - 2031-01-01)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229</v>
      </c>
      <c r="P156" t="n">
        <v>3.5</v>
      </c>
      <c r="Q156" t="n">
        <v>0</v>
      </c>
      <c r="R156" t="n">
        <v>68.7</v>
      </c>
      <c r="S156" t="n">
        <v>0</v>
      </c>
      <c r="T156" t="n">
        <v>0</v>
      </c>
      <c r="U156" t="n">
        <v>0</v>
      </c>
      <c r="V156" t="n">
        <v>8.19</v>
      </c>
      <c r="W156" t="n">
        <v>171.99</v>
      </c>
      <c r="X156" t="n">
        <v>163.8</v>
      </c>
      <c r="Y156" t="n">
        <v>19</v>
      </c>
      <c r="Z156" t="n">
        <v>31.12</v>
      </c>
      <c r="AA156" t="n">
        <v>3.16</v>
      </c>
      <c r="AB156" t="n">
        <v>34.28</v>
      </c>
      <c r="AC156" t="n">
        <v>6.17</v>
      </c>
      <c r="AD156" t="n">
        <v>0</v>
      </c>
      <c r="AE156" t="n">
        <v>163.8</v>
      </c>
      <c r="AF156" t="n">
        <v>0</v>
      </c>
      <c r="AG156" t="n">
        <v>0</v>
      </c>
      <c r="AH156" t="n">
        <v>0.16</v>
      </c>
      <c r="AI156" t="n">
        <v>8.199999999999999</v>
      </c>
      <c r="AJ156" t="n">
        <v>-0.01</v>
      </c>
      <c r="AK156" t="n">
        <v>14.53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48.81</v>
      </c>
      <c r="AV156" t="n">
        <v>0</v>
      </c>
      <c r="AW156" t="n">
        <v>123.18</v>
      </c>
      <c r="AX156" t="inlineStr">
        <is>
          <t>settled</t>
        </is>
      </c>
      <c r="AY156" t="inlineStr">
        <is>
          <t>2026-01-28 05:30:00</t>
        </is>
      </c>
      <c r="AZ156" t="inlineStr">
        <is>
          <t>CITIN26611504159</t>
        </is>
      </c>
      <c r="BA156" t="n">
        <v>0</v>
      </c>
      <c r="BB156" t="inlineStr">
        <is>
          <t>5a529d94c19790e201348d815823a6e4553c08000a85263dfb3d8024d944100f</t>
        </is>
      </c>
    </row>
    <row r="157">
      <c r="A157" t="inlineStr">
        <is>
          <t>152</t>
        </is>
      </c>
      <c r="B157" t="inlineStr">
        <is>
          <t>7715379169</t>
        </is>
      </c>
      <c r="C157" t="inlineStr">
        <is>
          <t>2026-01-22 02:29:07</t>
        </is>
      </c>
      <c r="D157" t="inlineStr">
        <is>
          <t>4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30% off upto ₹75 (2025-06-25 - 2031-01-01)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229</v>
      </c>
      <c r="P157" t="n">
        <v>3.5</v>
      </c>
      <c r="Q157" t="n">
        <v>0</v>
      </c>
      <c r="R157" t="n">
        <v>68.7</v>
      </c>
      <c r="S157" t="n">
        <v>0</v>
      </c>
      <c r="T157" t="n">
        <v>0</v>
      </c>
      <c r="U157" t="n">
        <v>0</v>
      </c>
      <c r="V157" t="n">
        <v>8.19</v>
      </c>
      <c r="W157" t="n">
        <v>171.99</v>
      </c>
      <c r="X157" t="n">
        <v>163.8</v>
      </c>
      <c r="Y157" t="n">
        <v>19</v>
      </c>
      <c r="Z157" t="n">
        <v>31.12</v>
      </c>
      <c r="AA157" t="n">
        <v>3.16</v>
      </c>
      <c r="AB157" t="n">
        <v>34.28</v>
      </c>
      <c r="AC157" t="n">
        <v>6.17</v>
      </c>
      <c r="AD157" t="n">
        <v>0</v>
      </c>
      <c r="AE157" t="n">
        <v>163.8</v>
      </c>
      <c r="AF157" t="n">
        <v>0</v>
      </c>
      <c r="AG157" t="n">
        <v>0</v>
      </c>
      <c r="AH157" t="n">
        <v>0.16</v>
      </c>
      <c r="AI157" t="n">
        <v>8.199999999999999</v>
      </c>
      <c r="AJ157" t="n">
        <v>-0.01</v>
      </c>
      <c r="AK157" t="n">
        <v>14.53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48.81</v>
      </c>
      <c r="AV157" t="n">
        <v>0</v>
      </c>
      <c r="AW157" t="n">
        <v>123.18</v>
      </c>
      <c r="AX157" t="inlineStr">
        <is>
          <t>settled</t>
        </is>
      </c>
      <c r="AY157" t="inlineStr">
        <is>
          <t>2026-01-28 05:30:00</t>
        </is>
      </c>
      <c r="AZ157" t="inlineStr">
        <is>
          <t>CITIN26611504159</t>
        </is>
      </c>
      <c r="BA157" t="n">
        <v>0</v>
      </c>
      <c r="BB157" t="inlineStr">
        <is>
          <t>26c58849057eb2fc88c1bca4bc3c349705c40bd730002e842c7b69d7210c5019</t>
        </is>
      </c>
    </row>
    <row r="158">
      <c r="A158" t="inlineStr">
        <is>
          <t>153</t>
        </is>
      </c>
      <c r="B158" t="inlineStr">
        <is>
          <t>7711056236</t>
        </is>
      </c>
      <c r="C158" t="inlineStr">
        <is>
          <t>2026-01-22 02:50:24</t>
        </is>
      </c>
      <c r="D158" t="inlineStr">
        <is>
          <t>4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219</v>
      </c>
      <c r="P158" t="n">
        <v>3.5</v>
      </c>
      <c r="Q158" t="n">
        <v>0</v>
      </c>
      <c r="R158" t="n">
        <v>65.7</v>
      </c>
      <c r="S158" t="n">
        <v>0</v>
      </c>
      <c r="T158" t="n">
        <v>0</v>
      </c>
      <c r="U158" t="n">
        <v>0</v>
      </c>
      <c r="V158" t="n">
        <v>7.84</v>
      </c>
      <c r="W158" t="n">
        <v>164.64</v>
      </c>
      <c r="X158" t="n">
        <v>156.8</v>
      </c>
      <c r="Y158" t="n">
        <v>19</v>
      </c>
      <c r="Z158" t="n">
        <v>29.79</v>
      </c>
      <c r="AA158" t="n">
        <v>3.03</v>
      </c>
      <c r="AB158" t="n">
        <v>32.82</v>
      </c>
      <c r="AC158" t="n">
        <v>5.91</v>
      </c>
      <c r="AD158" t="n">
        <v>0</v>
      </c>
      <c r="AE158" t="n">
        <v>156.8</v>
      </c>
      <c r="AF158" t="n">
        <v>0</v>
      </c>
      <c r="AG158" t="n">
        <v>0</v>
      </c>
      <c r="AH158" t="n">
        <v>0.16</v>
      </c>
      <c r="AI158" t="n">
        <v>7.85</v>
      </c>
      <c r="AJ158" t="n">
        <v>-0.01</v>
      </c>
      <c r="AK158" t="n">
        <v>13.92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46.74</v>
      </c>
      <c r="AV158" t="n">
        <v>0</v>
      </c>
      <c r="AW158" t="n">
        <v>117.9</v>
      </c>
      <c r="AX158" t="inlineStr">
        <is>
          <t>settled</t>
        </is>
      </c>
      <c r="AY158" t="inlineStr">
        <is>
          <t>2026-01-28 05:30:00</t>
        </is>
      </c>
      <c r="AZ158" t="inlineStr">
        <is>
          <t>CITIN26611504159</t>
        </is>
      </c>
      <c r="BA158" t="n">
        <v>0</v>
      </c>
      <c r="BB158" t="inlineStr">
        <is>
          <t>fbed5de5274cb4779fab33727408724a24818afb8e6dafa3f25d37e0a4b9d22e</t>
        </is>
      </c>
    </row>
    <row r="159">
      <c r="A159" t="inlineStr">
        <is>
          <t>154</t>
        </is>
      </c>
      <c r="B159" t="inlineStr">
        <is>
          <t>7712453023</t>
        </is>
      </c>
      <c r="C159" t="inlineStr">
        <is>
          <t>2026-01-22 02:57:41</t>
        </is>
      </c>
      <c r="D159" t="inlineStr">
        <is>
          <t>4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NA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219</v>
      </c>
      <c r="P159" t="n">
        <v>3.5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11.13</v>
      </c>
      <c r="W159" t="n">
        <v>233.63</v>
      </c>
      <c r="X159" t="n">
        <v>222.5</v>
      </c>
      <c r="Y159" t="n">
        <v>19</v>
      </c>
      <c r="Z159" t="n">
        <v>42.28</v>
      </c>
      <c r="AA159" t="n">
        <v>4.3</v>
      </c>
      <c r="AB159" t="n">
        <v>46.58</v>
      </c>
      <c r="AC159" t="n">
        <v>8.380000000000001</v>
      </c>
      <c r="AD159" t="n">
        <v>0</v>
      </c>
      <c r="AE159" t="n">
        <v>222.5</v>
      </c>
      <c r="AF159" t="n">
        <v>0</v>
      </c>
      <c r="AG159" t="n">
        <v>0</v>
      </c>
      <c r="AH159" t="n">
        <v>0.22</v>
      </c>
      <c r="AI159" t="n">
        <v>11.13</v>
      </c>
      <c r="AJ159" t="n">
        <v>0</v>
      </c>
      <c r="AK159" t="n">
        <v>19.73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66.31</v>
      </c>
      <c r="AV159" t="n">
        <v>0</v>
      </c>
      <c r="AW159" t="n">
        <v>167.32</v>
      </c>
      <c r="AX159" t="inlineStr">
        <is>
          <t>settled</t>
        </is>
      </c>
      <c r="AY159" t="inlineStr">
        <is>
          <t>2026-01-28 05:30:00</t>
        </is>
      </c>
      <c r="AZ159" t="inlineStr">
        <is>
          <t>CITIN26611504159</t>
        </is>
      </c>
      <c r="BA159" t="n">
        <v>0</v>
      </c>
      <c r="BB159" t="inlineStr">
        <is>
          <t>54d84c227a18e74f0b6640ff4c0c8fcb3c8943c48990ae77891af2f163918b37</t>
        </is>
      </c>
    </row>
    <row r="160">
      <c r="A160" t="inlineStr">
        <is>
          <t>155</t>
        </is>
      </c>
      <c r="B160" t="inlineStr">
        <is>
          <t>7712204695</t>
        </is>
      </c>
      <c r="C160" t="inlineStr">
        <is>
          <t>2026-01-22 03:10:23</t>
        </is>
      </c>
      <c r="D160" t="inlineStr">
        <is>
          <t>4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229</v>
      </c>
      <c r="P160" t="n">
        <v>3.5</v>
      </c>
      <c r="Q160" t="n">
        <v>0</v>
      </c>
      <c r="R160" t="n">
        <v>68.7</v>
      </c>
      <c r="S160" t="n">
        <v>0</v>
      </c>
      <c r="T160" t="n">
        <v>0</v>
      </c>
      <c r="U160" t="n">
        <v>0</v>
      </c>
      <c r="V160" t="n">
        <v>8.19</v>
      </c>
      <c r="W160" t="n">
        <v>171.99</v>
      </c>
      <c r="X160" t="n">
        <v>163.8</v>
      </c>
      <c r="Y160" t="n">
        <v>19</v>
      </c>
      <c r="Z160" t="n">
        <v>31.12</v>
      </c>
      <c r="AA160" t="n">
        <v>3.16</v>
      </c>
      <c r="AB160" t="n">
        <v>34.28</v>
      </c>
      <c r="AC160" t="n">
        <v>6.17</v>
      </c>
      <c r="AD160" t="n">
        <v>0</v>
      </c>
      <c r="AE160" t="n">
        <v>163.8</v>
      </c>
      <c r="AF160" t="n">
        <v>0</v>
      </c>
      <c r="AG160" t="n">
        <v>0</v>
      </c>
      <c r="AH160" t="n">
        <v>0.16</v>
      </c>
      <c r="AI160" t="n">
        <v>8.199999999999999</v>
      </c>
      <c r="AJ160" t="n">
        <v>-0.01</v>
      </c>
      <c r="AK160" t="n">
        <v>14.53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48.81</v>
      </c>
      <c r="AV160" t="n">
        <v>0</v>
      </c>
      <c r="AW160" t="n">
        <v>123.18</v>
      </c>
      <c r="AX160" t="inlineStr">
        <is>
          <t>settled</t>
        </is>
      </c>
      <c r="AY160" t="inlineStr">
        <is>
          <t>2026-01-28 05:30:00</t>
        </is>
      </c>
      <c r="AZ160" t="inlineStr">
        <is>
          <t>CITIN26611504159</t>
        </is>
      </c>
      <c r="BA160" t="n">
        <v>0</v>
      </c>
      <c r="BB160" t="inlineStr">
        <is>
          <t>b77ad4ac6e6f8dc9d5bfeb1e8e0fb20761dafb8e06d01ec74c97a074d65652ba</t>
        </is>
      </c>
    </row>
    <row r="161">
      <c r="A161" t="inlineStr">
        <is>
          <t>156</t>
        </is>
      </c>
      <c r="B161" t="inlineStr">
        <is>
          <t>7705963923</t>
        </is>
      </c>
      <c r="C161" t="inlineStr">
        <is>
          <t>2026-01-22 03:12:16</t>
        </is>
      </c>
      <c r="D161" t="inlineStr">
        <is>
          <t>4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229</v>
      </c>
      <c r="P161" t="n">
        <v>3.5</v>
      </c>
      <c r="Q161" t="n">
        <v>0</v>
      </c>
      <c r="R161" t="n">
        <v>68.7</v>
      </c>
      <c r="S161" t="n">
        <v>0</v>
      </c>
      <c r="T161" t="n">
        <v>0</v>
      </c>
      <c r="U161" t="n">
        <v>0</v>
      </c>
      <c r="V161" t="n">
        <v>8.19</v>
      </c>
      <c r="W161" t="n">
        <v>171.99</v>
      </c>
      <c r="X161" t="n">
        <v>163.8</v>
      </c>
      <c r="Y161" t="n">
        <v>19</v>
      </c>
      <c r="Z161" t="n">
        <v>31.12</v>
      </c>
      <c r="AA161" t="n">
        <v>3.16</v>
      </c>
      <c r="AB161" t="n">
        <v>34.28</v>
      </c>
      <c r="AC161" t="n">
        <v>6.17</v>
      </c>
      <c r="AD161" t="n">
        <v>0</v>
      </c>
      <c r="AE161" t="n">
        <v>163.8</v>
      </c>
      <c r="AF161" t="n">
        <v>0</v>
      </c>
      <c r="AG161" t="n">
        <v>0</v>
      </c>
      <c r="AH161" t="n">
        <v>0.16</v>
      </c>
      <c r="AI161" t="n">
        <v>8.199999999999999</v>
      </c>
      <c r="AJ161" t="n">
        <v>-0.01</v>
      </c>
      <c r="AK161" t="n">
        <v>14.53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48.81</v>
      </c>
      <c r="AV161" t="n">
        <v>0</v>
      </c>
      <c r="AW161" t="n">
        <v>123.18</v>
      </c>
      <c r="AX161" t="inlineStr">
        <is>
          <t>settled</t>
        </is>
      </c>
      <c r="AY161" t="inlineStr">
        <is>
          <t>2026-01-28 05:30:00</t>
        </is>
      </c>
      <c r="AZ161" t="inlineStr">
        <is>
          <t>CITIN26611504159</t>
        </is>
      </c>
      <c r="BA161" t="n">
        <v>0</v>
      </c>
      <c r="BB161" t="inlineStr">
        <is>
          <t>26d1e4a058f6180c5b7830476c2dd8053156b8a1d68b991444770f7913235231</t>
        </is>
      </c>
    </row>
    <row r="162">
      <c r="A162" t="inlineStr">
        <is>
          <t>157</t>
        </is>
      </c>
      <c r="B162" t="inlineStr">
        <is>
          <t>7715155821</t>
        </is>
      </c>
      <c r="C162" t="inlineStr">
        <is>
          <t>2026-01-22 03:42:55</t>
        </is>
      </c>
      <c r="D162" t="inlineStr">
        <is>
          <t>4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30% off upto ₹75 (2025-06-25 - 2031-01-01)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199</v>
      </c>
      <c r="P162" t="n">
        <v>3.5</v>
      </c>
      <c r="Q162" t="n">
        <v>0</v>
      </c>
      <c r="R162" t="n">
        <v>59.7</v>
      </c>
      <c r="S162" t="n">
        <v>0</v>
      </c>
      <c r="T162" t="n">
        <v>0</v>
      </c>
      <c r="U162" t="n">
        <v>0</v>
      </c>
      <c r="V162" t="n">
        <v>7.14</v>
      </c>
      <c r="W162" t="n">
        <v>149.94</v>
      </c>
      <c r="X162" t="n">
        <v>142.8</v>
      </c>
      <c r="Y162" t="n">
        <v>19</v>
      </c>
      <c r="Z162" t="n">
        <v>27.13</v>
      </c>
      <c r="AA162" t="n">
        <v>2.76</v>
      </c>
      <c r="AB162" t="n">
        <v>29.89</v>
      </c>
      <c r="AC162" t="n">
        <v>5.38</v>
      </c>
      <c r="AD162" t="n">
        <v>0</v>
      </c>
      <c r="AE162" t="n">
        <v>142.8</v>
      </c>
      <c r="AF162" t="n">
        <v>0</v>
      </c>
      <c r="AG162" t="n">
        <v>0</v>
      </c>
      <c r="AH162" t="n">
        <v>0.14</v>
      </c>
      <c r="AI162" t="n">
        <v>7.15</v>
      </c>
      <c r="AJ162" t="n">
        <v>-0.01</v>
      </c>
      <c r="AK162" t="n">
        <v>12.67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42.56</v>
      </c>
      <c r="AV162" t="n">
        <v>0</v>
      </c>
      <c r="AW162" t="n">
        <v>107.38</v>
      </c>
      <c r="AX162" t="inlineStr">
        <is>
          <t>settled</t>
        </is>
      </c>
      <c r="AY162" t="inlineStr">
        <is>
          <t>2026-01-28 05:30:00</t>
        </is>
      </c>
      <c r="AZ162" t="inlineStr">
        <is>
          <t>CITIN26611504159</t>
        </is>
      </c>
      <c r="BA162" t="n">
        <v>0</v>
      </c>
      <c r="BB162" t="inlineStr">
        <is>
          <t>32f8d18fed18aa541f4d8917de73fe54d981a0e4de136f7e867bb1840239f8a4</t>
        </is>
      </c>
    </row>
    <row r="163">
      <c r="A163" t="inlineStr">
        <is>
          <t>158</t>
        </is>
      </c>
      <c r="B163" t="inlineStr">
        <is>
          <t>7713327270</t>
        </is>
      </c>
      <c r="C163" t="inlineStr">
        <is>
          <t>2026-01-22 11:14:23</t>
        </is>
      </c>
      <c r="D163" t="inlineStr">
        <is>
          <t>4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229</v>
      </c>
      <c r="P163" t="n">
        <v>3.5</v>
      </c>
      <c r="Q163" t="n">
        <v>0</v>
      </c>
      <c r="R163" t="n">
        <v>68.7</v>
      </c>
      <c r="S163" t="n">
        <v>0</v>
      </c>
      <c r="T163" t="n">
        <v>0</v>
      </c>
      <c r="U163" t="n">
        <v>0</v>
      </c>
      <c r="V163" t="n">
        <v>8.19</v>
      </c>
      <c r="W163" t="n">
        <v>171.99</v>
      </c>
      <c r="X163" t="n">
        <v>163.8</v>
      </c>
      <c r="Y163" t="n">
        <v>19</v>
      </c>
      <c r="Z163" t="n">
        <v>31.12</v>
      </c>
      <c r="AA163" t="n">
        <v>3.16</v>
      </c>
      <c r="AB163" t="n">
        <v>34.28</v>
      </c>
      <c r="AC163" t="n">
        <v>6.17</v>
      </c>
      <c r="AD163" t="n">
        <v>0</v>
      </c>
      <c r="AE163" t="n">
        <v>163.8</v>
      </c>
      <c r="AF163" t="n">
        <v>0</v>
      </c>
      <c r="AG163" t="n">
        <v>0</v>
      </c>
      <c r="AH163" t="n">
        <v>0.16</v>
      </c>
      <c r="AI163" t="n">
        <v>8.199999999999999</v>
      </c>
      <c r="AJ163" t="n">
        <v>-0.01</v>
      </c>
      <c r="AK163" t="n">
        <v>14.53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48.81</v>
      </c>
      <c r="AV163" t="n">
        <v>0</v>
      </c>
      <c r="AW163" t="n">
        <v>123.18</v>
      </c>
      <c r="AX163" t="inlineStr">
        <is>
          <t>settled</t>
        </is>
      </c>
      <c r="AY163" t="inlineStr">
        <is>
          <t>2026-01-28 05:30:00</t>
        </is>
      </c>
      <c r="AZ163" t="inlineStr">
        <is>
          <t>CITIN26611504159</t>
        </is>
      </c>
      <c r="BA163" t="n">
        <v>0</v>
      </c>
      <c r="BB163" t="inlineStr">
        <is>
          <t>572d618afa83979bda309936027f9dc2aee0c124acbccd493219f2eff4647054</t>
        </is>
      </c>
    </row>
    <row r="164">
      <c r="A164" t="inlineStr">
        <is>
          <t>159</t>
        </is>
      </c>
      <c r="B164" t="inlineStr">
        <is>
          <t>7711773831</t>
        </is>
      </c>
      <c r="C164" t="inlineStr">
        <is>
          <t>2026-01-22 13:52:20</t>
        </is>
      </c>
      <c r="D164" t="inlineStr">
        <is>
          <t>4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NA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229</v>
      </c>
      <c r="P164" t="n">
        <v>3.5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11.63</v>
      </c>
      <c r="W164" t="n">
        <v>244.13</v>
      </c>
      <c r="X164" t="n">
        <v>232.5</v>
      </c>
      <c r="Y164" t="n">
        <v>19</v>
      </c>
      <c r="Z164" t="n">
        <v>44.18</v>
      </c>
      <c r="AA164" t="n">
        <v>4.49</v>
      </c>
      <c r="AB164" t="n">
        <v>48.67</v>
      </c>
      <c r="AC164" t="n">
        <v>8.76</v>
      </c>
      <c r="AD164" t="n">
        <v>0</v>
      </c>
      <c r="AE164" t="n">
        <v>232.5</v>
      </c>
      <c r="AF164" t="n">
        <v>0</v>
      </c>
      <c r="AG164" t="n">
        <v>0</v>
      </c>
      <c r="AH164" t="n">
        <v>0.23</v>
      </c>
      <c r="AI164" t="n">
        <v>11.63</v>
      </c>
      <c r="AJ164" t="n">
        <v>0</v>
      </c>
      <c r="AK164" t="n">
        <v>20.62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69.29000000000001</v>
      </c>
      <c r="AV164" t="n">
        <v>0</v>
      </c>
      <c r="AW164" t="n">
        <v>174.84</v>
      </c>
      <c r="AX164" t="inlineStr">
        <is>
          <t>settled</t>
        </is>
      </c>
      <c r="AY164" t="inlineStr">
        <is>
          <t>2026-01-28 05:30:00</t>
        </is>
      </c>
      <c r="AZ164" t="inlineStr">
        <is>
          <t>CITIN26611504159</t>
        </is>
      </c>
      <c r="BA164" t="n">
        <v>0</v>
      </c>
      <c r="BB164" t="inlineStr">
        <is>
          <t>029bfcd63e50f152c4f6504b36d79b28f6f7e71e1d62b1a8e80b591f56926b46</t>
        </is>
      </c>
    </row>
    <row r="165">
      <c r="A165" t="inlineStr">
        <is>
          <t>160</t>
        </is>
      </c>
      <c r="B165" t="inlineStr">
        <is>
          <t>7713107269</t>
        </is>
      </c>
      <c r="C165" t="inlineStr">
        <is>
          <t>2026-01-22 14:09:02</t>
        </is>
      </c>
      <c r="D165" t="inlineStr">
        <is>
          <t>4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229</v>
      </c>
      <c r="P165" t="n">
        <v>3.5</v>
      </c>
      <c r="Q165" t="n">
        <v>0</v>
      </c>
      <c r="R165" t="n">
        <v>68.7</v>
      </c>
      <c r="S165" t="n">
        <v>0</v>
      </c>
      <c r="T165" t="n">
        <v>0</v>
      </c>
      <c r="U165" t="n">
        <v>0</v>
      </c>
      <c r="V165" t="n">
        <v>8.19</v>
      </c>
      <c r="W165" t="n">
        <v>171.99</v>
      </c>
      <c r="X165" t="n">
        <v>163.8</v>
      </c>
      <c r="Y165" t="n">
        <v>19</v>
      </c>
      <c r="Z165" t="n">
        <v>31.12</v>
      </c>
      <c r="AA165" t="n">
        <v>3.16</v>
      </c>
      <c r="AB165" t="n">
        <v>34.28</v>
      </c>
      <c r="AC165" t="n">
        <v>6.17</v>
      </c>
      <c r="AD165" t="n">
        <v>0</v>
      </c>
      <c r="AE165" t="n">
        <v>163.8</v>
      </c>
      <c r="AF165" t="n">
        <v>0</v>
      </c>
      <c r="AG165" t="n">
        <v>0</v>
      </c>
      <c r="AH165" t="n">
        <v>0.16</v>
      </c>
      <c r="AI165" t="n">
        <v>8.199999999999999</v>
      </c>
      <c r="AJ165" t="n">
        <v>-0.01</v>
      </c>
      <c r="AK165" t="n">
        <v>14.53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48.81</v>
      </c>
      <c r="AV165" t="n">
        <v>0</v>
      </c>
      <c r="AW165" t="n">
        <v>123.18</v>
      </c>
      <c r="AX165" t="inlineStr">
        <is>
          <t>settled</t>
        </is>
      </c>
      <c r="AY165" t="inlineStr">
        <is>
          <t>2026-01-28 05:30:00</t>
        </is>
      </c>
      <c r="AZ165" t="inlineStr">
        <is>
          <t>CITIN26611504159</t>
        </is>
      </c>
      <c r="BA165" t="n">
        <v>0</v>
      </c>
      <c r="BB165" t="inlineStr">
        <is>
          <t>b51f6f0f149b353071820c5eeae5c753056d5bc916c5b88cde4decd5cb2e4907</t>
        </is>
      </c>
    </row>
    <row r="166">
      <c r="A166" t="inlineStr">
        <is>
          <t>161</t>
        </is>
      </c>
      <c r="B166" t="inlineStr">
        <is>
          <t>7715410576</t>
        </is>
      </c>
      <c r="C166" t="inlineStr">
        <is>
          <t>2026-01-22 16:31:11</t>
        </is>
      </c>
      <c r="D166" t="inlineStr">
        <is>
          <t>4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345</v>
      </c>
      <c r="P166" t="n">
        <v>3.5</v>
      </c>
      <c r="Q166" t="n">
        <v>0</v>
      </c>
      <c r="R166" t="n">
        <v>75</v>
      </c>
      <c r="S166" t="n">
        <v>0</v>
      </c>
      <c r="T166" t="n">
        <v>0</v>
      </c>
      <c r="U166" t="n">
        <v>0</v>
      </c>
      <c r="V166" t="n">
        <v>13.68</v>
      </c>
      <c r="W166" t="n">
        <v>287.18</v>
      </c>
      <c r="X166" t="n">
        <v>273.5</v>
      </c>
      <c r="Y166" t="n">
        <v>19</v>
      </c>
      <c r="Z166" t="n">
        <v>51.96</v>
      </c>
      <c r="AA166" t="n">
        <v>5.28</v>
      </c>
      <c r="AB166" t="n">
        <v>57.24</v>
      </c>
      <c r="AC166" t="n">
        <v>10.3</v>
      </c>
      <c r="AD166" t="n">
        <v>0</v>
      </c>
      <c r="AE166" t="n">
        <v>273.5</v>
      </c>
      <c r="AF166" t="n">
        <v>0</v>
      </c>
      <c r="AG166" t="n">
        <v>0</v>
      </c>
      <c r="AH166" t="n">
        <v>0.27</v>
      </c>
      <c r="AI166" t="n">
        <v>13.68</v>
      </c>
      <c r="AJ166" t="n">
        <v>0</v>
      </c>
      <c r="AK166" t="n">
        <v>24.25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81.48999999999999</v>
      </c>
      <c r="AV166" t="n">
        <v>0</v>
      </c>
      <c r="AW166" t="n">
        <v>205.69</v>
      </c>
      <c r="AX166" t="inlineStr">
        <is>
          <t>settled</t>
        </is>
      </c>
      <c r="AY166" t="inlineStr">
        <is>
          <t>2026-01-28 05:30:00</t>
        </is>
      </c>
      <c r="AZ166" t="inlineStr">
        <is>
          <t>CITIN26611504159</t>
        </is>
      </c>
      <c r="BA166" t="n">
        <v>0</v>
      </c>
      <c r="BB166" t="inlineStr">
        <is>
          <t>827a72eed591d3a1a7f53f9d5a404a4e1b98d1a72ba1582679eb72b512800a0d</t>
        </is>
      </c>
    </row>
    <row r="167">
      <c r="A167" t="inlineStr">
        <is>
          <t>162</t>
        </is>
      </c>
      <c r="B167" t="inlineStr">
        <is>
          <t>7714944590</t>
        </is>
      </c>
      <c r="C167" t="inlineStr">
        <is>
          <t>2026-01-22 16:44:08</t>
        </is>
      </c>
      <c r="D167" t="inlineStr">
        <is>
          <t>4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NA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345</v>
      </c>
      <c r="P167" t="n">
        <v>3.5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17.43</v>
      </c>
      <c r="W167" t="n">
        <v>365.93</v>
      </c>
      <c r="X167" t="n">
        <v>348.5</v>
      </c>
      <c r="Y167" t="n">
        <v>19</v>
      </c>
      <c r="Z167" t="n">
        <v>66.22</v>
      </c>
      <c r="AA167" t="n">
        <v>6.73</v>
      </c>
      <c r="AB167" t="n">
        <v>72.95</v>
      </c>
      <c r="AC167" t="n">
        <v>13.13</v>
      </c>
      <c r="AD167" t="n">
        <v>0</v>
      </c>
      <c r="AE167" t="n">
        <v>348.5</v>
      </c>
      <c r="AF167" t="n">
        <v>0</v>
      </c>
      <c r="AG167" t="n">
        <v>0</v>
      </c>
      <c r="AH167" t="n">
        <v>0.35</v>
      </c>
      <c r="AI167" t="n">
        <v>17.43</v>
      </c>
      <c r="AJ167" t="n">
        <v>0</v>
      </c>
      <c r="AK167" t="n">
        <v>30.91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103.86</v>
      </c>
      <c r="AV167" t="n">
        <v>0</v>
      </c>
      <c r="AW167" t="n">
        <v>262.07</v>
      </c>
      <c r="AX167" t="inlineStr">
        <is>
          <t>settled</t>
        </is>
      </c>
      <c r="AY167" t="inlineStr">
        <is>
          <t>2026-01-28 05:30:00</t>
        </is>
      </c>
      <c r="AZ167" t="inlineStr">
        <is>
          <t>CITIN26611504159</t>
        </is>
      </c>
      <c r="BA167" t="n">
        <v>0</v>
      </c>
      <c r="BB167" t="inlineStr">
        <is>
          <t>9c50c7298f669e4a91f2458212858c7f4fb7483c39bd7629e12e1e2137ffb7e1</t>
        </is>
      </c>
    </row>
    <row r="168">
      <c r="A168" t="inlineStr">
        <is>
          <t>163</t>
        </is>
      </c>
      <c r="B168" t="inlineStr">
        <is>
          <t>7715180439</t>
        </is>
      </c>
      <c r="C168" t="inlineStr">
        <is>
          <t>2026-01-22 17:26:59</t>
        </is>
      </c>
      <c r="D168" t="inlineStr">
        <is>
          <t>4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30% off upto ₹75 (2025-06-25 - 2031-01-01)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229</v>
      </c>
      <c r="P168" t="n">
        <v>3.5</v>
      </c>
      <c r="Q168" t="n">
        <v>0</v>
      </c>
      <c r="R168" t="n">
        <v>68.7</v>
      </c>
      <c r="S168" t="n">
        <v>0</v>
      </c>
      <c r="T168" t="n">
        <v>0</v>
      </c>
      <c r="U168" t="n">
        <v>0</v>
      </c>
      <c r="V168" t="n">
        <v>8.19</v>
      </c>
      <c r="W168" t="n">
        <v>171.99</v>
      </c>
      <c r="X168" t="n">
        <v>163.8</v>
      </c>
      <c r="Y168" t="n">
        <v>19</v>
      </c>
      <c r="Z168" t="n">
        <v>31.12</v>
      </c>
      <c r="AA168" t="n">
        <v>3.16</v>
      </c>
      <c r="AB168" t="n">
        <v>34.28</v>
      </c>
      <c r="AC168" t="n">
        <v>6.17</v>
      </c>
      <c r="AD168" t="n">
        <v>0</v>
      </c>
      <c r="AE168" t="n">
        <v>163.8</v>
      </c>
      <c r="AF168" t="n">
        <v>0</v>
      </c>
      <c r="AG168" t="n">
        <v>0</v>
      </c>
      <c r="AH168" t="n">
        <v>0.16</v>
      </c>
      <c r="AI168" t="n">
        <v>8.199999999999999</v>
      </c>
      <c r="AJ168" t="n">
        <v>-0.01</v>
      </c>
      <c r="AK168" t="n">
        <v>14.53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48.81</v>
      </c>
      <c r="AV168" t="n">
        <v>0</v>
      </c>
      <c r="AW168" t="n">
        <v>123.18</v>
      </c>
      <c r="AX168" t="inlineStr">
        <is>
          <t>settled</t>
        </is>
      </c>
      <c r="AY168" t="inlineStr">
        <is>
          <t>2026-01-28 05:30:00</t>
        </is>
      </c>
      <c r="AZ168" t="inlineStr">
        <is>
          <t>CITIN26611504159</t>
        </is>
      </c>
      <c r="BA168" t="n">
        <v>0</v>
      </c>
      <c r="BB168" t="inlineStr">
        <is>
          <t>66f9109d451f65658e47602abb95b90ba77893174f1b3489a1f354247a5965e1</t>
        </is>
      </c>
    </row>
    <row r="169">
      <c r="A169" t="inlineStr">
        <is>
          <t>164</t>
        </is>
      </c>
      <c r="B169" t="inlineStr">
        <is>
          <t>7716355419</t>
        </is>
      </c>
      <c r="C169" t="inlineStr">
        <is>
          <t>2026-01-22 17:30:42</t>
        </is>
      </c>
      <c r="D169" t="inlineStr">
        <is>
          <t>4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229</v>
      </c>
      <c r="P169" t="n">
        <v>3.5</v>
      </c>
      <c r="Q169" t="n">
        <v>0</v>
      </c>
      <c r="R169" t="n">
        <v>68.7</v>
      </c>
      <c r="S169" t="n">
        <v>0</v>
      </c>
      <c r="T169" t="n">
        <v>0</v>
      </c>
      <c r="U169" t="n">
        <v>0</v>
      </c>
      <c r="V169" t="n">
        <v>8.19</v>
      </c>
      <c r="W169" t="n">
        <v>171.99</v>
      </c>
      <c r="X169" t="n">
        <v>163.8</v>
      </c>
      <c r="Y169" t="n">
        <v>19</v>
      </c>
      <c r="Z169" t="n">
        <v>31.12</v>
      </c>
      <c r="AA169" t="n">
        <v>3.16</v>
      </c>
      <c r="AB169" t="n">
        <v>34.28</v>
      </c>
      <c r="AC169" t="n">
        <v>6.17</v>
      </c>
      <c r="AD169" t="n">
        <v>0</v>
      </c>
      <c r="AE169" t="n">
        <v>163.8</v>
      </c>
      <c r="AF169" t="n">
        <v>0</v>
      </c>
      <c r="AG169" t="n">
        <v>0</v>
      </c>
      <c r="AH169" t="n">
        <v>0.16</v>
      </c>
      <c r="AI169" t="n">
        <v>8.199999999999999</v>
      </c>
      <c r="AJ169" t="n">
        <v>-0.01</v>
      </c>
      <c r="AK169" t="n">
        <v>14.53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48.81</v>
      </c>
      <c r="AV169" t="n">
        <v>0</v>
      </c>
      <c r="AW169" t="n">
        <v>123.18</v>
      </c>
      <c r="AX169" t="inlineStr">
        <is>
          <t>settled</t>
        </is>
      </c>
      <c r="AY169" t="inlineStr">
        <is>
          <t>2026-01-28 05:30:00</t>
        </is>
      </c>
      <c r="AZ169" t="inlineStr">
        <is>
          <t>CITIN26611504159</t>
        </is>
      </c>
      <c r="BA169" t="n">
        <v>0</v>
      </c>
      <c r="BB169" t="inlineStr">
        <is>
          <t>42810a732fe856d8bbf970f1298f3e379ec8477c88383278c20a9e8adb464bca</t>
        </is>
      </c>
    </row>
    <row r="170">
      <c r="A170" t="inlineStr">
        <is>
          <t>165</t>
        </is>
      </c>
      <c r="B170" t="inlineStr">
        <is>
          <t>7711977309</t>
        </is>
      </c>
      <c r="C170" t="inlineStr">
        <is>
          <t>2026-01-22 17:38:22</t>
        </is>
      </c>
      <c r="D170" t="inlineStr">
        <is>
          <t>4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328</v>
      </c>
      <c r="P170" t="n">
        <v>3.5</v>
      </c>
      <c r="Q170" t="n">
        <v>0</v>
      </c>
      <c r="R170" t="n">
        <v>75</v>
      </c>
      <c r="S170" t="n">
        <v>0</v>
      </c>
      <c r="T170" t="n">
        <v>0</v>
      </c>
      <c r="U170" t="n">
        <v>0</v>
      </c>
      <c r="V170" t="n">
        <v>12.83</v>
      </c>
      <c r="W170" t="n">
        <v>269.33</v>
      </c>
      <c r="X170" t="n">
        <v>256.5</v>
      </c>
      <c r="Y170" t="n">
        <v>19</v>
      </c>
      <c r="Z170" t="n">
        <v>48.74</v>
      </c>
      <c r="AA170" t="n">
        <v>4.96</v>
      </c>
      <c r="AB170" t="n">
        <v>53.7</v>
      </c>
      <c r="AC170" t="n">
        <v>9.66</v>
      </c>
      <c r="AD170" t="n">
        <v>0</v>
      </c>
      <c r="AE170" t="n">
        <v>256.5</v>
      </c>
      <c r="AF170" t="n">
        <v>0</v>
      </c>
      <c r="AG170" t="n">
        <v>0</v>
      </c>
      <c r="AH170" t="n">
        <v>0.26</v>
      </c>
      <c r="AI170" t="n">
        <v>12.83</v>
      </c>
      <c r="AJ170" t="n">
        <v>0</v>
      </c>
      <c r="AK170" t="n">
        <v>22.75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76.45</v>
      </c>
      <c r="AV170" t="n">
        <v>0</v>
      </c>
      <c r="AW170" t="n">
        <v>192.88</v>
      </c>
      <c r="AX170" t="inlineStr">
        <is>
          <t>settled</t>
        </is>
      </c>
      <c r="AY170" t="inlineStr">
        <is>
          <t>2026-01-28 05:30:00</t>
        </is>
      </c>
      <c r="AZ170" t="inlineStr">
        <is>
          <t>CITIN26611504159</t>
        </is>
      </c>
      <c r="BA170" t="n">
        <v>0</v>
      </c>
      <c r="BB170" t="inlineStr">
        <is>
          <t>1e2719f42a40de53855414d7ac5ccb252a55fae035c67d1bd064cf6659f3afe6</t>
        </is>
      </c>
    </row>
    <row r="171">
      <c r="A171" t="inlineStr">
        <is>
          <t>166</t>
        </is>
      </c>
      <c r="B171" t="inlineStr">
        <is>
          <t>7715006467</t>
        </is>
      </c>
      <c r="C171" t="inlineStr">
        <is>
          <t>2026-01-22 18:05:08</t>
        </is>
      </c>
      <c r="D171" t="inlineStr">
        <is>
          <t>4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448</v>
      </c>
      <c r="P171" t="n">
        <v>3.5</v>
      </c>
      <c r="Q171" t="n">
        <v>0</v>
      </c>
      <c r="R171" t="n">
        <v>75</v>
      </c>
      <c r="S171" t="n">
        <v>0</v>
      </c>
      <c r="T171" t="n">
        <v>0</v>
      </c>
      <c r="U171" t="n">
        <v>0</v>
      </c>
      <c r="V171" t="n">
        <v>18.83</v>
      </c>
      <c r="W171" t="n">
        <v>395.33</v>
      </c>
      <c r="X171" t="n">
        <v>376.5</v>
      </c>
      <c r="Y171" t="n">
        <v>19</v>
      </c>
      <c r="Z171" t="n">
        <v>71.54000000000001</v>
      </c>
      <c r="AA171" t="n">
        <v>7.27</v>
      </c>
      <c r="AB171" t="n">
        <v>78.81</v>
      </c>
      <c r="AC171" t="n">
        <v>14.19</v>
      </c>
      <c r="AD171" t="n">
        <v>0</v>
      </c>
      <c r="AE171" t="n">
        <v>376.5</v>
      </c>
      <c r="AF171" t="n">
        <v>0</v>
      </c>
      <c r="AG171" t="n">
        <v>0</v>
      </c>
      <c r="AH171" t="n">
        <v>0.38</v>
      </c>
      <c r="AI171" t="n">
        <v>18.83</v>
      </c>
      <c r="AJ171" t="n">
        <v>0</v>
      </c>
      <c r="AK171" t="n">
        <v>33.4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112.21</v>
      </c>
      <c r="AV171" t="n">
        <v>0</v>
      </c>
      <c r="AW171" t="n">
        <v>283.12</v>
      </c>
      <c r="AX171" t="inlineStr">
        <is>
          <t>settled</t>
        </is>
      </c>
      <c r="AY171" t="inlineStr">
        <is>
          <t>2026-01-28 05:30:00</t>
        </is>
      </c>
      <c r="AZ171" t="inlineStr">
        <is>
          <t>CITIN26611504159</t>
        </is>
      </c>
      <c r="BA171" t="n">
        <v>0</v>
      </c>
      <c r="BB171" t="inlineStr">
        <is>
          <t>0189675e1ca591d9982ce79ded9fec301605a18b528afe9137221cd7dbc65622</t>
        </is>
      </c>
    </row>
    <row r="172">
      <c r="A172" t="inlineStr">
        <is>
          <t>167</t>
        </is>
      </c>
      <c r="B172" t="inlineStr">
        <is>
          <t>7715281727</t>
        </is>
      </c>
      <c r="C172" t="inlineStr">
        <is>
          <t>2026-01-22 19:20:34</t>
        </is>
      </c>
      <c r="D172" t="inlineStr">
        <is>
          <t>4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30% off upto ₹75 (2025-06-25 - 2031-01-01)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1472</v>
      </c>
      <c r="P172" t="n">
        <v>3.5</v>
      </c>
      <c r="Q172" t="n">
        <v>0</v>
      </c>
      <c r="R172" t="n">
        <v>75</v>
      </c>
      <c r="S172" t="n">
        <v>0</v>
      </c>
      <c r="T172" t="n">
        <v>0</v>
      </c>
      <c r="U172" t="n">
        <v>0</v>
      </c>
      <c r="V172" t="n">
        <v>70.03</v>
      </c>
      <c r="W172" t="n">
        <v>1470.53</v>
      </c>
      <c r="X172" t="n">
        <v>1400.5</v>
      </c>
      <c r="Y172" t="n">
        <v>19</v>
      </c>
      <c r="Z172" t="n">
        <v>266.1</v>
      </c>
      <c r="AA172" t="n">
        <v>27.06</v>
      </c>
      <c r="AB172" t="n">
        <v>293.16</v>
      </c>
      <c r="AC172" t="n">
        <v>52.77</v>
      </c>
      <c r="AD172" t="n">
        <v>0</v>
      </c>
      <c r="AE172" t="n">
        <v>1400.5</v>
      </c>
      <c r="AF172" t="n">
        <v>0</v>
      </c>
      <c r="AG172" t="n">
        <v>0</v>
      </c>
      <c r="AH172" t="n">
        <v>1.4</v>
      </c>
      <c r="AI172" t="n">
        <v>70.03</v>
      </c>
      <c r="AJ172" t="n">
        <v>0</v>
      </c>
      <c r="AK172" t="n">
        <v>124.2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417.36</v>
      </c>
      <c r="AV172" t="n">
        <v>0</v>
      </c>
      <c r="AW172" t="n">
        <v>1053.17</v>
      </c>
      <c r="AX172" t="inlineStr">
        <is>
          <t>settled</t>
        </is>
      </c>
      <c r="AY172" t="inlineStr">
        <is>
          <t>2026-01-28 05:30:00</t>
        </is>
      </c>
      <c r="AZ172" t="inlineStr">
        <is>
          <t>CITIN26611504159</t>
        </is>
      </c>
      <c r="BA172" t="n">
        <v>0</v>
      </c>
      <c r="BB172" t="inlineStr">
        <is>
          <t>dc01520751245b71cf6bef06966e5d2f024c785ea44e39c74bbe2411db8a2f07</t>
        </is>
      </c>
    </row>
    <row r="173">
      <c r="A173" t="inlineStr">
        <is>
          <t>168</t>
        </is>
      </c>
      <c r="B173" t="inlineStr">
        <is>
          <t>7705631760</t>
        </is>
      </c>
      <c r="C173" t="inlineStr">
        <is>
          <t>2026-01-22 19:49:04</t>
        </is>
      </c>
      <c r="D173" t="inlineStr">
        <is>
          <t>4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30% off upto ₹75 (2025-06-25 - 2031-01-01)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229</v>
      </c>
      <c r="P173" t="n">
        <v>3.5</v>
      </c>
      <c r="Q173" t="n">
        <v>0</v>
      </c>
      <c r="R173" t="n">
        <v>68.7</v>
      </c>
      <c r="S173" t="n">
        <v>0</v>
      </c>
      <c r="T173" t="n">
        <v>0</v>
      </c>
      <c r="U173" t="n">
        <v>0</v>
      </c>
      <c r="V173" t="n">
        <v>8.19</v>
      </c>
      <c r="W173" t="n">
        <v>171.99</v>
      </c>
      <c r="X173" t="n">
        <v>163.8</v>
      </c>
      <c r="Y173" t="n">
        <v>19</v>
      </c>
      <c r="Z173" t="n">
        <v>31.12</v>
      </c>
      <c r="AA173" t="n">
        <v>3.16</v>
      </c>
      <c r="AB173" t="n">
        <v>34.28</v>
      </c>
      <c r="AC173" t="n">
        <v>6.17</v>
      </c>
      <c r="AD173" t="n">
        <v>0</v>
      </c>
      <c r="AE173" t="n">
        <v>163.8</v>
      </c>
      <c r="AF173" t="n">
        <v>0</v>
      </c>
      <c r="AG173" t="n">
        <v>0</v>
      </c>
      <c r="AH173" t="n">
        <v>0.16</v>
      </c>
      <c r="AI173" t="n">
        <v>8.199999999999999</v>
      </c>
      <c r="AJ173" t="n">
        <v>-0.01</v>
      </c>
      <c r="AK173" t="n">
        <v>14.53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48.81</v>
      </c>
      <c r="AV173" t="n">
        <v>0</v>
      </c>
      <c r="AW173" t="n">
        <v>123.18</v>
      </c>
      <c r="AX173" t="inlineStr">
        <is>
          <t>settled</t>
        </is>
      </c>
      <c r="AY173" t="inlineStr">
        <is>
          <t>2026-01-28 05:30:00</t>
        </is>
      </c>
      <c r="AZ173" t="inlineStr">
        <is>
          <t>CITIN26611504159</t>
        </is>
      </c>
      <c r="BA173" t="n">
        <v>0</v>
      </c>
      <c r="BB173" t="inlineStr">
        <is>
          <t>0f96b26bab80ba3cbfcdb2b479265393ae7183660f643ab9b37d1d042e923443</t>
        </is>
      </c>
    </row>
    <row r="174">
      <c r="A174" t="inlineStr">
        <is>
          <t>169</t>
        </is>
      </c>
      <c r="B174" t="inlineStr">
        <is>
          <t>7715127834</t>
        </is>
      </c>
      <c r="C174" t="inlineStr">
        <is>
          <t>2026-01-22 19:50:42</t>
        </is>
      </c>
      <c r="D174" t="inlineStr">
        <is>
          <t>4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438</v>
      </c>
      <c r="P174" t="n">
        <v>3.5</v>
      </c>
      <c r="Q174" t="n">
        <v>0</v>
      </c>
      <c r="R174" t="n">
        <v>75</v>
      </c>
      <c r="S174" t="n">
        <v>0</v>
      </c>
      <c r="T174" t="n">
        <v>0</v>
      </c>
      <c r="U174" t="n">
        <v>0</v>
      </c>
      <c r="V174" t="n">
        <v>18.33</v>
      </c>
      <c r="W174" t="n">
        <v>384.83</v>
      </c>
      <c r="X174" t="n">
        <v>366.5</v>
      </c>
      <c r="Y174" t="n">
        <v>19</v>
      </c>
      <c r="Z174" t="n">
        <v>69.64</v>
      </c>
      <c r="AA174" t="n">
        <v>7.08</v>
      </c>
      <c r="AB174" t="n">
        <v>76.72</v>
      </c>
      <c r="AC174" t="n">
        <v>13.81</v>
      </c>
      <c r="AD174" t="n">
        <v>0</v>
      </c>
      <c r="AE174" t="n">
        <v>366.5</v>
      </c>
      <c r="AF174" t="n">
        <v>0</v>
      </c>
      <c r="AG174" t="n">
        <v>0</v>
      </c>
      <c r="AH174" t="n">
        <v>0.37</v>
      </c>
      <c r="AI174" t="n">
        <v>18.33</v>
      </c>
      <c r="AJ174" t="n">
        <v>0</v>
      </c>
      <c r="AK174" t="n">
        <v>32.51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109.23</v>
      </c>
      <c r="AV174" t="n">
        <v>0</v>
      </c>
      <c r="AW174" t="n">
        <v>275.6</v>
      </c>
      <c r="AX174" t="inlineStr">
        <is>
          <t>settled</t>
        </is>
      </c>
      <c r="AY174" t="inlineStr">
        <is>
          <t>2026-01-28 05:30:00</t>
        </is>
      </c>
      <c r="AZ174" t="inlineStr">
        <is>
          <t>CITIN26611504159</t>
        </is>
      </c>
      <c r="BA174" t="n">
        <v>0</v>
      </c>
      <c r="BB174" t="inlineStr">
        <is>
          <t>27db1aec00a2dbc4abd18a1a5ef89deed0c6d0df91f333aa87c6a2d3f7929512</t>
        </is>
      </c>
    </row>
    <row r="175">
      <c r="A175" t="inlineStr">
        <is>
          <t>170</t>
        </is>
      </c>
      <c r="B175" t="inlineStr">
        <is>
          <t>7709597203</t>
        </is>
      </c>
      <c r="C175" t="inlineStr">
        <is>
          <t>2026-01-22 20:07:22</t>
        </is>
      </c>
      <c r="D175" t="inlineStr">
        <is>
          <t>4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458</v>
      </c>
      <c r="P175" t="n">
        <v>3.5</v>
      </c>
      <c r="Q175" t="n">
        <v>0</v>
      </c>
      <c r="R175" t="n">
        <v>75</v>
      </c>
      <c r="S175" t="n">
        <v>0</v>
      </c>
      <c r="T175" t="n">
        <v>0</v>
      </c>
      <c r="U175" t="n">
        <v>0</v>
      </c>
      <c r="V175" t="n">
        <v>19.33</v>
      </c>
      <c r="W175" t="n">
        <v>405.83</v>
      </c>
      <c r="X175" t="n">
        <v>386.5</v>
      </c>
      <c r="Y175" t="n">
        <v>19</v>
      </c>
      <c r="Z175" t="n">
        <v>73.44</v>
      </c>
      <c r="AA175" t="n">
        <v>7.47</v>
      </c>
      <c r="AB175" t="n">
        <v>80.91</v>
      </c>
      <c r="AC175" t="n">
        <v>14.56</v>
      </c>
      <c r="AD175" t="n">
        <v>0</v>
      </c>
      <c r="AE175" t="n">
        <v>386.5</v>
      </c>
      <c r="AF175" t="n">
        <v>0</v>
      </c>
      <c r="AG175" t="n">
        <v>0</v>
      </c>
      <c r="AH175" t="n">
        <v>0.39</v>
      </c>
      <c r="AI175" t="n">
        <v>19.33</v>
      </c>
      <c r="AJ175" t="n">
        <v>0</v>
      </c>
      <c r="AK175" t="n">
        <v>34.28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115.19</v>
      </c>
      <c r="AV175" t="n">
        <v>0</v>
      </c>
      <c r="AW175" t="n">
        <v>290.64</v>
      </c>
      <c r="AX175" t="inlineStr">
        <is>
          <t>settled</t>
        </is>
      </c>
      <c r="AY175" t="inlineStr">
        <is>
          <t>2026-01-28 05:30:00</t>
        </is>
      </c>
      <c r="AZ175" t="inlineStr">
        <is>
          <t>CITIN26611504159</t>
        </is>
      </c>
      <c r="BA175" t="n">
        <v>0</v>
      </c>
      <c r="BB175" t="inlineStr">
        <is>
          <t>f7bc6251818c5d85896ca2fe2fe0631f9c2ce94780793b703c0eeafc69a62bbc</t>
        </is>
      </c>
    </row>
    <row r="176">
      <c r="A176" t="inlineStr">
        <is>
          <t>171</t>
        </is>
      </c>
      <c r="B176" t="inlineStr">
        <is>
          <t>7715086639</t>
        </is>
      </c>
      <c r="C176" t="inlineStr">
        <is>
          <t>2026-01-22 20:32:05</t>
        </is>
      </c>
      <c r="D176" t="inlineStr">
        <is>
          <t>4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30% off upto ₹75 (2025-06-25 - 2031-01-01)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229</v>
      </c>
      <c r="P176" t="n">
        <v>3.5</v>
      </c>
      <c r="Q176" t="n">
        <v>0</v>
      </c>
      <c r="R176" t="n">
        <v>68.7</v>
      </c>
      <c r="S176" t="n">
        <v>0</v>
      </c>
      <c r="T176" t="n">
        <v>0</v>
      </c>
      <c r="U176" t="n">
        <v>0</v>
      </c>
      <c r="V176" t="n">
        <v>8.19</v>
      </c>
      <c r="W176" t="n">
        <v>171.99</v>
      </c>
      <c r="X176" t="n">
        <v>163.8</v>
      </c>
      <c r="Y176" t="n">
        <v>19</v>
      </c>
      <c r="Z176" t="n">
        <v>31.12</v>
      </c>
      <c r="AA176" t="n">
        <v>3.16</v>
      </c>
      <c r="AB176" t="n">
        <v>34.28</v>
      </c>
      <c r="AC176" t="n">
        <v>6.17</v>
      </c>
      <c r="AD176" t="n">
        <v>0</v>
      </c>
      <c r="AE176" t="n">
        <v>163.8</v>
      </c>
      <c r="AF176" t="n">
        <v>0</v>
      </c>
      <c r="AG176" t="n">
        <v>0</v>
      </c>
      <c r="AH176" t="n">
        <v>0.16</v>
      </c>
      <c r="AI176" t="n">
        <v>8.199999999999999</v>
      </c>
      <c r="AJ176" t="n">
        <v>-0.01</v>
      </c>
      <c r="AK176" t="n">
        <v>14.53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48.81</v>
      </c>
      <c r="AV176" t="n">
        <v>0</v>
      </c>
      <c r="AW176" t="n">
        <v>123.18</v>
      </c>
      <c r="AX176" t="inlineStr">
        <is>
          <t>settled</t>
        </is>
      </c>
      <c r="AY176" t="inlineStr">
        <is>
          <t>2026-01-28 05:30:00</t>
        </is>
      </c>
      <c r="AZ176" t="inlineStr">
        <is>
          <t>CITIN26611504159</t>
        </is>
      </c>
      <c r="BA176" t="n">
        <v>0</v>
      </c>
      <c r="BB176" t="inlineStr">
        <is>
          <t>e0de046eec611107b81147c8aa6567d017a853550106e659370e352e01c78bcc</t>
        </is>
      </c>
    </row>
    <row r="177">
      <c r="A177" t="inlineStr">
        <is>
          <t>172</t>
        </is>
      </c>
      <c r="B177" t="inlineStr">
        <is>
          <t>7710838511</t>
        </is>
      </c>
      <c r="C177" t="inlineStr">
        <is>
          <t>2026-01-22 21:05:50</t>
        </is>
      </c>
      <c r="D177" t="inlineStr">
        <is>
          <t>4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NA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229</v>
      </c>
      <c r="P177" t="n">
        <v>3.5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11.63</v>
      </c>
      <c r="W177" t="n">
        <v>244.13</v>
      </c>
      <c r="X177" t="n">
        <v>232.5</v>
      </c>
      <c r="Y177" t="n">
        <v>19</v>
      </c>
      <c r="Z177" t="n">
        <v>44.18</v>
      </c>
      <c r="AA177" t="n">
        <v>4.49</v>
      </c>
      <c r="AB177" t="n">
        <v>48.67</v>
      </c>
      <c r="AC177" t="n">
        <v>8.76</v>
      </c>
      <c r="AD177" t="n">
        <v>0</v>
      </c>
      <c r="AE177" t="n">
        <v>232.5</v>
      </c>
      <c r="AF177" t="n">
        <v>0</v>
      </c>
      <c r="AG177" t="n">
        <v>0</v>
      </c>
      <c r="AH177" t="n">
        <v>0.23</v>
      </c>
      <c r="AI177" t="n">
        <v>11.63</v>
      </c>
      <c r="AJ177" t="n">
        <v>0</v>
      </c>
      <c r="AK177" t="n">
        <v>20.62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69.29000000000001</v>
      </c>
      <c r="AV177" t="n">
        <v>0</v>
      </c>
      <c r="AW177" t="n">
        <v>174.84</v>
      </c>
      <c r="AX177" t="inlineStr">
        <is>
          <t>settled</t>
        </is>
      </c>
      <c r="AY177" t="inlineStr">
        <is>
          <t>2026-01-28 05:30:00</t>
        </is>
      </c>
      <c r="AZ177" t="inlineStr">
        <is>
          <t>CITIN26611504159</t>
        </is>
      </c>
      <c r="BA177" t="n">
        <v>0</v>
      </c>
      <c r="BB177" t="inlineStr">
        <is>
          <t>8df63f1a5d4e48f15857306cbb5d702c3187d8d624a31655ab53b6a9f6cc2875</t>
        </is>
      </c>
    </row>
    <row r="178">
      <c r="A178" t="inlineStr">
        <is>
          <t>173</t>
        </is>
      </c>
      <c r="B178" t="inlineStr">
        <is>
          <t>7715476832</t>
        </is>
      </c>
      <c r="C178" t="inlineStr">
        <is>
          <t>2026-01-22 21:33:29</t>
        </is>
      </c>
      <c r="D178" t="inlineStr">
        <is>
          <t>4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229</v>
      </c>
      <c r="P178" t="n">
        <v>3.5</v>
      </c>
      <c r="Q178" t="n">
        <v>0</v>
      </c>
      <c r="R178" t="n">
        <v>68.7</v>
      </c>
      <c r="S178" t="n">
        <v>0</v>
      </c>
      <c r="T178" t="n">
        <v>0</v>
      </c>
      <c r="U178" t="n">
        <v>0</v>
      </c>
      <c r="V178" t="n">
        <v>8.19</v>
      </c>
      <c r="W178" t="n">
        <v>171.99</v>
      </c>
      <c r="X178" t="n">
        <v>163.8</v>
      </c>
      <c r="Y178" t="n">
        <v>19</v>
      </c>
      <c r="Z178" t="n">
        <v>31.12</v>
      </c>
      <c r="AA178" t="n">
        <v>3.16</v>
      </c>
      <c r="AB178" t="n">
        <v>34.28</v>
      </c>
      <c r="AC178" t="n">
        <v>6.17</v>
      </c>
      <c r="AD178" t="n">
        <v>0</v>
      </c>
      <c r="AE178" t="n">
        <v>163.8</v>
      </c>
      <c r="AF178" t="n">
        <v>0</v>
      </c>
      <c r="AG178" t="n">
        <v>0</v>
      </c>
      <c r="AH178" t="n">
        <v>0.16</v>
      </c>
      <c r="AI178" t="n">
        <v>8.199999999999999</v>
      </c>
      <c r="AJ178" t="n">
        <v>-0.01</v>
      </c>
      <c r="AK178" t="n">
        <v>14.53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48.81</v>
      </c>
      <c r="AV178" t="n">
        <v>0</v>
      </c>
      <c r="AW178" t="n">
        <v>123.18</v>
      </c>
      <c r="AX178" t="inlineStr">
        <is>
          <t>settled</t>
        </is>
      </c>
      <c r="AY178" t="inlineStr">
        <is>
          <t>2026-01-28 05:30:00</t>
        </is>
      </c>
      <c r="AZ178" t="inlineStr">
        <is>
          <t>CITIN26611504159</t>
        </is>
      </c>
      <c r="BA178" t="n">
        <v>0</v>
      </c>
      <c r="BB178" t="inlineStr">
        <is>
          <t>1443614189f916618bc5c88e31e398f99bbad346e21bb6c544ef8ae1e3662b62</t>
        </is>
      </c>
    </row>
    <row r="179">
      <c r="A179" t="inlineStr">
        <is>
          <t>174</t>
        </is>
      </c>
      <c r="B179" t="inlineStr">
        <is>
          <t>7718848179</t>
        </is>
      </c>
      <c r="C179" t="inlineStr">
        <is>
          <t>2026-01-22 21:58:43</t>
        </is>
      </c>
      <c r="D179" t="inlineStr">
        <is>
          <t>4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219</v>
      </c>
      <c r="P179" t="n">
        <v>3.5</v>
      </c>
      <c r="Q179" t="n">
        <v>0</v>
      </c>
      <c r="R179" t="n">
        <v>65.7</v>
      </c>
      <c r="S179" t="n">
        <v>0</v>
      </c>
      <c r="T179" t="n">
        <v>0</v>
      </c>
      <c r="U179" t="n">
        <v>0</v>
      </c>
      <c r="V179" t="n">
        <v>7.84</v>
      </c>
      <c r="W179" t="n">
        <v>164.64</v>
      </c>
      <c r="X179" t="n">
        <v>156.8</v>
      </c>
      <c r="Y179" t="n">
        <v>19</v>
      </c>
      <c r="Z179" t="n">
        <v>29.79</v>
      </c>
      <c r="AA179" t="n">
        <v>3.03</v>
      </c>
      <c r="AB179" t="n">
        <v>32.82</v>
      </c>
      <c r="AC179" t="n">
        <v>5.91</v>
      </c>
      <c r="AD179" t="n">
        <v>0</v>
      </c>
      <c r="AE179" t="n">
        <v>156.8</v>
      </c>
      <c r="AF179" t="n">
        <v>0</v>
      </c>
      <c r="AG179" t="n">
        <v>0</v>
      </c>
      <c r="AH179" t="n">
        <v>0.16</v>
      </c>
      <c r="AI179" t="n">
        <v>7.85</v>
      </c>
      <c r="AJ179" t="n">
        <v>-0.01</v>
      </c>
      <c r="AK179" t="n">
        <v>13.92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46.74</v>
      </c>
      <c r="AV179" t="n">
        <v>0</v>
      </c>
      <c r="AW179" t="n">
        <v>117.9</v>
      </c>
      <c r="AX179" t="inlineStr">
        <is>
          <t>settled</t>
        </is>
      </c>
      <c r="AY179" t="inlineStr">
        <is>
          <t>2026-01-28 05:30:00</t>
        </is>
      </c>
      <c r="AZ179" t="inlineStr">
        <is>
          <t>CITIN26611504159</t>
        </is>
      </c>
      <c r="BA179" t="n">
        <v>0</v>
      </c>
      <c r="BB179" t="inlineStr">
        <is>
          <t>3f77558e61ff70b6d89613fea1b01dfbca120dcf70f6eb6cbe33dd756696c26e</t>
        </is>
      </c>
    </row>
    <row r="180">
      <c r="A180" t="inlineStr">
        <is>
          <t>175</t>
        </is>
      </c>
      <c r="B180" t="inlineStr">
        <is>
          <t>7706537814</t>
        </is>
      </c>
      <c r="C180" t="inlineStr">
        <is>
          <t>2026-01-22 22:06:28</t>
        </is>
      </c>
      <c r="D180" t="inlineStr">
        <is>
          <t>4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2026-01-28 05:30:00</t>
        </is>
      </c>
      <c r="AZ180" t="inlineStr">
        <is>
          <t>CITIN26611504159</t>
        </is>
      </c>
      <c r="BA180" t="n">
        <v>0</v>
      </c>
      <c r="BB180" t="inlineStr">
        <is>
          <t>f4da9cdce7c26a3d16aa73761409c8ee7d11ff3b466a38f288a4634ffa261418</t>
        </is>
      </c>
    </row>
    <row r="181">
      <c r="A181" t="inlineStr">
        <is>
          <t>176</t>
        </is>
      </c>
      <c r="B181" t="inlineStr">
        <is>
          <t>7715736606</t>
        </is>
      </c>
      <c r="C181" t="inlineStr">
        <is>
          <t>2026-01-22 22:25:05</t>
        </is>
      </c>
      <c r="D181" t="inlineStr">
        <is>
          <t>4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229</v>
      </c>
      <c r="P181" t="n">
        <v>3.5</v>
      </c>
      <c r="Q181" t="n">
        <v>0</v>
      </c>
      <c r="R181" t="n">
        <v>68.7</v>
      </c>
      <c r="S181" t="n">
        <v>0</v>
      </c>
      <c r="T181" t="n">
        <v>0</v>
      </c>
      <c r="U181" t="n">
        <v>0</v>
      </c>
      <c r="V181" t="n">
        <v>8.19</v>
      </c>
      <c r="W181" t="n">
        <v>171.99</v>
      </c>
      <c r="X181" t="n">
        <v>163.8</v>
      </c>
      <c r="Y181" t="n">
        <v>19</v>
      </c>
      <c r="Z181" t="n">
        <v>31.12</v>
      </c>
      <c r="AA181" t="n">
        <v>3.16</v>
      </c>
      <c r="AB181" t="n">
        <v>34.28</v>
      </c>
      <c r="AC181" t="n">
        <v>6.17</v>
      </c>
      <c r="AD181" t="n">
        <v>0</v>
      </c>
      <c r="AE181" t="n">
        <v>163.8</v>
      </c>
      <c r="AF181" t="n">
        <v>0</v>
      </c>
      <c r="AG181" t="n">
        <v>0</v>
      </c>
      <c r="AH181" t="n">
        <v>0.16</v>
      </c>
      <c r="AI181" t="n">
        <v>8.199999999999999</v>
      </c>
      <c r="AJ181" t="n">
        <v>-0.01</v>
      </c>
      <c r="AK181" t="n">
        <v>14.53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48.81</v>
      </c>
      <c r="AV181" t="n">
        <v>0</v>
      </c>
      <c r="AW181" t="n">
        <v>123.18</v>
      </c>
      <c r="AX181" t="inlineStr">
        <is>
          <t>settled</t>
        </is>
      </c>
      <c r="AY181" t="inlineStr">
        <is>
          <t>2026-01-28 05:30:00</t>
        </is>
      </c>
      <c r="AZ181" t="inlineStr">
        <is>
          <t>CITIN26611504159</t>
        </is>
      </c>
      <c r="BA181" t="n">
        <v>0</v>
      </c>
      <c r="BB181" t="inlineStr">
        <is>
          <t>28f96e7002d004e3e98f62d50fc586b96201c953e4fd0723b58d406f4d31980b</t>
        </is>
      </c>
    </row>
    <row r="182">
      <c r="A182" t="inlineStr">
        <is>
          <t>177</t>
        </is>
      </c>
      <c r="B182" t="inlineStr">
        <is>
          <t>7714353327</t>
        </is>
      </c>
      <c r="C182" t="inlineStr">
        <is>
          <t>2026-01-22 22:36:43</t>
        </is>
      </c>
      <c r="D182" t="inlineStr">
        <is>
          <t>4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30% off upto ₹75 (2025-06-25 - 2031-01-01)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219</v>
      </c>
      <c r="P182" t="n">
        <v>3.5</v>
      </c>
      <c r="Q182" t="n">
        <v>0</v>
      </c>
      <c r="R182" t="n">
        <v>65.7</v>
      </c>
      <c r="S182" t="n">
        <v>0</v>
      </c>
      <c r="T182" t="n">
        <v>0</v>
      </c>
      <c r="U182" t="n">
        <v>0</v>
      </c>
      <c r="V182" t="n">
        <v>7.84</v>
      </c>
      <c r="W182" t="n">
        <v>164.64</v>
      </c>
      <c r="X182" t="n">
        <v>156.8</v>
      </c>
      <c r="Y182" t="n">
        <v>19</v>
      </c>
      <c r="Z182" t="n">
        <v>29.79</v>
      </c>
      <c r="AA182" t="n">
        <v>3.03</v>
      </c>
      <c r="AB182" t="n">
        <v>32.82</v>
      </c>
      <c r="AC182" t="n">
        <v>5.91</v>
      </c>
      <c r="AD182" t="n">
        <v>0</v>
      </c>
      <c r="AE182" t="n">
        <v>156.8</v>
      </c>
      <c r="AF182" t="n">
        <v>0</v>
      </c>
      <c r="AG182" t="n">
        <v>0</v>
      </c>
      <c r="AH182" t="n">
        <v>0.16</v>
      </c>
      <c r="AI182" t="n">
        <v>7.85</v>
      </c>
      <c r="AJ182" t="n">
        <v>-0.01</v>
      </c>
      <c r="AK182" t="n">
        <v>13.92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46.74</v>
      </c>
      <c r="AV182" t="n">
        <v>0</v>
      </c>
      <c r="AW182" t="n">
        <v>117.9</v>
      </c>
      <c r="AX182" t="inlineStr">
        <is>
          <t>settled</t>
        </is>
      </c>
      <c r="AY182" t="inlineStr">
        <is>
          <t>2026-01-28 05:30:00</t>
        </is>
      </c>
      <c r="AZ182" t="inlineStr">
        <is>
          <t>CITIN26611504159</t>
        </is>
      </c>
      <c r="BA182" t="n">
        <v>0</v>
      </c>
      <c r="BB182" t="inlineStr">
        <is>
          <t>740e79717a0ad717bc116a4dc82eff8218ed1692f17ef9f0d0d41a47f1f9322f</t>
        </is>
      </c>
    </row>
    <row r="183">
      <c r="A183" t="inlineStr">
        <is>
          <t>178</t>
        </is>
      </c>
      <c r="B183" t="inlineStr">
        <is>
          <t>7718703588</t>
        </is>
      </c>
      <c r="C183" t="inlineStr">
        <is>
          <t>2026-01-22 22:53:15</t>
        </is>
      </c>
      <c r="D183" t="inlineStr">
        <is>
          <t>4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338</v>
      </c>
      <c r="P183" t="n">
        <v>3.5</v>
      </c>
      <c r="Q183" t="n">
        <v>0</v>
      </c>
      <c r="R183" t="n">
        <v>75</v>
      </c>
      <c r="S183" t="n">
        <v>0</v>
      </c>
      <c r="T183" t="n">
        <v>0</v>
      </c>
      <c r="U183" t="n">
        <v>0</v>
      </c>
      <c r="V183" t="n">
        <v>13.33</v>
      </c>
      <c r="W183" t="n">
        <v>279.83</v>
      </c>
      <c r="X183" t="n">
        <v>266.5</v>
      </c>
      <c r="Y183" t="n">
        <v>19</v>
      </c>
      <c r="Z183" t="n">
        <v>50.64</v>
      </c>
      <c r="AA183" t="n">
        <v>5.15</v>
      </c>
      <c r="AB183" t="n">
        <v>55.79</v>
      </c>
      <c r="AC183" t="n">
        <v>10.05</v>
      </c>
      <c r="AD183" t="n">
        <v>0</v>
      </c>
      <c r="AE183" t="n">
        <v>266.5</v>
      </c>
      <c r="AF183" t="n">
        <v>0</v>
      </c>
      <c r="AG183" t="n">
        <v>0</v>
      </c>
      <c r="AH183" t="n">
        <v>0.27</v>
      </c>
      <c r="AI183" t="n">
        <v>13.33</v>
      </c>
      <c r="AJ183" t="n">
        <v>0</v>
      </c>
      <c r="AK183" t="n">
        <v>23.65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79.44</v>
      </c>
      <c r="AV183" t="n">
        <v>0</v>
      </c>
      <c r="AW183" t="n">
        <v>200.39</v>
      </c>
      <c r="AX183" t="inlineStr">
        <is>
          <t>settled</t>
        </is>
      </c>
      <c r="AY183" t="inlineStr">
        <is>
          <t>2026-01-28 05:30:00</t>
        </is>
      </c>
      <c r="AZ183" t="inlineStr">
        <is>
          <t>CITIN26611504159</t>
        </is>
      </c>
      <c r="BA183" t="n">
        <v>0</v>
      </c>
      <c r="BB183" t="inlineStr">
        <is>
          <t>5a4152e7640e85cce3714ee026d54b97b622f52be4a354a0a91e419ba9540499</t>
        </is>
      </c>
    </row>
    <row r="184">
      <c r="A184" t="inlineStr">
        <is>
          <t>179</t>
        </is>
      </c>
      <c r="B184" t="inlineStr">
        <is>
          <t>7713511166</t>
        </is>
      </c>
      <c r="C184" t="inlineStr">
        <is>
          <t>2026-01-22 23:21:09</t>
        </is>
      </c>
      <c r="D184" t="inlineStr">
        <is>
          <t>4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NA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546</v>
      </c>
      <c r="P184" t="n">
        <v>3.5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27.48</v>
      </c>
      <c r="W184" t="n">
        <v>576.98</v>
      </c>
      <c r="X184" t="n">
        <v>549.5</v>
      </c>
      <c r="Y184" t="n">
        <v>19</v>
      </c>
      <c r="Z184" t="n">
        <v>104.4</v>
      </c>
      <c r="AA184" t="n">
        <v>10.62</v>
      </c>
      <c r="AB184" t="n">
        <v>115.02</v>
      </c>
      <c r="AC184" t="n">
        <v>20.7</v>
      </c>
      <c r="AD184" t="n">
        <v>0</v>
      </c>
      <c r="AE184" t="n">
        <v>549.5</v>
      </c>
      <c r="AF184" t="n">
        <v>0</v>
      </c>
      <c r="AG184" t="n">
        <v>0</v>
      </c>
      <c r="AH184" t="n">
        <v>0.55</v>
      </c>
      <c r="AI184" t="n">
        <v>27.48</v>
      </c>
      <c r="AJ184" t="n">
        <v>0</v>
      </c>
      <c r="AK184" t="n">
        <v>48.73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163.75</v>
      </c>
      <c r="AV184" t="n">
        <v>0</v>
      </c>
      <c r="AW184" t="n">
        <v>413.23</v>
      </c>
      <c r="AX184" t="inlineStr">
        <is>
          <t>settled</t>
        </is>
      </c>
      <c r="AY184" t="inlineStr">
        <is>
          <t>2026-01-28 05:30:00</t>
        </is>
      </c>
      <c r="AZ184" t="inlineStr">
        <is>
          <t>CITIN26611504159</t>
        </is>
      </c>
      <c r="BA184" t="n">
        <v>0</v>
      </c>
      <c r="BB184" t="inlineStr">
        <is>
          <t>d644005bb648e5063fedea91d1f5a073a6456f5b193a57d1ccfbd9cd1159c3f3</t>
        </is>
      </c>
    </row>
    <row r="185">
      <c r="A185" t="inlineStr">
        <is>
          <t>180</t>
        </is>
      </c>
      <c r="B185" t="inlineStr">
        <is>
          <t>7718215332</t>
        </is>
      </c>
      <c r="C185" t="inlineStr">
        <is>
          <t>2026-01-22 23:35:00</t>
        </is>
      </c>
      <c r="D185" t="inlineStr">
        <is>
          <t>4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229</v>
      </c>
      <c r="P185" t="n">
        <v>3.5</v>
      </c>
      <c r="Q185" t="n">
        <v>0</v>
      </c>
      <c r="R185" t="n">
        <v>68.7</v>
      </c>
      <c r="S185" t="n">
        <v>0</v>
      </c>
      <c r="T185" t="n">
        <v>0</v>
      </c>
      <c r="U185" t="n">
        <v>0</v>
      </c>
      <c r="V185" t="n">
        <v>8.19</v>
      </c>
      <c r="W185" t="n">
        <v>171.99</v>
      </c>
      <c r="X185" t="n">
        <v>163.8</v>
      </c>
      <c r="Y185" t="n">
        <v>19</v>
      </c>
      <c r="Z185" t="n">
        <v>31.12</v>
      </c>
      <c r="AA185" t="n">
        <v>3.16</v>
      </c>
      <c r="AB185" t="n">
        <v>34.28</v>
      </c>
      <c r="AC185" t="n">
        <v>6.17</v>
      </c>
      <c r="AD185" t="n">
        <v>0</v>
      </c>
      <c r="AE185" t="n">
        <v>163.8</v>
      </c>
      <c r="AF185" t="n">
        <v>0</v>
      </c>
      <c r="AG185" t="n">
        <v>0</v>
      </c>
      <c r="AH185" t="n">
        <v>0.16</v>
      </c>
      <c r="AI185" t="n">
        <v>8.199999999999999</v>
      </c>
      <c r="AJ185" t="n">
        <v>-0.01</v>
      </c>
      <c r="AK185" t="n">
        <v>14.53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48.81</v>
      </c>
      <c r="AV185" t="n">
        <v>0</v>
      </c>
      <c r="AW185" t="n">
        <v>123.18</v>
      </c>
      <c r="AX185" t="inlineStr">
        <is>
          <t>settled</t>
        </is>
      </c>
      <c r="AY185" t="inlineStr">
        <is>
          <t>2026-01-28 05:30:00</t>
        </is>
      </c>
      <c r="AZ185" t="inlineStr">
        <is>
          <t>CITIN26611504159</t>
        </is>
      </c>
      <c r="BA185" t="n">
        <v>0</v>
      </c>
      <c r="BB185" t="inlineStr">
        <is>
          <t>2bc5192c74609b84394c3311bddf5cfdd82486b4b29bcd4695a6f63967310d63</t>
        </is>
      </c>
    </row>
    <row r="186">
      <c r="A186" t="inlineStr">
        <is>
          <t>181</t>
        </is>
      </c>
      <c r="B186" t="inlineStr">
        <is>
          <t>7718997554</t>
        </is>
      </c>
      <c r="C186" t="inlineStr">
        <is>
          <t>2026-01-22 23:36:46</t>
        </is>
      </c>
      <c r="D186" t="inlineStr">
        <is>
          <t>4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NA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229</v>
      </c>
      <c r="P186" t="n">
        <v>3.5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11.63</v>
      </c>
      <c r="W186" t="n">
        <v>244.13</v>
      </c>
      <c r="X186" t="n">
        <v>232.5</v>
      </c>
      <c r="Y186" t="n">
        <v>19</v>
      </c>
      <c r="Z186" t="n">
        <v>44.18</v>
      </c>
      <c r="AA186" t="n">
        <v>4.49</v>
      </c>
      <c r="AB186" t="n">
        <v>48.67</v>
      </c>
      <c r="AC186" t="n">
        <v>8.76</v>
      </c>
      <c r="AD186" t="n">
        <v>0</v>
      </c>
      <c r="AE186" t="n">
        <v>232.5</v>
      </c>
      <c r="AF186" t="n">
        <v>0</v>
      </c>
      <c r="AG186" t="n">
        <v>0</v>
      </c>
      <c r="AH186" t="n">
        <v>0.23</v>
      </c>
      <c r="AI186" t="n">
        <v>11.63</v>
      </c>
      <c r="AJ186" t="n">
        <v>0</v>
      </c>
      <c r="AK186" t="n">
        <v>20.62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69.29000000000001</v>
      </c>
      <c r="AV186" t="n">
        <v>0</v>
      </c>
      <c r="AW186" t="n">
        <v>174.84</v>
      </c>
      <c r="AX186" t="inlineStr">
        <is>
          <t>settled</t>
        </is>
      </c>
      <c r="AY186" t="inlineStr">
        <is>
          <t>2026-01-28 05:30:00</t>
        </is>
      </c>
      <c r="AZ186" t="inlineStr">
        <is>
          <t>CITIN26611504159</t>
        </is>
      </c>
      <c r="BA186" t="n">
        <v>0</v>
      </c>
      <c r="BB186" t="inlineStr">
        <is>
          <t>349ae5574c718b69713cdc88ccb06387386682012bba0ba290793b82a8c61a5c</t>
        </is>
      </c>
    </row>
    <row r="187">
      <c r="A187" t="inlineStr">
        <is>
          <t>182</t>
        </is>
      </c>
      <c r="B187" t="inlineStr">
        <is>
          <t>7716110665</t>
        </is>
      </c>
      <c r="C187" t="inlineStr">
        <is>
          <t>2026-01-22 23:37:50</t>
        </is>
      </c>
      <c r="D187" t="inlineStr">
        <is>
          <t>4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NA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229</v>
      </c>
      <c r="P187" t="n">
        <v>3.5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11.63</v>
      </c>
      <c r="W187" t="n">
        <v>244.13</v>
      </c>
      <c r="X187" t="n">
        <v>232.5</v>
      </c>
      <c r="Y187" t="n">
        <v>19</v>
      </c>
      <c r="Z187" t="n">
        <v>44.18</v>
      </c>
      <c r="AA187" t="n">
        <v>4.49</v>
      </c>
      <c r="AB187" t="n">
        <v>48.67</v>
      </c>
      <c r="AC187" t="n">
        <v>8.76</v>
      </c>
      <c r="AD187" t="n">
        <v>0</v>
      </c>
      <c r="AE187" t="n">
        <v>232.5</v>
      </c>
      <c r="AF187" t="n">
        <v>0</v>
      </c>
      <c r="AG187" t="n">
        <v>0</v>
      </c>
      <c r="AH187" t="n">
        <v>0.23</v>
      </c>
      <c r="AI187" t="n">
        <v>11.63</v>
      </c>
      <c r="AJ187" t="n">
        <v>0</v>
      </c>
      <c r="AK187" t="n">
        <v>20.62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69.29000000000001</v>
      </c>
      <c r="AV187" t="n">
        <v>0</v>
      </c>
      <c r="AW187" t="n">
        <v>174.84</v>
      </c>
      <c r="AX187" t="inlineStr">
        <is>
          <t>settled</t>
        </is>
      </c>
      <c r="AY187" t="inlineStr">
        <is>
          <t>2026-01-28 05:30:00</t>
        </is>
      </c>
      <c r="AZ187" t="inlineStr">
        <is>
          <t>CITIN26611504159</t>
        </is>
      </c>
      <c r="BA187" t="n">
        <v>0</v>
      </c>
      <c r="BB187" t="inlineStr">
        <is>
          <t>786279ef2a5654a3cb295b3cbc3fee9745f66b8e46a3f58d2c200fb9c35cd495</t>
        </is>
      </c>
    </row>
    <row r="188">
      <c r="A188" t="inlineStr">
        <is>
          <t>183</t>
        </is>
      </c>
      <c r="B188" t="inlineStr">
        <is>
          <t>7715247248</t>
        </is>
      </c>
      <c r="C188" t="inlineStr">
        <is>
          <t>2026-01-23 00:04:48</t>
        </is>
      </c>
      <c r="D188" t="inlineStr">
        <is>
          <t>4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NA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229</v>
      </c>
      <c r="P188" t="n">
        <v>3.5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11.63</v>
      </c>
      <c r="W188" t="n">
        <v>244.13</v>
      </c>
      <c r="X188" t="n">
        <v>232.5</v>
      </c>
      <c r="Y188" t="n">
        <v>19</v>
      </c>
      <c r="Z188" t="n">
        <v>44.18</v>
      </c>
      <c r="AA188" t="n">
        <v>4.49</v>
      </c>
      <c r="AB188" t="n">
        <v>48.67</v>
      </c>
      <c r="AC188" t="n">
        <v>8.76</v>
      </c>
      <c r="AD188" t="n">
        <v>0</v>
      </c>
      <c r="AE188" t="n">
        <v>232.5</v>
      </c>
      <c r="AF188" t="n">
        <v>0</v>
      </c>
      <c r="AG188" t="n">
        <v>0</v>
      </c>
      <c r="AH188" t="n">
        <v>0.23</v>
      </c>
      <c r="AI188" t="n">
        <v>11.63</v>
      </c>
      <c r="AJ188" t="n">
        <v>0</v>
      </c>
      <c r="AK188" t="n">
        <v>20.62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69.29000000000001</v>
      </c>
      <c r="AV188" t="n">
        <v>0</v>
      </c>
      <c r="AW188" t="n">
        <v>174.84</v>
      </c>
      <c r="AX188" t="inlineStr">
        <is>
          <t>settled</t>
        </is>
      </c>
      <c r="AY188" t="inlineStr">
        <is>
          <t>2026-01-28 05:30:00</t>
        </is>
      </c>
      <c r="AZ188" t="inlineStr">
        <is>
          <t>CITIN26611504159</t>
        </is>
      </c>
      <c r="BA188" t="n">
        <v>0</v>
      </c>
      <c r="BB188" t="inlineStr">
        <is>
          <t>f5d6c53da2e78a32c597ad90f53c01e69d11cf3c3178858037f05455930dbe66</t>
        </is>
      </c>
    </row>
    <row r="189">
      <c r="A189" t="inlineStr">
        <is>
          <t>184</t>
        </is>
      </c>
      <c r="B189" t="inlineStr">
        <is>
          <t>7717669956</t>
        </is>
      </c>
      <c r="C189" t="inlineStr">
        <is>
          <t>2026-01-23 00:19:01</t>
        </is>
      </c>
      <c r="D189" t="inlineStr">
        <is>
          <t>4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229</v>
      </c>
      <c r="P189" t="n">
        <v>3.5</v>
      </c>
      <c r="Q189" t="n">
        <v>0</v>
      </c>
      <c r="R189" t="n">
        <v>68.7</v>
      </c>
      <c r="S189" t="n">
        <v>0</v>
      </c>
      <c r="T189" t="n">
        <v>0</v>
      </c>
      <c r="U189" t="n">
        <v>0</v>
      </c>
      <c r="V189" t="n">
        <v>8.19</v>
      </c>
      <c r="W189" t="n">
        <v>171.99</v>
      </c>
      <c r="X189" t="n">
        <v>163.8</v>
      </c>
      <c r="Y189" t="n">
        <v>19</v>
      </c>
      <c r="Z189" t="n">
        <v>31.12</v>
      </c>
      <c r="AA189" t="n">
        <v>3.16</v>
      </c>
      <c r="AB189" t="n">
        <v>34.28</v>
      </c>
      <c r="AC189" t="n">
        <v>6.17</v>
      </c>
      <c r="AD189" t="n">
        <v>0</v>
      </c>
      <c r="AE189" t="n">
        <v>163.8</v>
      </c>
      <c r="AF189" t="n">
        <v>0</v>
      </c>
      <c r="AG189" t="n">
        <v>0</v>
      </c>
      <c r="AH189" t="n">
        <v>0.16</v>
      </c>
      <c r="AI189" t="n">
        <v>8.199999999999999</v>
      </c>
      <c r="AJ189" t="n">
        <v>-0.01</v>
      </c>
      <c r="AK189" t="n">
        <v>14.53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48.81</v>
      </c>
      <c r="AV189" t="n">
        <v>0</v>
      </c>
      <c r="AW189" t="n">
        <v>123.18</v>
      </c>
      <c r="AX189" t="inlineStr">
        <is>
          <t>settled</t>
        </is>
      </c>
      <c r="AY189" t="inlineStr">
        <is>
          <t>2026-01-28 05:30:00</t>
        </is>
      </c>
      <c r="AZ189" t="inlineStr">
        <is>
          <t>CITIN26611504159</t>
        </is>
      </c>
      <c r="BA189" t="n">
        <v>0</v>
      </c>
      <c r="BB189" t="inlineStr">
        <is>
          <t>b68f1540a41cdd0eaa592b85517d5ced6a115aac0ec99719352a60b8cbc42e35</t>
        </is>
      </c>
    </row>
    <row r="190">
      <c r="A190" t="inlineStr">
        <is>
          <t>185</t>
        </is>
      </c>
      <c r="B190" t="inlineStr">
        <is>
          <t>7713355143</t>
        </is>
      </c>
      <c r="C190" t="inlineStr">
        <is>
          <t>2026-01-23 01:07:31</t>
        </is>
      </c>
      <c r="D190" t="inlineStr">
        <is>
          <t>4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199</v>
      </c>
      <c r="P190" t="n">
        <v>3.5</v>
      </c>
      <c r="Q190" t="n">
        <v>0</v>
      </c>
      <c r="R190" t="n">
        <v>59.7</v>
      </c>
      <c r="S190" t="n">
        <v>0</v>
      </c>
      <c r="T190" t="n">
        <v>0</v>
      </c>
      <c r="U190" t="n">
        <v>0</v>
      </c>
      <c r="V190" t="n">
        <v>7.14</v>
      </c>
      <c r="W190" t="n">
        <v>149.94</v>
      </c>
      <c r="X190" t="n">
        <v>142.8</v>
      </c>
      <c r="Y190" t="n">
        <v>19</v>
      </c>
      <c r="Z190" t="n">
        <v>27.13</v>
      </c>
      <c r="AA190" t="n">
        <v>2.76</v>
      </c>
      <c r="AB190" t="n">
        <v>29.89</v>
      </c>
      <c r="AC190" t="n">
        <v>5.38</v>
      </c>
      <c r="AD190" t="n">
        <v>0</v>
      </c>
      <c r="AE190" t="n">
        <v>142.8</v>
      </c>
      <c r="AF190" t="n">
        <v>0</v>
      </c>
      <c r="AG190" t="n">
        <v>0</v>
      </c>
      <c r="AH190" t="n">
        <v>0.14</v>
      </c>
      <c r="AI190" t="n">
        <v>7.15</v>
      </c>
      <c r="AJ190" t="n">
        <v>-0.01</v>
      </c>
      <c r="AK190" t="n">
        <v>12.67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42.56</v>
      </c>
      <c r="AV190" t="n">
        <v>0</v>
      </c>
      <c r="AW190" t="n">
        <v>107.38</v>
      </c>
      <c r="AX190" t="inlineStr">
        <is>
          <t>settled</t>
        </is>
      </c>
      <c r="AY190" t="inlineStr">
        <is>
          <t>2026-01-28 05:30:00</t>
        </is>
      </c>
      <c r="AZ190" t="inlineStr">
        <is>
          <t>CITIN26611504159</t>
        </is>
      </c>
      <c r="BA190" t="n">
        <v>0</v>
      </c>
      <c r="BB190" t="inlineStr">
        <is>
          <t>d33038d9c670e7ba822857692355b3e9e586fb6ce9ea90f25a0d025c339772ed</t>
        </is>
      </c>
    </row>
    <row r="191">
      <c r="A191" t="inlineStr">
        <is>
          <t>186</t>
        </is>
      </c>
      <c r="B191" t="inlineStr">
        <is>
          <t>7718652554</t>
        </is>
      </c>
      <c r="C191" t="inlineStr">
        <is>
          <t>2026-01-23 01:09:51</t>
        </is>
      </c>
      <c r="D191" t="inlineStr">
        <is>
          <t>4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NA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219</v>
      </c>
      <c r="P191" t="n">
        <v>3.5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11.13</v>
      </c>
      <c r="W191" t="n">
        <v>233.63</v>
      </c>
      <c r="X191" t="n">
        <v>222.5</v>
      </c>
      <c r="Y191" t="n">
        <v>19</v>
      </c>
      <c r="Z191" t="n">
        <v>42.28</v>
      </c>
      <c r="AA191" t="n">
        <v>4.3</v>
      </c>
      <c r="AB191" t="n">
        <v>46.58</v>
      </c>
      <c r="AC191" t="n">
        <v>8.380000000000001</v>
      </c>
      <c r="AD191" t="n">
        <v>0</v>
      </c>
      <c r="AE191" t="n">
        <v>222.5</v>
      </c>
      <c r="AF191" t="n">
        <v>0</v>
      </c>
      <c r="AG191" t="n">
        <v>0</v>
      </c>
      <c r="AH191" t="n">
        <v>0.22</v>
      </c>
      <c r="AI191" t="n">
        <v>11.13</v>
      </c>
      <c r="AJ191" t="n">
        <v>0</v>
      </c>
      <c r="AK191" t="n">
        <v>19.73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66.31</v>
      </c>
      <c r="AV191" t="n">
        <v>0</v>
      </c>
      <c r="AW191" t="n">
        <v>167.32</v>
      </c>
      <c r="AX191" t="inlineStr">
        <is>
          <t>settled</t>
        </is>
      </c>
      <c r="AY191" t="inlineStr">
        <is>
          <t>2026-01-28 05:30:00</t>
        </is>
      </c>
      <c r="AZ191" t="inlineStr">
        <is>
          <t>CITIN26611504159</t>
        </is>
      </c>
      <c r="BA191" t="n">
        <v>0</v>
      </c>
      <c r="BB191" t="inlineStr">
        <is>
          <t>6a666f13ef915e2eaa8c5936e6c63fed81a81a9266aab326e1b9ac75e8772e6a</t>
        </is>
      </c>
    </row>
    <row r="192">
      <c r="A192" t="inlineStr">
        <is>
          <t>187</t>
        </is>
      </c>
      <c r="B192" t="inlineStr">
        <is>
          <t>7719127455</t>
        </is>
      </c>
      <c r="C192" t="inlineStr">
        <is>
          <t>2026-01-23 01:36:51</t>
        </is>
      </c>
      <c r="D192" t="inlineStr">
        <is>
          <t>4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229</v>
      </c>
      <c r="P192" t="n">
        <v>3.5</v>
      </c>
      <c r="Q192" t="n">
        <v>0</v>
      </c>
      <c r="R192" t="n">
        <v>68.7</v>
      </c>
      <c r="S192" t="n">
        <v>0</v>
      </c>
      <c r="T192" t="n">
        <v>0</v>
      </c>
      <c r="U192" t="n">
        <v>0</v>
      </c>
      <c r="V192" t="n">
        <v>8.19</v>
      </c>
      <c r="W192" t="n">
        <v>171.99</v>
      </c>
      <c r="X192" t="n">
        <v>163.8</v>
      </c>
      <c r="Y192" t="n">
        <v>19</v>
      </c>
      <c r="Z192" t="n">
        <v>31.12</v>
      </c>
      <c r="AA192" t="n">
        <v>3.16</v>
      </c>
      <c r="AB192" t="n">
        <v>34.28</v>
      </c>
      <c r="AC192" t="n">
        <v>6.17</v>
      </c>
      <c r="AD192" t="n">
        <v>0</v>
      </c>
      <c r="AE192" t="n">
        <v>163.8</v>
      </c>
      <c r="AF192" t="n">
        <v>0</v>
      </c>
      <c r="AG192" t="n">
        <v>0</v>
      </c>
      <c r="AH192" t="n">
        <v>0.16</v>
      </c>
      <c r="AI192" t="n">
        <v>8.199999999999999</v>
      </c>
      <c r="AJ192" t="n">
        <v>-0.01</v>
      </c>
      <c r="AK192" t="n">
        <v>14.53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48.81</v>
      </c>
      <c r="AV192" t="n">
        <v>0</v>
      </c>
      <c r="AW192" t="n">
        <v>123.18</v>
      </c>
      <c r="AX192" t="inlineStr">
        <is>
          <t>settled</t>
        </is>
      </c>
      <c r="AY192" t="inlineStr">
        <is>
          <t>2026-01-28 05:30:00</t>
        </is>
      </c>
      <c r="AZ192" t="inlineStr">
        <is>
          <t>CITIN26611504159</t>
        </is>
      </c>
      <c r="BA192" t="n">
        <v>0</v>
      </c>
      <c r="BB192" t="inlineStr">
        <is>
          <t>a8289c0ab7b0794a2bf461d7692afd20edbfc4cd1f56899853e6c5cc7298dd5a</t>
        </is>
      </c>
    </row>
    <row r="193">
      <c r="A193" t="inlineStr">
        <is>
          <t>188</t>
        </is>
      </c>
      <c r="B193" t="inlineStr">
        <is>
          <t>7713457089</t>
        </is>
      </c>
      <c r="C193" t="inlineStr">
        <is>
          <t>2026-01-23 01:58:39</t>
        </is>
      </c>
      <c r="D193" t="inlineStr">
        <is>
          <t>4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229</v>
      </c>
      <c r="P193" t="n">
        <v>3.5</v>
      </c>
      <c r="Q193" t="n">
        <v>0</v>
      </c>
      <c r="R193" t="n">
        <v>68.7</v>
      </c>
      <c r="S193" t="n">
        <v>0</v>
      </c>
      <c r="T193" t="n">
        <v>0</v>
      </c>
      <c r="U193" t="n">
        <v>0</v>
      </c>
      <c r="V193" t="n">
        <v>8.19</v>
      </c>
      <c r="W193" t="n">
        <v>171.99</v>
      </c>
      <c r="X193" t="n">
        <v>163.8</v>
      </c>
      <c r="Y193" t="n">
        <v>19</v>
      </c>
      <c r="Z193" t="n">
        <v>31.12</v>
      </c>
      <c r="AA193" t="n">
        <v>3.16</v>
      </c>
      <c r="AB193" t="n">
        <v>34.28</v>
      </c>
      <c r="AC193" t="n">
        <v>6.17</v>
      </c>
      <c r="AD193" t="n">
        <v>0</v>
      </c>
      <c r="AE193" t="n">
        <v>163.8</v>
      </c>
      <c r="AF193" t="n">
        <v>0</v>
      </c>
      <c r="AG193" t="n">
        <v>0</v>
      </c>
      <c r="AH193" t="n">
        <v>0.16</v>
      </c>
      <c r="AI193" t="n">
        <v>8.199999999999999</v>
      </c>
      <c r="AJ193" t="n">
        <v>-0.01</v>
      </c>
      <c r="AK193" t="n">
        <v>14.53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48.81</v>
      </c>
      <c r="AV193" t="n">
        <v>0</v>
      </c>
      <c r="AW193" t="n">
        <v>123.18</v>
      </c>
      <c r="AX193" t="inlineStr">
        <is>
          <t>settled</t>
        </is>
      </c>
      <c r="AY193" t="inlineStr">
        <is>
          <t>2026-01-28 05:30:00</t>
        </is>
      </c>
      <c r="AZ193" t="inlineStr">
        <is>
          <t>CITIN26611504159</t>
        </is>
      </c>
      <c r="BA193" t="n">
        <v>0</v>
      </c>
      <c r="BB193" t="inlineStr">
        <is>
          <t>e025b1f085cf5e5db4f50309acf389c47f42081ed480f0370829f9640424bfb7</t>
        </is>
      </c>
    </row>
    <row r="194">
      <c r="A194" t="inlineStr">
        <is>
          <t>189</t>
        </is>
      </c>
      <c r="B194" t="inlineStr">
        <is>
          <t>7718173498</t>
        </is>
      </c>
      <c r="C194" t="inlineStr">
        <is>
          <t>2026-01-23 02:04:43</t>
        </is>
      </c>
      <c r="D194" t="inlineStr">
        <is>
          <t>4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229</v>
      </c>
      <c r="P194" t="n">
        <v>3.5</v>
      </c>
      <c r="Q194" t="n">
        <v>0</v>
      </c>
      <c r="R194" t="n">
        <v>68.7</v>
      </c>
      <c r="S194" t="n">
        <v>0</v>
      </c>
      <c r="T194" t="n">
        <v>0</v>
      </c>
      <c r="U194" t="n">
        <v>0</v>
      </c>
      <c r="V194" t="n">
        <v>8.19</v>
      </c>
      <c r="W194" t="n">
        <v>171.99</v>
      </c>
      <c r="X194" t="n">
        <v>163.8</v>
      </c>
      <c r="Y194" t="n">
        <v>19</v>
      </c>
      <c r="Z194" t="n">
        <v>31.12</v>
      </c>
      <c r="AA194" t="n">
        <v>3.16</v>
      </c>
      <c r="AB194" t="n">
        <v>34.28</v>
      </c>
      <c r="AC194" t="n">
        <v>6.17</v>
      </c>
      <c r="AD194" t="n">
        <v>0</v>
      </c>
      <c r="AE194" t="n">
        <v>163.8</v>
      </c>
      <c r="AF194" t="n">
        <v>0</v>
      </c>
      <c r="AG194" t="n">
        <v>0</v>
      </c>
      <c r="AH194" t="n">
        <v>0.16</v>
      </c>
      <c r="AI194" t="n">
        <v>8.199999999999999</v>
      </c>
      <c r="AJ194" t="n">
        <v>-0.01</v>
      </c>
      <c r="AK194" t="n">
        <v>14.53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48.81</v>
      </c>
      <c r="AV194" t="n">
        <v>0</v>
      </c>
      <c r="AW194" t="n">
        <v>123.18</v>
      </c>
      <c r="AX194" t="inlineStr">
        <is>
          <t>settled</t>
        </is>
      </c>
      <c r="AY194" t="inlineStr">
        <is>
          <t>2026-01-28 05:30:00</t>
        </is>
      </c>
      <c r="AZ194" t="inlineStr">
        <is>
          <t>CITIN26611504159</t>
        </is>
      </c>
      <c r="BA194" t="n">
        <v>0</v>
      </c>
      <c r="BB194" t="inlineStr">
        <is>
          <t>9e73efbeb0968058e799db3fd642158c7fc886b1df25c3a69142d43b408face4</t>
        </is>
      </c>
    </row>
    <row r="195">
      <c r="A195" t="inlineStr">
        <is>
          <t>190</t>
        </is>
      </c>
      <c r="B195" t="inlineStr">
        <is>
          <t>7696495941</t>
        </is>
      </c>
      <c r="C195" t="inlineStr">
        <is>
          <t>2026-01-23 02:13:42</t>
        </is>
      </c>
      <c r="D195" t="inlineStr">
        <is>
          <t>4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219</v>
      </c>
      <c r="P195" t="n">
        <v>3.5</v>
      </c>
      <c r="Q195" t="n">
        <v>0</v>
      </c>
      <c r="R195" t="n">
        <v>65.7</v>
      </c>
      <c r="S195" t="n">
        <v>0</v>
      </c>
      <c r="T195" t="n">
        <v>0</v>
      </c>
      <c r="U195" t="n">
        <v>0</v>
      </c>
      <c r="V195" t="n">
        <v>7.84</v>
      </c>
      <c r="W195" t="n">
        <v>164.64</v>
      </c>
      <c r="X195" t="n">
        <v>156.8</v>
      </c>
      <c r="Y195" t="n">
        <v>19</v>
      </c>
      <c r="Z195" t="n">
        <v>29.79</v>
      </c>
      <c r="AA195" t="n">
        <v>3.03</v>
      </c>
      <c r="AB195" t="n">
        <v>32.82</v>
      </c>
      <c r="AC195" t="n">
        <v>5.91</v>
      </c>
      <c r="AD195" t="n">
        <v>0</v>
      </c>
      <c r="AE195" t="n">
        <v>156.8</v>
      </c>
      <c r="AF195" t="n">
        <v>0</v>
      </c>
      <c r="AG195" t="n">
        <v>0</v>
      </c>
      <c r="AH195" t="n">
        <v>0.16</v>
      </c>
      <c r="AI195" t="n">
        <v>7.85</v>
      </c>
      <c r="AJ195" t="n">
        <v>-0.01</v>
      </c>
      <c r="AK195" t="n">
        <v>13.92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46.74</v>
      </c>
      <c r="AV195" t="n">
        <v>0</v>
      </c>
      <c r="AW195" t="n">
        <v>117.9</v>
      </c>
      <c r="AX195" t="inlineStr">
        <is>
          <t>settled</t>
        </is>
      </c>
      <c r="AY195" t="inlineStr">
        <is>
          <t>2026-01-28 05:30:00</t>
        </is>
      </c>
      <c r="AZ195" t="inlineStr">
        <is>
          <t>CITIN26611504159</t>
        </is>
      </c>
      <c r="BA195" t="n">
        <v>0</v>
      </c>
      <c r="BB195" t="inlineStr">
        <is>
          <t>9fc0d2cba7ff60ae512234a41d5e99383a380757678084687089072319607266</t>
        </is>
      </c>
    </row>
    <row r="196">
      <c r="A196" t="inlineStr">
        <is>
          <t>191</t>
        </is>
      </c>
      <c r="B196" t="inlineStr">
        <is>
          <t>7716812132</t>
        </is>
      </c>
      <c r="C196" t="inlineStr">
        <is>
          <t>2026-01-23 02:16:45</t>
        </is>
      </c>
      <c r="D196" t="inlineStr">
        <is>
          <t>4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30% off upto ₹75 (2025-06-25 - 2031-01-01)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219</v>
      </c>
      <c r="P196" t="n">
        <v>3.5</v>
      </c>
      <c r="Q196" t="n">
        <v>0</v>
      </c>
      <c r="R196" t="n">
        <v>65.7</v>
      </c>
      <c r="S196" t="n">
        <v>0</v>
      </c>
      <c r="T196" t="n">
        <v>0</v>
      </c>
      <c r="U196" t="n">
        <v>0</v>
      </c>
      <c r="V196" t="n">
        <v>7.84</v>
      </c>
      <c r="W196" t="n">
        <v>164.64</v>
      </c>
      <c r="X196" t="n">
        <v>156.8</v>
      </c>
      <c r="Y196" t="n">
        <v>19</v>
      </c>
      <c r="Z196" t="n">
        <v>29.79</v>
      </c>
      <c r="AA196" t="n">
        <v>3.03</v>
      </c>
      <c r="AB196" t="n">
        <v>32.82</v>
      </c>
      <c r="AC196" t="n">
        <v>5.91</v>
      </c>
      <c r="AD196" t="n">
        <v>0</v>
      </c>
      <c r="AE196" t="n">
        <v>156.8</v>
      </c>
      <c r="AF196" t="n">
        <v>0</v>
      </c>
      <c r="AG196" t="n">
        <v>0</v>
      </c>
      <c r="AH196" t="n">
        <v>0.16</v>
      </c>
      <c r="AI196" t="n">
        <v>7.85</v>
      </c>
      <c r="AJ196" t="n">
        <v>-0.01</v>
      </c>
      <c r="AK196" t="n">
        <v>13.92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46.74</v>
      </c>
      <c r="AV196" t="n">
        <v>0</v>
      </c>
      <c r="AW196" t="n">
        <v>117.9</v>
      </c>
      <c r="AX196" t="inlineStr">
        <is>
          <t>settled</t>
        </is>
      </c>
      <c r="AY196" t="inlineStr">
        <is>
          <t>2026-01-28 05:30:00</t>
        </is>
      </c>
      <c r="AZ196" t="inlineStr">
        <is>
          <t>CITIN26611504159</t>
        </is>
      </c>
      <c r="BA196" t="n">
        <v>0</v>
      </c>
      <c r="BB196" t="inlineStr">
        <is>
          <t>1ea0b377a269fc96d3207de2a36a646079e1752951715dc1a80d15c90abe2140</t>
        </is>
      </c>
    </row>
    <row r="197">
      <c r="A197" t="inlineStr">
        <is>
          <t>192</t>
        </is>
      </c>
      <c r="B197" t="inlineStr">
        <is>
          <t>7712283660</t>
        </is>
      </c>
      <c r="C197" t="inlineStr">
        <is>
          <t>2026-01-23 02:21:32</t>
        </is>
      </c>
      <c r="D197" t="inlineStr">
        <is>
          <t>4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NA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458</v>
      </c>
      <c r="P197" t="n">
        <v>3.5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23.08</v>
      </c>
      <c r="W197" t="n">
        <v>484.58</v>
      </c>
      <c r="X197" t="n">
        <v>461.5</v>
      </c>
      <c r="Y197" t="n">
        <v>19</v>
      </c>
      <c r="Z197" t="n">
        <v>87.68000000000001</v>
      </c>
      <c r="AA197" t="n">
        <v>8.92</v>
      </c>
      <c r="AB197" t="n">
        <v>96.59999999999999</v>
      </c>
      <c r="AC197" t="n">
        <v>17.39</v>
      </c>
      <c r="AD197" t="n">
        <v>0</v>
      </c>
      <c r="AE197" t="n">
        <v>461.5</v>
      </c>
      <c r="AF197" t="n">
        <v>0</v>
      </c>
      <c r="AG197" t="n">
        <v>0</v>
      </c>
      <c r="AH197" t="n">
        <v>0.46</v>
      </c>
      <c r="AI197" t="n">
        <v>23.08</v>
      </c>
      <c r="AJ197" t="n">
        <v>0</v>
      </c>
      <c r="AK197" t="n">
        <v>40.93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137.53</v>
      </c>
      <c r="AV197" t="n">
        <v>0</v>
      </c>
      <c r="AW197" t="n">
        <v>347.05</v>
      </c>
      <c r="AX197" t="inlineStr">
        <is>
          <t>settled</t>
        </is>
      </c>
      <c r="AY197" t="inlineStr">
        <is>
          <t>2026-01-28 05:30:00</t>
        </is>
      </c>
      <c r="AZ197" t="inlineStr">
        <is>
          <t>CITIN26611504159</t>
        </is>
      </c>
      <c r="BA197" t="n">
        <v>0</v>
      </c>
      <c r="BB197" t="inlineStr">
        <is>
          <t>9d9f2174f2c833b1ccd6f17cfe0e39ed893dff64a5fc9e440739b052b2c7deaa</t>
        </is>
      </c>
    </row>
    <row r="198">
      <c r="A198" t="inlineStr">
        <is>
          <t>193</t>
        </is>
      </c>
      <c r="B198" t="inlineStr">
        <is>
          <t>7717515802</t>
        </is>
      </c>
      <c r="C198" t="inlineStr">
        <is>
          <t>2026-01-23 02:23:15</t>
        </is>
      </c>
      <c r="D198" t="inlineStr">
        <is>
          <t>4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30% off upto ₹75 (2025-06-25 - 2031-01-01)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536</v>
      </c>
      <c r="P198" t="n">
        <v>3.5</v>
      </c>
      <c r="Q198" t="n">
        <v>0</v>
      </c>
      <c r="R198" t="n">
        <v>75</v>
      </c>
      <c r="S198" t="n">
        <v>0</v>
      </c>
      <c r="T198" t="n">
        <v>0</v>
      </c>
      <c r="U198" t="n">
        <v>0</v>
      </c>
      <c r="V198" t="n">
        <v>23.23</v>
      </c>
      <c r="W198" t="n">
        <v>487.73</v>
      </c>
      <c r="X198" t="n">
        <v>464.5</v>
      </c>
      <c r="Y198" t="n">
        <v>19</v>
      </c>
      <c r="Z198" t="n">
        <v>88.26000000000001</v>
      </c>
      <c r="AA198" t="n">
        <v>8.970000000000001</v>
      </c>
      <c r="AB198" t="n">
        <v>97.23</v>
      </c>
      <c r="AC198" t="n">
        <v>17.5</v>
      </c>
      <c r="AD198" t="n">
        <v>0</v>
      </c>
      <c r="AE198" t="n">
        <v>464.5</v>
      </c>
      <c r="AF198" t="n">
        <v>0</v>
      </c>
      <c r="AG198" t="n">
        <v>0</v>
      </c>
      <c r="AH198" t="n">
        <v>0.46</v>
      </c>
      <c r="AI198" t="n">
        <v>23.23</v>
      </c>
      <c r="AJ198" t="n">
        <v>0</v>
      </c>
      <c r="AK198" t="n">
        <v>41.19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138.42</v>
      </c>
      <c r="AV198" t="n">
        <v>0</v>
      </c>
      <c r="AW198" t="n">
        <v>349.31</v>
      </c>
      <c r="AX198" t="inlineStr">
        <is>
          <t>settled</t>
        </is>
      </c>
      <c r="AY198" t="inlineStr">
        <is>
          <t>2026-01-28 05:30:00</t>
        </is>
      </c>
      <c r="AZ198" t="inlineStr">
        <is>
          <t>CITIN26611504159</t>
        </is>
      </c>
      <c r="BA198" t="n">
        <v>0</v>
      </c>
      <c r="BB198" t="inlineStr">
        <is>
          <t>13e881e6d4e334277c46aadc6cf1f3ed6e6fe6959d295659221d2f8aec6c1705</t>
        </is>
      </c>
    </row>
    <row r="199">
      <c r="A199" t="inlineStr">
        <is>
          <t>194</t>
        </is>
      </c>
      <c r="B199" t="inlineStr">
        <is>
          <t>7710164080</t>
        </is>
      </c>
      <c r="C199" t="inlineStr">
        <is>
          <t>2026-01-23 02:37:16</t>
        </is>
      </c>
      <c r="D199" t="inlineStr">
        <is>
          <t>4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NA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229</v>
      </c>
      <c r="P199" t="n">
        <v>3.5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11.63</v>
      </c>
      <c r="W199" t="n">
        <v>244.13</v>
      </c>
      <c r="X199" t="n">
        <v>232.5</v>
      </c>
      <c r="Y199" t="n">
        <v>19</v>
      </c>
      <c r="Z199" t="n">
        <v>44.18</v>
      </c>
      <c r="AA199" t="n">
        <v>4.49</v>
      </c>
      <c r="AB199" t="n">
        <v>48.67</v>
      </c>
      <c r="AC199" t="n">
        <v>8.76</v>
      </c>
      <c r="AD199" t="n">
        <v>0</v>
      </c>
      <c r="AE199" t="n">
        <v>232.5</v>
      </c>
      <c r="AF199" t="n">
        <v>0</v>
      </c>
      <c r="AG199" t="n">
        <v>0</v>
      </c>
      <c r="AH199" t="n">
        <v>0.23</v>
      </c>
      <c r="AI199" t="n">
        <v>11.63</v>
      </c>
      <c r="AJ199" t="n">
        <v>0</v>
      </c>
      <c r="AK199" t="n">
        <v>20.62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69.29000000000001</v>
      </c>
      <c r="AV199" t="n">
        <v>0</v>
      </c>
      <c r="AW199" t="n">
        <v>174.84</v>
      </c>
      <c r="AX199" t="inlineStr">
        <is>
          <t>settled</t>
        </is>
      </c>
      <c r="AY199" t="inlineStr">
        <is>
          <t>2026-01-28 05:30:00</t>
        </is>
      </c>
      <c r="AZ199" t="inlineStr">
        <is>
          <t>CITIN26611504159</t>
        </is>
      </c>
      <c r="BA199" t="n">
        <v>0</v>
      </c>
      <c r="BB199" t="inlineStr">
        <is>
          <t>4c396197fbb191ee3b436cf438663b3e521ef4be8a879dac6bfd05b9614ff8b7</t>
        </is>
      </c>
    </row>
    <row r="200">
      <c r="A200" t="inlineStr">
        <is>
          <t>195</t>
        </is>
      </c>
      <c r="B200" t="inlineStr">
        <is>
          <t>7718308312</t>
        </is>
      </c>
      <c r="C200" t="inlineStr">
        <is>
          <t>2026-01-23 02:44:09</t>
        </is>
      </c>
      <c r="D200" t="inlineStr">
        <is>
          <t>4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229</v>
      </c>
      <c r="P200" t="n">
        <v>3.5</v>
      </c>
      <c r="Q200" t="n">
        <v>0</v>
      </c>
      <c r="R200" t="n">
        <v>68.7</v>
      </c>
      <c r="S200" t="n">
        <v>0</v>
      </c>
      <c r="T200" t="n">
        <v>0</v>
      </c>
      <c r="U200" t="n">
        <v>0</v>
      </c>
      <c r="V200" t="n">
        <v>8.19</v>
      </c>
      <c r="W200" t="n">
        <v>171.99</v>
      </c>
      <c r="X200" t="n">
        <v>163.8</v>
      </c>
      <c r="Y200" t="n">
        <v>19</v>
      </c>
      <c r="Z200" t="n">
        <v>31.12</v>
      </c>
      <c r="AA200" t="n">
        <v>3.16</v>
      </c>
      <c r="AB200" t="n">
        <v>34.28</v>
      </c>
      <c r="AC200" t="n">
        <v>6.17</v>
      </c>
      <c r="AD200" t="n">
        <v>0</v>
      </c>
      <c r="AE200" t="n">
        <v>163.8</v>
      </c>
      <c r="AF200" t="n">
        <v>0</v>
      </c>
      <c r="AG200" t="n">
        <v>0</v>
      </c>
      <c r="AH200" t="n">
        <v>0.16</v>
      </c>
      <c r="AI200" t="n">
        <v>8.199999999999999</v>
      </c>
      <c r="AJ200" t="n">
        <v>-0.01</v>
      </c>
      <c r="AK200" t="n">
        <v>14.53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48.81</v>
      </c>
      <c r="AV200" t="n">
        <v>0</v>
      </c>
      <c r="AW200" t="n">
        <v>123.18</v>
      </c>
      <c r="AX200" t="inlineStr">
        <is>
          <t>settled</t>
        </is>
      </c>
      <c r="AY200" t="inlineStr">
        <is>
          <t>2026-01-28 05:30:00</t>
        </is>
      </c>
      <c r="AZ200" t="inlineStr">
        <is>
          <t>CITIN26611504159</t>
        </is>
      </c>
      <c r="BA200" t="n">
        <v>0</v>
      </c>
      <c r="BB200" t="inlineStr">
        <is>
          <t>fca1b1635715d7522dd84dc64181fdc26c21c8cc89b79c7e60b93ea2d727ca71</t>
        </is>
      </c>
    </row>
    <row r="201">
      <c r="A201" t="inlineStr">
        <is>
          <t>196</t>
        </is>
      </c>
      <c r="B201" t="inlineStr">
        <is>
          <t>7714500069</t>
        </is>
      </c>
      <c r="C201" t="inlineStr">
        <is>
          <t>2026-01-23 02:49:10</t>
        </is>
      </c>
      <c r="D201" t="inlineStr">
        <is>
          <t>4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229</v>
      </c>
      <c r="P201" t="n">
        <v>3.5</v>
      </c>
      <c r="Q201" t="n">
        <v>0</v>
      </c>
      <c r="R201" t="n">
        <v>68.7</v>
      </c>
      <c r="S201" t="n">
        <v>0</v>
      </c>
      <c r="T201" t="n">
        <v>0</v>
      </c>
      <c r="U201" t="n">
        <v>0</v>
      </c>
      <c r="V201" t="n">
        <v>8.19</v>
      </c>
      <c r="W201" t="n">
        <v>171.99</v>
      </c>
      <c r="X201" t="n">
        <v>163.8</v>
      </c>
      <c r="Y201" t="n">
        <v>19</v>
      </c>
      <c r="Z201" t="n">
        <v>31.12</v>
      </c>
      <c r="AA201" t="n">
        <v>3.16</v>
      </c>
      <c r="AB201" t="n">
        <v>34.28</v>
      </c>
      <c r="AC201" t="n">
        <v>6.17</v>
      </c>
      <c r="AD201" t="n">
        <v>0</v>
      </c>
      <c r="AE201" t="n">
        <v>163.8</v>
      </c>
      <c r="AF201" t="n">
        <v>0</v>
      </c>
      <c r="AG201" t="n">
        <v>0</v>
      </c>
      <c r="AH201" t="n">
        <v>0.16</v>
      </c>
      <c r="AI201" t="n">
        <v>8.199999999999999</v>
      </c>
      <c r="AJ201" t="n">
        <v>-0.01</v>
      </c>
      <c r="AK201" t="n">
        <v>14.53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48.81</v>
      </c>
      <c r="AV201" t="n">
        <v>0</v>
      </c>
      <c r="AW201" t="n">
        <v>123.18</v>
      </c>
      <c r="AX201" t="inlineStr">
        <is>
          <t>settled</t>
        </is>
      </c>
      <c r="AY201" t="inlineStr">
        <is>
          <t>2026-01-28 05:30:00</t>
        </is>
      </c>
      <c r="AZ201" t="inlineStr">
        <is>
          <t>CITIN26611504159</t>
        </is>
      </c>
      <c r="BA201" t="n">
        <v>0</v>
      </c>
      <c r="BB201" t="inlineStr">
        <is>
          <t>c47f05de4cd3481f5b98c787c5137326394a418b51d3de251ede28e452ae3215</t>
        </is>
      </c>
    </row>
    <row r="202">
      <c r="A202" t="inlineStr">
        <is>
          <t>197</t>
        </is>
      </c>
      <c r="B202" t="inlineStr">
        <is>
          <t>7719442401</t>
        </is>
      </c>
      <c r="C202" t="inlineStr">
        <is>
          <t>2026-01-23 04:22:46</t>
        </is>
      </c>
      <c r="D202" t="inlineStr">
        <is>
          <t>4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NA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219</v>
      </c>
      <c r="P202" t="n">
        <v>3.5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11.13</v>
      </c>
      <c r="W202" t="n">
        <v>233.63</v>
      </c>
      <c r="X202" t="n">
        <v>222.5</v>
      </c>
      <c r="Y202" t="n">
        <v>19</v>
      </c>
      <c r="Z202" t="n">
        <v>42.28</v>
      </c>
      <c r="AA202" t="n">
        <v>4.3</v>
      </c>
      <c r="AB202" t="n">
        <v>46.58</v>
      </c>
      <c r="AC202" t="n">
        <v>8.380000000000001</v>
      </c>
      <c r="AD202" t="n">
        <v>0</v>
      </c>
      <c r="AE202" t="n">
        <v>222.5</v>
      </c>
      <c r="AF202" t="n">
        <v>0</v>
      </c>
      <c r="AG202" t="n">
        <v>0</v>
      </c>
      <c r="AH202" t="n">
        <v>0.22</v>
      </c>
      <c r="AI202" t="n">
        <v>11.13</v>
      </c>
      <c r="AJ202" t="n">
        <v>0</v>
      </c>
      <c r="AK202" t="n">
        <v>19.73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66.31</v>
      </c>
      <c r="AV202" t="n">
        <v>0</v>
      </c>
      <c r="AW202" t="n">
        <v>167.32</v>
      </c>
      <c r="AX202" t="inlineStr">
        <is>
          <t>settled</t>
        </is>
      </c>
      <c r="AY202" t="inlineStr">
        <is>
          <t>2026-01-28 05:30:00</t>
        </is>
      </c>
      <c r="AZ202" t="inlineStr">
        <is>
          <t>CITIN26611504159</t>
        </is>
      </c>
      <c r="BA202" t="n">
        <v>0</v>
      </c>
      <c r="BB202" t="inlineStr">
        <is>
          <t>7787c0bb2e9280df8948b57bab85f036621d6c82ef3ecd35fc7ce5ff00c2e229</t>
        </is>
      </c>
    </row>
    <row r="203">
      <c r="A203" t="inlineStr">
        <is>
          <t>198</t>
        </is>
      </c>
      <c r="B203" t="inlineStr">
        <is>
          <t>7710114043</t>
        </is>
      </c>
      <c r="C203" t="inlineStr">
        <is>
          <t>2026-01-23 04:37:55</t>
        </is>
      </c>
      <c r="D203" t="inlineStr">
        <is>
          <t>4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30% off upto ₹75 (2025-06-25 - 2031-01-01)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355</v>
      </c>
      <c r="P203" t="n">
        <v>3.5</v>
      </c>
      <c r="Q203" t="n">
        <v>0</v>
      </c>
      <c r="R203" t="n">
        <v>75</v>
      </c>
      <c r="S203" t="n">
        <v>0</v>
      </c>
      <c r="T203" t="n">
        <v>0</v>
      </c>
      <c r="U203" t="n">
        <v>0</v>
      </c>
      <c r="V203" t="n">
        <v>14.18</v>
      </c>
      <c r="W203" t="n">
        <v>297.68</v>
      </c>
      <c r="X203" t="n">
        <v>283.5</v>
      </c>
      <c r="Y203" t="n">
        <v>19</v>
      </c>
      <c r="Z203" t="n">
        <v>53.86</v>
      </c>
      <c r="AA203" t="n">
        <v>5.48</v>
      </c>
      <c r="AB203" t="n">
        <v>59.34</v>
      </c>
      <c r="AC203" t="n">
        <v>10.68</v>
      </c>
      <c r="AD203" t="n">
        <v>0</v>
      </c>
      <c r="AE203" t="n">
        <v>283.5</v>
      </c>
      <c r="AF203" t="n">
        <v>0</v>
      </c>
      <c r="AG203" t="n">
        <v>0</v>
      </c>
      <c r="AH203" t="n">
        <v>0.28</v>
      </c>
      <c r="AI203" t="n">
        <v>14.18</v>
      </c>
      <c r="AJ203" t="n">
        <v>0</v>
      </c>
      <c r="AK203" t="n">
        <v>25.14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84.48</v>
      </c>
      <c r="AV203" t="n">
        <v>0</v>
      </c>
      <c r="AW203" t="n">
        <v>213.2</v>
      </c>
      <c r="AX203" t="inlineStr">
        <is>
          <t>settled</t>
        </is>
      </c>
      <c r="AY203" t="inlineStr">
        <is>
          <t>2026-01-28 05:30:00</t>
        </is>
      </c>
      <c r="AZ203" t="inlineStr">
        <is>
          <t>CITIN26611504159</t>
        </is>
      </c>
      <c r="BA203" t="n">
        <v>0</v>
      </c>
      <c r="BB203" t="inlineStr">
        <is>
          <t>b2fe87c8772e505b81e0f5d71a74be8809afb7af2278e3a19e94c815a7626cc6</t>
        </is>
      </c>
    </row>
    <row r="204">
      <c r="A204" t="inlineStr">
        <is>
          <t>199</t>
        </is>
      </c>
      <c r="B204" t="inlineStr">
        <is>
          <t>7719532518</t>
        </is>
      </c>
      <c r="C204" t="inlineStr">
        <is>
          <t>2026-01-23 04:41:58</t>
        </is>
      </c>
      <c r="D204" t="inlineStr">
        <is>
          <t>4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219</v>
      </c>
      <c r="P204" t="n">
        <v>3.5</v>
      </c>
      <c r="Q204" t="n">
        <v>0</v>
      </c>
      <c r="R204" t="n">
        <v>65.7</v>
      </c>
      <c r="S204" t="n">
        <v>0</v>
      </c>
      <c r="T204" t="n">
        <v>0</v>
      </c>
      <c r="U204" t="n">
        <v>0</v>
      </c>
      <c r="V204" t="n">
        <v>7.84</v>
      </c>
      <c r="W204" t="n">
        <v>164.64</v>
      </c>
      <c r="X204" t="n">
        <v>156.8</v>
      </c>
      <c r="Y204" t="n">
        <v>19</v>
      </c>
      <c r="Z204" t="n">
        <v>29.79</v>
      </c>
      <c r="AA204" t="n">
        <v>3.03</v>
      </c>
      <c r="AB204" t="n">
        <v>32.82</v>
      </c>
      <c r="AC204" t="n">
        <v>5.91</v>
      </c>
      <c r="AD204" t="n">
        <v>0</v>
      </c>
      <c r="AE204" t="n">
        <v>156.8</v>
      </c>
      <c r="AF204" t="n">
        <v>0</v>
      </c>
      <c r="AG204" t="n">
        <v>0</v>
      </c>
      <c r="AH204" t="n">
        <v>0.16</v>
      </c>
      <c r="AI204" t="n">
        <v>7.85</v>
      </c>
      <c r="AJ204" t="n">
        <v>-0.01</v>
      </c>
      <c r="AK204" t="n">
        <v>13.92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46.74</v>
      </c>
      <c r="AV204" t="n">
        <v>0</v>
      </c>
      <c r="AW204" t="n">
        <v>117.9</v>
      </c>
      <c r="AX204" t="inlineStr">
        <is>
          <t>settled</t>
        </is>
      </c>
      <c r="AY204" t="inlineStr">
        <is>
          <t>2026-01-28 05:30:00</t>
        </is>
      </c>
      <c r="AZ204" t="inlineStr">
        <is>
          <t>CITIN26611504159</t>
        </is>
      </c>
      <c r="BA204" t="n">
        <v>0</v>
      </c>
      <c r="BB204" t="inlineStr">
        <is>
          <t>f1905529657c098b4ba4f743bf7c52fd1bbde61efd42bbadc1bc1827789c0c2b</t>
        </is>
      </c>
    </row>
    <row r="205">
      <c r="A205" t="inlineStr">
        <is>
          <t>200</t>
        </is>
      </c>
      <c r="B205" t="inlineStr">
        <is>
          <t>7718634588</t>
        </is>
      </c>
      <c r="C205" t="inlineStr">
        <is>
          <t>2026-01-23 11:39:52</t>
        </is>
      </c>
      <c r="D205" t="inlineStr">
        <is>
          <t>4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30% off upto ₹75 (2025-06-25 - 2031-01-01)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358</v>
      </c>
      <c r="P205" t="n">
        <v>3.5</v>
      </c>
      <c r="Q205" t="n">
        <v>0</v>
      </c>
      <c r="R205" t="n">
        <v>75</v>
      </c>
      <c r="S205" t="n">
        <v>0</v>
      </c>
      <c r="T205" t="n">
        <v>0</v>
      </c>
      <c r="U205" t="n">
        <v>0</v>
      </c>
      <c r="V205" t="n">
        <v>14.33</v>
      </c>
      <c r="W205" t="n">
        <v>300.83</v>
      </c>
      <c r="X205" t="n">
        <v>286.5</v>
      </c>
      <c r="Y205" t="n">
        <v>19</v>
      </c>
      <c r="Z205" t="n">
        <v>54.44</v>
      </c>
      <c r="AA205" t="n">
        <v>5.54</v>
      </c>
      <c r="AB205" t="n">
        <v>59.98</v>
      </c>
      <c r="AC205" t="n">
        <v>10.8</v>
      </c>
      <c r="AD205" t="n">
        <v>0</v>
      </c>
      <c r="AE205" t="n">
        <v>286.5</v>
      </c>
      <c r="AF205" t="n">
        <v>0</v>
      </c>
      <c r="AG205" t="n">
        <v>0</v>
      </c>
      <c r="AH205" t="n">
        <v>0.29</v>
      </c>
      <c r="AI205" t="n">
        <v>14.33</v>
      </c>
      <c r="AJ205" t="n">
        <v>0</v>
      </c>
      <c r="AK205" t="n">
        <v>25.42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85.40000000000001</v>
      </c>
      <c r="AV205" t="n">
        <v>0</v>
      </c>
      <c r="AW205" t="n">
        <v>215.43</v>
      </c>
      <c r="AX205" t="inlineStr">
        <is>
          <t>settled</t>
        </is>
      </c>
      <c r="AY205" t="inlineStr">
        <is>
          <t>2026-01-28 05:30:00</t>
        </is>
      </c>
      <c r="AZ205" t="inlineStr">
        <is>
          <t>CITIN26611504159</t>
        </is>
      </c>
      <c r="BA205" t="n">
        <v>0</v>
      </c>
      <c r="BB205" t="inlineStr">
        <is>
          <t>d1ae8d8443a195f068423e9937c8049ee67391f57cee67d0e913de359de6f69e</t>
        </is>
      </c>
    </row>
    <row r="206">
      <c r="A206" t="inlineStr">
        <is>
          <t>201</t>
        </is>
      </c>
      <c r="B206" t="inlineStr">
        <is>
          <t>7713971934</t>
        </is>
      </c>
      <c r="C206" t="inlineStr">
        <is>
          <t>2026-01-23 13:27:27</t>
        </is>
      </c>
      <c r="D206" t="inlineStr">
        <is>
          <t>4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30% off upto ₹75 (2025-06-25 - 2031-01-01)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458</v>
      </c>
      <c r="P206" t="n">
        <v>3.5</v>
      </c>
      <c r="Q206" t="n">
        <v>0</v>
      </c>
      <c r="R206" t="n">
        <v>75</v>
      </c>
      <c r="S206" t="n">
        <v>0</v>
      </c>
      <c r="T206" t="n">
        <v>0</v>
      </c>
      <c r="U206" t="n">
        <v>0</v>
      </c>
      <c r="V206" t="n">
        <v>19.33</v>
      </c>
      <c r="W206" t="n">
        <v>405.83</v>
      </c>
      <c r="X206" t="n">
        <v>386.5</v>
      </c>
      <c r="Y206" t="n">
        <v>19</v>
      </c>
      <c r="Z206" t="n">
        <v>73.44</v>
      </c>
      <c r="AA206" t="n">
        <v>7.47</v>
      </c>
      <c r="AB206" t="n">
        <v>80.91</v>
      </c>
      <c r="AC206" t="n">
        <v>14.56</v>
      </c>
      <c r="AD206" t="n">
        <v>0</v>
      </c>
      <c r="AE206" t="n">
        <v>386.5</v>
      </c>
      <c r="AF206" t="n">
        <v>0</v>
      </c>
      <c r="AG206" t="n">
        <v>0</v>
      </c>
      <c r="AH206" t="n">
        <v>0.39</v>
      </c>
      <c r="AI206" t="n">
        <v>19.33</v>
      </c>
      <c r="AJ206" t="n">
        <v>0</v>
      </c>
      <c r="AK206" t="n">
        <v>34.28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115.19</v>
      </c>
      <c r="AV206" t="n">
        <v>0</v>
      </c>
      <c r="AW206" t="n">
        <v>290.64</v>
      </c>
      <c r="AX206" t="inlineStr">
        <is>
          <t>settled</t>
        </is>
      </c>
      <c r="AY206" t="inlineStr">
        <is>
          <t>2026-01-28 05:30:00</t>
        </is>
      </c>
      <c r="AZ206" t="inlineStr">
        <is>
          <t>CITIN26611504159</t>
        </is>
      </c>
      <c r="BA206" t="n">
        <v>0</v>
      </c>
      <c r="BB206" t="inlineStr">
        <is>
          <t>bff39c5295bed73f9b30e2faa449f515d436baf7ccd6d3a4382d7e6475b1c7da</t>
        </is>
      </c>
    </row>
    <row r="207">
      <c r="A207" t="inlineStr">
        <is>
          <t>202</t>
        </is>
      </c>
      <c r="B207" t="inlineStr">
        <is>
          <t>7719887513</t>
        </is>
      </c>
      <c r="C207" t="inlineStr">
        <is>
          <t>2026-01-23 15:23:03</t>
        </is>
      </c>
      <c r="D207" t="inlineStr">
        <is>
          <t>4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30% off upto ₹75 (2025-06-25 - 2031-01-01)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229</v>
      </c>
      <c r="P207" t="n">
        <v>3.5</v>
      </c>
      <c r="Q207" t="n">
        <v>0</v>
      </c>
      <c r="R207" t="n">
        <v>68.7</v>
      </c>
      <c r="S207" t="n">
        <v>0</v>
      </c>
      <c r="T207" t="n">
        <v>0</v>
      </c>
      <c r="U207" t="n">
        <v>0</v>
      </c>
      <c r="V207" t="n">
        <v>8.19</v>
      </c>
      <c r="W207" t="n">
        <v>171.99</v>
      </c>
      <c r="X207" t="n">
        <v>163.8</v>
      </c>
      <c r="Y207" t="n">
        <v>19</v>
      </c>
      <c r="Z207" t="n">
        <v>31.12</v>
      </c>
      <c r="AA207" t="n">
        <v>3.16</v>
      </c>
      <c r="AB207" t="n">
        <v>34.28</v>
      </c>
      <c r="AC207" t="n">
        <v>6.17</v>
      </c>
      <c r="AD207" t="n">
        <v>0</v>
      </c>
      <c r="AE207" t="n">
        <v>163.8</v>
      </c>
      <c r="AF207" t="n">
        <v>0</v>
      </c>
      <c r="AG207" t="n">
        <v>0</v>
      </c>
      <c r="AH207" t="n">
        <v>0.16</v>
      </c>
      <c r="AI207" t="n">
        <v>8.199999999999999</v>
      </c>
      <c r="AJ207" t="n">
        <v>-0.01</v>
      </c>
      <c r="AK207" t="n">
        <v>14.53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48.81</v>
      </c>
      <c r="AV207" t="n">
        <v>0</v>
      </c>
      <c r="AW207" t="n">
        <v>123.18</v>
      </c>
      <c r="AX207" t="inlineStr">
        <is>
          <t>settled</t>
        </is>
      </c>
      <c r="AY207" t="inlineStr">
        <is>
          <t>2026-01-28 05:30:00</t>
        </is>
      </c>
      <c r="AZ207" t="inlineStr">
        <is>
          <t>CITIN26611504159</t>
        </is>
      </c>
      <c r="BA207" t="n">
        <v>0</v>
      </c>
      <c r="BB207" t="inlineStr">
        <is>
          <t>4bc59a7b91051bd45715d4c6c383b5635eed7ed966b586e2812e835cb647b359</t>
        </is>
      </c>
    </row>
    <row r="208">
      <c r="A208" t="inlineStr">
        <is>
          <t>203</t>
        </is>
      </c>
      <c r="B208" t="inlineStr">
        <is>
          <t>7720085460</t>
        </is>
      </c>
      <c r="C208" t="inlineStr">
        <is>
          <t>2026-01-23 15:27:49</t>
        </is>
      </c>
      <c r="D208" t="inlineStr">
        <is>
          <t>4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NA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219</v>
      </c>
      <c r="P208" t="n">
        <v>3.5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11.13</v>
      </c>
      <c r="W208" t="n">
        <v>233.63</v>
      </c>
      <c r="X208" t="n">
        <v>222.5</v>
      </c>
      <c r="Y208" t="n">
        <v>19</v>
      </c>
      <c r="Z208" t="n">
        <v>42.28</v>
      </c>
      <c r="AA208" t="n">
        <v>4.3</v>
      </c>
      <c r="AB208" t="n">
        <v>46.58</v>
      </c>
      <c r="AC208" t="n">
        <v>8.380000000000001</v>
      </c>
      <c r="AD208" t="n">
        <v>0</v>
      </c>
      <c r="AE208" t="n">
        <v>222.5</v>
      </c>
      <c r="AF208" t="n">
        <v>0</v>
      </c>
      <c r="AG208" t="n">
        <v>0</v>
      </c>
      <c r="AH208" t="n">
        <v>0.22</v>
      </c>
      <c r="AI208" t="n">
        <v>11.13</v>
      </c>
      <c r="AJ208" t="n">
        <v>0</v>
      </c>
      <c r="AK208" t="n">
        <v>19.73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66.31</v>
      </c>
      <c r="AV208" t="n">
        <v>0</v>
      </c>
      <c r="AW208" t="n">
        <v>167.32</v>
      </c>
      <c r="AX208" t="inlineStr">
        <is>
          <t>settled</t>
        </is>
      </c>
      <c r="AY208" t="inlineStr">
        <is>
          <t>2026-01-28 05:30:00</t>
        </is>
      </c>
      <c r="AZ208" t="inlineStr">
        <is>
          <t>CITIN26611504159</t>
        </is>
      </c>
      <c r="BA208" t="n">
        <v>0</v>
      </c>
      <c r="BB208" t="inlineStr">
        <is>
          <t>64a89f7a563c0d3676d655cdda64e86f09b48c128a7cf5a2aee2f14422c6e37c</t>
        </is>
      </c>
    </row>
    <row r="209">
      <c r="A209" t="inlineStr">
        <is>
          <t>204</t>
        </is>
      </c>
      <c r="B209" t="inlineStr">
        <is>
          <t>7717330737</t>
        </is>
      </c>
      <c r="C209" t="inlineStr">
        <is>
          <t>2026-01-23 15:43:13</t>
        </is>
      </c>
      <c r="D209" t="inlineStr">
        <is>
          <t>4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NA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229</v>
      </c>
      <c r="P209" t="n">
        <v>3.5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11.63</v>
      </c>
      <c r="W209" t="n">
        <v>244.13</v>
      </c>
      <c r="X209" t="n">
        <v>232.5</v>
      </c>
      <c r="Y209" t="n">
        <v>19</v>
      </c>
      <c r="Z209" t="n">
        <v>44.18</v>
      </c>
      <c r="AA209" t="n">
        <v>4.49</v>
      </c>
      <c r="AB209" t="n">
        <v>48.67</v>
      </c>
      <c r="AC209" t="n">
        <v>8.76</v>
      </c>
      <c r="AD209" t="n">
        <v>0</v>
      </c>
      <c r="AE209" t="n">
        <v>232.5</v>
      </c>
      <c r="AF209" t="n">
        <v>0</v>
      </c>
      <c r="AG209" t="n">
        <v>0</v>
      </c>
      <c r="AH209" t="n">
        <v>0.23</v>
      </c>
      <c r="AI209" t="n">
        <v>11.63</v>
      </c>
      <c r="AJ209" t="n">
        <v>0</v>
      </c>
      <c r="AK209" t="n">
        <v>20.62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69.29000000000001</v>
      </c>
      <c r="AV209" t="n">
        <v>0</v>
      </c>
      <c r="AW209" t="n">
        <v>174.84</v>
      </c>
      <c r="AX209" t="inlineStr">
        <is>
          <t>settled</t>
        </is>
      </c>
      <c r="AY209" t="inlineStr">
        <is>
          <t>2026-01-28 05:30:00</t>
        </is>
      </c>
      <c r="AZ209" t="inlineStr">
        <is>
          <t>CITIN26611504159</t>
        </is>
      </c>
      <c r="BA209" t="n">
        <v>0</v>
      </c>
      <c r="BB209" t="inlineStr">
        <is>
          <t>2c70419a9d9960052c1c4d4810f742b6b79843c037f15b92e84c72262de7934b</t>
        </is>
      </c>
    </row>
    <row r="210">
      <c r="A210" t="inlineStr">
        <is>
          <t>205</t>
        </is>
      </c>
      <c r="B210" t="inlineStr">
        <is>
          <t>7717244378</t>
        </is>
      </c>
      <c r="C210" t="inlineStr">
        <is>
          <t>2026-01-23 16:04:20</t>
        </is>
      </c>
      <c r="D210" t="inlineStr">
        <is>
          <t>4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NA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397</v>
      </c>
      <c r="P210" t="n">
        <v>3.5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20.03</v>
      </c>
      <c r="W210" t="n">
        <v>420.53</v>
      </c>
      <c r="X210" t="n">
        <v>400.5</v>
      </c>
      <c r="Y210" t="n">
        <v>19</v>
      </c>
      <c r="Z210" t="n">
        <v>76.09999999999999</v>
      </c>
      <c r="AA210" t="n">
        <v>7.74</v>
      </c>
      <c r="AB210" t="n">
        <v>83.84</v>
      </c>
      <c r="AC210" t="n">
        <v>15.09</v>
      </c>
      <c r="AD210" t="n">
        <v>0</v>
      </c>
      <c r="AE210" t="n">
        <v>400.5</v>
      </c>
      <c r="AF210" t="n">
        <v>0</v>
      </c>
      <c r="AG210" t="n">
        <v>0</v>
      </c>
      <c r="AH210" t="n">
        <v>0.4</v>
      </c>
      <c r="AI210" t="n">
        <v>20.03</v>
      </c>
      <c r="AJ210" t="n">
        <v>0</v>
      </c>
      <c r="AK210" t="n">
        <v>35.52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119.36</v>
      </c>
      <c r="AV210" t="n">
        <v>0</v>
      </c>
      <c r="AW210" t="n">
        <v>301.17</v>
      </c>
      <c r="AX210" t="inlineStr">
        <is>
          <t>settled</t>
        </is>
      </c>
      <c r="AY210" t="inlineStr">
        <is>
          <t>2026-01-28 05:30:00</t>
        </is>
      </c>
      <c r="AZ210" t="inlineStr">
        <is>
          <t>CITIN26611504159</t>
        </is>
      </c>
      <c r="BA210" t="n">
        <v>0</v>
      </c>
      <c r="BB210" t="inlineStr">
        <is>
          <t>38e5684f9d23a0d04675534004e91f22fd273e81be6710be6ea1d15909d74d66</t>
        </is>
      </c>
    </row>
    <row r="211">
      <c r="A211" t="inlineStr">
        <is>
          <t>206</t>
        </is>
      </c>
      <c r="B211" t="inlineStr">
        <is>
          <t>7712104004</t>
        </is>
      </c>
      <c r="C211" t="inlineStr">
        <is>
          <t>2026-01-23 16:21:04</t>
        </is>
      </c>
      <c r="D211" t="inlineStr">
        <is>
          <t>4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NA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229</v>
      </c>
      <c r="P211" t="n">
        <v>3.5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11.63</v>
      </c>
      <c r="W211" t="n">
        <v>244.13</v>
      </c>
      <c r="X211" t="n">
        <v>232.5</v>
      </c>
      <c r="Y211" t="n">
        <v>19</v>
      </c>
      <c r="Z211" t="n">
        <v>44.18</v>
      </c>
      <c r="AA211" t="n">
        <v>4.49</v>
      </c>
      <c r="AB211" t="n">
        <v>48.67</v>
      </c>
      <c r="AC211" t="n">
        <v>8.76</v>
      </c>
      <c r="AD211" t="n">
        <v>0</v>
      </c>
      <c r="AE211" t="n">
        <v>232.5</v>
      </c>
      <c r="AF211" t="n">
        <v>0</v>
      </c>
      <c r="AG211" t="n">
        <v>0</v>
      </c>
      <c r="AH211" t="n">
        <v>0.23</v>
      </c>
      <c r="AI211" t="n">
        <v>11.63</v>
      </c>
      <c r="AJ211" t="n">
        <v>0</v>
      </c>
      <c r="AK211" t="n">
        <v>20.62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69.29000000000001</v>
      </c>
      <c r="AV211" t="n">
        <v>0</v>
      </c>
      <c r="AW211" t="n">
        <v>174.84</v>
      </c>
      <c r="AX211" t="inlineStr">
        <is>
          <t>settled</t>
        </is>
      </c>
      <c r="AY211" t="inlineStr">
        <is>
          <t>2026-01-28 05:30:00</t>
        </is>
      </c>
      <c r="AZ211" t="inlineStr">
        <is>
          <t>CITIN26611504159</t>
        </is>
      </c>
      <c r="BA211" t="n">
        <v>0</v>
      </c>
      <c r="BB211" t="inlineStr">
        <is>
          <t>addfa40b1b88803ba5dc5b111cce752267e4435d48b23a4c90022998053b6113</t>
        </is>
      </c>
    </row>
    <row r="212">
      <c r="A212" t="inlineStr">
        <is>
          <t>207</t>
        </is>
      </c>
      <c r="B212" t="inlineStr">
        <is>
          <t>7719241456</t>
        </is>
      </c>
      <c r="C212" t="inlineStr">
        <is>
          <t>2026-01-23 17:19:26</t>
        </is>
      </c>
      <c r="D212" t="inlineStr">
        <is>
          <t>4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NA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229</v>
      </c>
      <c r="P212" t="n">
        <v>3.5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11.63</v>
      </c>
      <c r="W212" t="n">
        <v>244.13</v>
      </c>
      <c r="X212" t="n">
        <v>232.5</v>
      </c>
      <c r="Y212" t="n">
        <v>19</v>
      </c>
      <c r="Z212" t="n">
        <v>44.18</v>
      </c>
      <c r="AA212" t="n">
        <v>4.49</v>
      </c>
      <c r="AB212" t="n">
        <v>48.67</v>
      </c>
      <c r="AC212" t="n">
        <v>8.76</v>
      </c>
      <c r="AD212" t="n">
        <v>0</v>
      </c>
      <c r="AE212" t="n">
        <v>232.5</v>
      </c>
      <c r="AF212" t="n">
        <v>0</v>
      </c>
      <c r="AG212" t="n">
        <v>0</v>
      </c>
      <c r="AH212" t="n">
        <v>0.23</v>
      </c>
      <c r="AI212" t="n">
        <v>11.63</v>
      </c>
      <c r="AJ212" t="n">
        <v>0</v>
      </c>
      <c r="AK212" t="n">
        <v>20.62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69.29000000000001</v>
      </c>
      <c r="AV212" t="n">
        <v>0</v>
      </c>
      <c r="AW212" t="n">
        <v>174.84</v>
      </c>
      <c r="AX212" t="inlineStr">
        <is>
          <t>settled</t>
        </is>
      </c>
      <c r="AY212" t="inlineStr">
        <is>
          <t>2026-01-28 05:30:00</t>
        </is>
      </c>
      <c r="AZ212" t="inlineStr">
        <is>
          <t>CITIN26611504159</t>
        </is>
      </c>
      <c r="BA212" t="n">
        <v>0</v>
      </c>
      <c r="BB212" t="inlineStr">
        <is>
          <t>e9b318c3501b4a2297c6bc3a2490d85afab860b5a6d825c5bd525576791e7ae2</t>
        </is>
      </c>
    </row>
    <row r="213">
      <c r="A213" t="inlineStr">
        <is>
          <t>208</t>
        </is>
      </c>
      <c r="B213" t="inlineStr">
        <is>
          <t>7711047940</t>
        </is>
      </c>
      <c r="C213" t="inlineStr">
        <is>
          <t>2026-01-23 17:45:15</t>
        </is>
      </c>
      <c r="D213" t="inlineStr">
        <is>
          <t>4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219</v>
      </c>
      <c r="P213" t="n">
        <v>3.5</v>
      </c>
      <c r="Q213" t="n">
        <v>0</v>
      </c>
      <c r="R213" t="n">
        <v>65.7</v>
      </c>
      <c r="S213" t="n">
        <v>0</v>
      </c>
      <c r="T213" t="n">
        <v>0</v>
      </c>
      <c r="U213" t="n">
        <v>0</v>
      </c>
      <c r="V213" t="n">
        <v>7.84</v>
      </c>
      <c r="W213" t="n">
        <v>164.64</v>
      </c>
      <c r="X213" t="n">
        <v>156.8</v>
      </c>
      <c r="Y213" t="n">
        <v>19</v>
      </c>
      <c r="Z213" t="n">
        <v>29.79</v>
      </c>
      <c r="AA213" t="n">
        <v>3.03</v>
      </c>
      <c r="AB213" t="n">
        <v>32.82</v>
      </c>
      <c r="AC213" t="n">
        <v>5.91</v>
      </c>
      <c r="AD213" t="n">
        <v>0</v>
      </c>
      <c r="AE213" t="n">
        <v>156.8</v>
      </c>
      <c r="AF213" t="n">
        <v>0</v>
      </c>
      <c r="AG213" t="n">
        <v>0</v>
      </c>
      <c r="AH213" t="n">
        <v>0.16</v>
      </c>
      <c r="AI213" t="n">
        <v>7.85</v>
      </c>
      <c r="AJ213" t="n">
        <v>-0.01</v>
      </c>
      <c r="AK213" t="n">
        <v>13.92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46.74</v>
      </c>
      <c r="AV213" t="n">
        <v>0</v>
      </c>
      <c r="AW213" t="n">
        <v>117.9</v>
      </c>
      <c r="AX213" t="inlineStr">
        <is>
          <t>settled</t>
        </is>
      </c>
      <c r="AY213" t="inlineStr">
        <is>
          <t>2026-01-28 05:30:00</t>
        </is>
      </c>
      <c r="AZ213" t="inlineStr">
        <is>
          <t>CITIN26611504159</t>
        </is>
      </c>
      <c r="BA213" t="n">
        <v>0</v>
      </c>
      <c r="BB213" t="inlineStr">
        <is>
          <t>daa04af0cebcab8848a2d816fdd79038b7e181e971f49fe06756355fb97e1cc4</t>
        </is>
      </c>
    </row>
    <row r="214">
      <c r="A214" t="inlineStr">
        <is>
          <t>209</t>
        </is>
      </c>
      <c r="B214" t="inlineStr">
        <is>
          <t>7716656081</t>
        </is>
      </c>
      <c r="C214" t="inlineStr">
        <is>
          <t>2026-01-23 18:33:21</t>
        </is>
      </c>
      <c r="D214" t="inlineStr">
        <is>
          <t>4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345</v>
      </c>
      <c r="P214" t="n">
        <v>3.5</v>
      </c>
      <c r="Q214" t="n">
        <v>0</v>
      </c>
      <c r="R214" t="n">
        <v>75</v>
      </c>
      <c r="S214" t="n">
        <v>0</v>
      </c>
      <c r="T214" t="n">
        <v>0</v>
      </c>
      <c r="U214" t="n">
        <v>0</v>
      </c>
      <c r="V214" t="n">
        <v>13.68</v>
      </c>
      <c r="W214" t="n">
        <v>287.18</v>
      </c>
      <c r="X214" t="n">
        <v>273.5</v>
      </c>
      <c r="Y214" t="n">
        <v>19</v>
      </c>
      <c r="Z214" t="n">
        <v>51.96</v>
      </c>
      <c r="AA214" t="n">
        <v>5.28</v>
      </c>
      <c r="AB214" t="n">
        <v>57.24</v>
      </c>
      <c r="AC214" t="n">
        <v>10.3</v>
      </c>
      <c r="AD214" t="n">
        <v>0</v>
      </c>
      <c r="AE214" t="n">
        <v>273.5</v>
      </c>
      <c r="AF214" t="n">
        <v>0</v>
      </c>
      <c r="AG214" t="n">
        <v>0</v>
      </c>
      <c r="AH214" t="n">
        <v>0.27</v>
      </c>
      <c r="AI214" t="n">
        <v>13.68</v>
      </c>
      <c r="AJ214" t="n">
        <v>0</v>
      </c>
      <c r="AK214" t="n">
        <v>24.25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81.48999999999999</v>
      </c>
      <c r="AV214" t="n">
        <v>0</v>
      </c>
      <c r="AW214" t="n">
        <v>205.69</v>
      </c>
      <c r="AX214" t="inlineStr">
        <is>
          <t>settled</t>
        </is>
      </c>
      <c r="AY214" t="inlineStr">
        <is>
          <t>2026-01-28 05:30:00</t>
        </is>
      </c>
      <c r="AZ214" t="inlineStr">
        <is>
          <t>CITIN26611504159</t>
        </is>
      </c>
      <c r="BA214" t="n">
        <v>0</v>
      </c>
      <c r="BB214" t="inlineStr">
        <is>
          <t>c5493e86819d824805bd4188a0eb07bcebb4b6d70f5512100875e6462663fc76</t>
        </is>
      </c>
    </row>
    <row r="215">
      <c r="A215" t="inlineStr">
        <is>
          <t>210</t>
        </is>
      </c>
      <c r="B215" t="inlineStr">
        <is>
          <t>7720663660</t>
        </is>
      </c>
      <c r="C215" t="inlineStr">
        <is>
          <t>2026-01-23 18:35:38</t>
        </is>
      </c>
      <c r="D215" t="inlineStr">
        <is>
          <t>4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30% off upto ₹75 (2025-06-25 - 2031-01-01)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458</v>
      </c>
      <c r="P215" t="n">
        <v>3.5</v>
      </c>
      <c r="Q215" t="n">
        <v>0</v>
      </c>
      <c r="R215" t="n">
        <v>75</v>
      </c>
      <c r="S215" t="n">
        <v>0</v>
      </c>
      <c r="T215" t="n">
        <v>0</v>
      </c>
      <c r="U215" t="n">
        <v>0</v>
      </c>
      <c r="V215" t="n">
        <v>19.33</v>
      </c>
      <c r="W215" t="n">
        <v>405.83</v>
      </c>
      <c r="X215" t="n">
        <v>386.5</v>
      </c>
      <c r="Y215" t="n">
        <v>19</v>
      </c>
      <c r="Z215" t="n">
        <v>73.44</v>
      </c>
      <c r="AA215" t="n">
        <v>7.47</v>
      </c>
      <c r="AB215" t="n">
        <v>80.91</v>
      </c>
      <c r="AC215" t="n">
        <v>14.56</v>
      </c>
      <c r="AD215" t="n">
        <v>0</v>
      </c>
      <c r="AE215" t="n">
        <v>386.5</v>
      </c>
      <c r="AF215" t="n">
        <v>0</v>
      </c>
      <c r="AG215" t="n">
        <v>0</v>
      </c>
      <c r="AH215" t="n">
        <v>0.39</v>
      </c>
      <c r="AI215" t="n">
        <v>19.33</v>
      </c>
      <c r="AJ215" t="n">
        <v>0</v>
      </c>
      <c r="AK215" t="n">
        <v>34.28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115.19</v>
      </c>
      <c r="AV215" t="n">
        <v>0</v>
      </c>
      <c r="AW215" t="n">
        <v>290.64</v>
      </c>
      <c r="AX215" t="inlineStr">
        <is>
          <t>settled</t>
        </is>
      </c>
      <c r="AY215" t="inlineStr">
        <is>
          <t>2026-01-28 05:30:00</t>
        </is>
      </c>
      <c r="AZ215" t="inlineStr">
        <is>
          <t>CITIN26611504159</t>
        </is>
      </c>
      <c r="BA215" t="n">
        <v>0</v>
      </c>
      <c r="BB215" t="inlineStr">
        <is>
          <t>72c95755efd0972e270f36621dcc05a8cf16526c871f6c83669c37fe97f8a3ad</t>
        </is>
      </c>
    </row>
    <row r="216">
      <c r="A216" t="inlineStr">
        <is>
          <t>211</t>
        </is>
      </c>
      <c r="B216" t="inlineStr">
        <is>
          <t>7719698045</t>
        </is>
      </c>
      <c r="C216" t="inlineStr">
        <is>
          <t>2026-01-23 19:28:57</t>
        </is>
      </c>
      <c r="D216" t="inlineStr">
        <is>
          <t>4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30% off upto ₹75 (2025-06-25 - 2031-01-01)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518</v>
      </c>
      <c r="P216" t="n">
        <v>3.5</v>
      </c>
      <c r="Q216" t="n">
        <v>0</v>
      </c>
      <c r="R216" t="n">
        <v>75</v>
      </c>
      <c r="S216" t="n">
        <v>0</v>
      </c>
      <c r="T216" t="n">
        <v>0</v>
      </c>
      <c r="U216" t="n">
        <v>0</v>
      </c>
      <c r="V216" t="n">
        <v>22.33</v>
      </c>
      <c r="W216" t="n">
        <v>468.83</v>
      </c>
      <c r="X216" t="n">
        <v>446.5</v>
      </c>
      <c r="Y216" t="n">
        <v>19</v>
      </c>
      <c r="Z216" t="n">
        <v>84.84</v>
      </c>
      <c r="AA216" t="n">
        <v>8.630000000000001</v>
      </c>
      <c r="AB216" t="n">
        <v>93.47</v>
      </c>
      <c r="AC216" t="n">
        <v>16.82</v>
      </c>
      <c r="AD216" t="n">
        <v>0</v>
      </c>
      <c r="AE216" t="n">
        <v>446.5</v>
      </c>
      <c r="AF216" t="n">
        <v>0</v>
      </c>
      <c r="AG216" t="n">
        <v>0</v>
      </c>
      <c r="AH216" t="n">
        <v>0.45</v>
      </c>
      <c r="AI216" t="n">
        <v>22.33</v>
      </c>
      <c r="AJ216" t="n">
        <v>0</v>
      </c>
      <c r="AK216" t="n">
        <v>39.6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133.07</v>
      </c>
      <c r="AV216" t="n">
        <v>0</v>
      </c>
      <c r="AW216" t="n">
        <v>335.76</v>
      </c>
      <c r="AX216" t="inlineStr">
        <is>
          <t>settled</t>
        </is>
      </c>
      <c r="AY216" t="inlineStr">
        <is>
          <t>2026-01-28 05:30:00</t>
        </is>
      </c>
      <c r="AZ216" t="inlineStr">
        <is>
          <t>CITIN26611504159</t>
        </is>
      </c>
      <c r="BA216" t="n">
        <v>0</v>
      </c>
      <c r="BB216" t="inlineStr">
        <is>
          <t>41cdb2d81e0cc60b8d45302ec1b85bf7be90fdf1a2f82bf532ccd3829f2fde05</t>
        </is>
      </c>
    </row>
    <row r="217">
      <c r="A217" t="inlineStr">
        <is>
          <t>212</t>
        </is>
      </c>
      <c r="B217" t="inlineStr">
        <is>
          <t>7720078064</t>
        </is>
      </c>
      <c r="C217" t="inlineStr">
        <is>
          <t>2026-01-23 19:36:24</t>
        </is>
      </c>
      <c r="D217" t="inlineStr">
        <is>
          <t>4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NA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229</v>
      </c>
      <c r="P217" t="n">
        <v>3.5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11.63</v>
      </c>
      <c r="W217" t="n">
        <v>244.13</v>
      </c>
      <c r="X217" t="n">
        <v>232.5</v>
      </c>
      <c r="Y217" t="n">
        <v>19</v>
      </c>
      <c r="Z217" t="n">
        <v>44.18</v>
      </c>
      <c r="AA217" t="n">
        <v>4.49</v>
      </c>
      <c r="AB217" t="n">
        <v>48.67</v>
      </c>
      <c r="AC217" t="n">
        <v>8.76</v>
      </c>
      <c r="AD217" t="n">
        <v>0</v>
      </c>
      <c r="AE217" t="n">
        <v>232.5</v>
      </c>
      <c r="AF217" t="n">
        <v>0</v>
      </c>
      <c r="AG217" t="n">
        <v>0</v>
      </c>
      <c r="AH217" t="n">
        <v>0.23</v>
      </c>
      <c r="AI217" t="n">
        <v>11.63</v>
      </c>
      <c r="AJ217" t="n">
        <v>0</v>
      </c>
      <c r="AK217" t="n">
        <v>20.62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69.29000000000001</v>
      </c>
      <c r="AV217" t="n">
        <v>0</v>
      </c>
      <c r="AW217" t="n">
        <v>174.84</v>
      </c>
      <c r="AX217" t="inlineStr">
        <is>
          <t>settled</t>
        </is>
      </c>
      <c r="AY217" t="inlineStr">
        <is>
          <t>2026-01-28 05:30:00</t>
        </is>
      </c>
      <c r="AZ217" t="inlineStr">
        <is>
          <t>CITIN26611504159</t>
        </is>
      </c>
      <c r="BA217" t="n">
        <v>0</v>
      </c>
      <c r="BB217" t="inlineStr">
        <is>
          <t>e186c8676f1a171ffffe042f5d0c74a0cf4f6125c167a31cf898776cfd9e8af0</t>
        </is>
      </c>
    </row>
    <row r="218">
      <c r="A218" t="inlineStr">
        <is>
          <t>213</t>
        </is>
      </c>
      <c r="B218" t="inlineStr">
        <is>
          <t>7712711207</t>
        </is>
      </c>
      <c r="C218" t="inlineStr">
        <is>
          <t>2026-01-23 19:44:06</t>
        </is>
      </c>
      <c r="D218" t="inlineStr">
        <is>
          <t>4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30% off upto ₹75 (2025-06-25 - 2031-01-01)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268</v>
      </c>
      <c r="P218" t="n">
        <v>3.5</v>
      </c>
      <c r="Q218" t="n">
        <v>0</v>
      </c>
      <c r="R218" t="n">
        <v>75</v>
      </c>
      <c r="S218" t="n">
        <v>0</v>
      </c>
      <c r="T218" t="n">
        <v>0</v>
      </c>
      <c r="U218" t="n">
        <v>0</v>
      </c>
      <c r="V218" t="n">
        <v>9.83</v>
      </c>
      <c r="W218" t="n">
        <v>206.33</v>
      </c>
      <c r="X218" t="n">
        <v>196.5</v>
      </c>
      <c r="Y218" t="n">
        <v>19</v>
      </c>
      <c r="Z218" t="n">
        <v>37.34</v>
      </c>
      <c r="AA218" t="n">
        <v>3.8</v>
      </c>
      <c r="AB218" t="n">
        <v>41.14</v>
      </c>
      <c r="AC218" t="n">
        <v>7.4</v>
      </c>
      <c r="AD218" t="n">
        <v>0</v>
      </c>
      <c r="AE218" t="n">
        <v>196.5</v>
      </c>
      <c r="AF218" t="n">
        <v>0</v>
      </c>
      <c r="AG218" t="n">
        <v>0</v>
      </c>
      <c r="AH218" t="n">
        <v>0.2</v>
      </c>
      <c r="AI218" t="n">
        <v>9.83</v>
      </c>
      <c r="AJ218" t="n">
        <v>0</v>
      </c>
      <c r="AK218" t="n">
        <v>17.43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58.57</v>
      </c>
      <c r="AV218" t="n">
        <v>0</v>
      </c>
      <c r="AW218" t="n">
        <v>147.76</v>
      </c>
      <c r="AX218" t="inlineStr">
        <is>
          <t>settled</t>
        </is>
      </c>
      <c r="AY218" t="inlineStr">
        <is>
          <t>2026-01-28 05:30:00</t>
        </is>
      </c>
      <c r="AZ218" t="inlineStr">
        <is>
          <t>CITIN26611504159</t>
        </is>
      </c>
      <c r="BA218" t="n">
        <v>0</v>
      </c>
      <c r="BB218" t="inlineStr">
        <is>
          <t>820d32e891cf84d450a324770229436f440f51337443630965e89cbe50b9a83b</t>
        </is>
      </c>
    </row>
    <row r="219">
      <c r="A219" t="inlineStr">
        <is>
          <t>214</t>
        </is>
      </c>
      <c r="B219" t="inlineStr">
        <is>
          <t>7701837366</t>
        </is>
      </c>
      <c r="C219" t="inlineStr">
        <is>
          <t>2026-01-23 20:27:48</t>
        </is>
      </c>
      <c r="D219" t="inlineStr">
        <is>
          <t>4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NA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229</v>
      </c>
      <c r="P219" t="n">
        <v>3.5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11.63</v>
      </c>
      <c r="W219" t="n">
        <v>244.13</v>
      </c>
      <c r="X219" t="n">
        <v>232.5</v>
      </c>
      <c r="Y219" t="n">
        <v>19</v>
      </c>
      <c r="Z219" t="n">
        <v>44.18</v>
      </c>
      <c r="AA219" t="n">
        <v>4.49</v>
      </c>
      <c r="AB219" t="n">
        <v>48.67</v>
      </c>
      <c r="AC219" t="n">
        <v>8.76</v>
      </c>
      <c r="AD219" t="n">
        <v>0</v>
      </c>
      <c r="AE219" t="n">
        <v>232.5</v>
      </c>
      <c r="AF219" t="n">
        <v>0</v>
      </c>
      <c r="AG219" t="n">
        <v>0</v>
      </c>
      <c r="AH219" t="n">
        <v>0.23</v>
      </c>
      <c r="AI219" t="n">
        <v>11.63</v>
      </c>
      <c r="AJ219" t="n">
        <v>0</v>
      </c>
      <c r="AK219" t="n">
        <v>20.62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69.29000000000001</v>
      </c>
      <c r="AV219" t="n">
        <v>0</v>
      </c>
      <c r="AW219" t="n">
        <v>174.84</v>
      </c>
      <c r="AX219" t="inlineStr">
        <is>
          <t>settled</t>
        </is>
      </c>
      <c r="AY219" t="inlineStr">
        <is>
          <t>2026-01-28 05:30:00</t>
        </is>
      </c>
      <c r="AZ219" t="inlineStr">
        <is>
          <t>CITIN26611504159</t>
        </is>
      </c>
      <c r="BA219" t="n">
        <v>0</v>
      </c>
      <c r="BB219" t="inlineStr">
        <is>
          <t>fb7e6ef08c2a46bf36fe3b0edb2decb623b8c8d5e644c9fbe17ffd0ef5bc98c4</t>
        </is>
      </c>
    </row>
    <row r="220">
      <c r="A220" t="inlineStr">
        <is>
          <t>215</t>
        </is>
      </c>
      <c r="B220" t="inlineStr">
        <is>
          <t>7715409292</t>
        </is>
      </c>
      <c r="C220" t="inlineStr">
        <is>
          <t>2026-01-23 20:30:27</t>
        </is>
      </c>
      <c r="D220" t="inlineStr">
        <is>
          <t>4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229</v>
      </c>
      <c r="P220" t="n">
        <v>3.5</v>
      </c>
      <c r="Q220" t="n">
        <v>0</v>
      </c>
      <c r="R220" t="n">
        <v>68.7</v>
      </c>
      <c r="S220" t="n">
        <v>0</v>
      </c>
      <c r="T220" t="n">
        <v>0</v>
      </c>
      <c r="U220" t="n">
        <v>0</v>
      </c>
      <c r="V220" t="n">
        <v>8.19</v>
      </c>
      <c r="W220" t="n">
        <v>171.99</v>
      </c>
      <c r="X220" t="n">
        <v>163.8</v>
      </c>
      <c r="Y220" t="n">
        <v>19</v>
      </c>
      <c r="Z220" t="n">
        <v>31.12</v>
      </c>
      <c r="AA220" t="n">
        <v>3.16</v>
      </c>
      <c r="AB220" t="n">
        <v>34.28</v>
      </c>
      <c r="AC220" t="n">
        <v>6.17</v>
      </c>
      <c r="AD220" t="n">
        <v>0</v>
      </c>
      <c r="AE220" t="n">
        <v>163.8</v>
      </c>
      <c r="AF220" t="n">
        <v>0</v>
      </c>
      <c r="AG220" t="n">
        <v>0</v>
      </c>
      <c r="AH220" t="n">
        <v>0.16</v>
      </c>
      <c r="AI220" t="n">
        <v>8.199999999999999</v>
      </c>
      <c r="AJ220" t="n">
        <v>-0.01</v>
      </c>
      <c r="AK220" t="n">
        <v>14.53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48.81</v>
      </c>
      <c r="AV220" t="n">
        <v>0</v>
      </c>
      <c r="AW220" t="n">
        <v>123.18</v>
      </c>
      <c r="AX220" t="inlineStr">
        <is>
          <t>settled</t>
        </is>
      </c>
      <c r="AY220" t="inlineStr">
        <is>
          <t>2026-01-28 05:30:00</t>
        </is>
      </c>
      <c r="AZ220" t="inlineStr">
        <is>
          <t>CITIN26611504159</t>
        </is>
      </c>
      <c r="BA220" t="n">
        <v>0</v>
      </c>
      <c r="BB220" t="inlineStr">
        <is>
          <t>aff10f8dfd4c53a230ae9a8b230202f3d7742e93d1a11dfcbd3e3205b11f315d</t>
        </is>
      </c>
    </row>
    <row r="221">
      <c r="A221" t="inlineStr">
        <is>
          <t>216</t>
        </is>
      </c>
      <c r="B221" t="inlineStr">
        <is>
          <t>7720461243</t>
        </is>
      </c>
      <c r="C221" t="inlineStr">
        <is>
          <t>2026-01-23 20:31:03</t>
        </is>
      </c>
      <c r="D221" t="inlineStr">
        <is>
          <t>4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30% off upto ₹75 (2025-06-25 - 2031-01-01)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229</v>
      </c>
      <c r="P221" t="n">
        <v>3.5</v>
      </c>
      <c r="Q221" t="n">
        <v>0</v>
      </c>
      <c r="R221" t="n">
        <v>68.7</v>
      </c>
      <c r="S221" t="n">
        <v>0</v>
      </c>
      <c r="T221" t="n">
        <v>0</v>
      </c>
      <c r="U221" t="n">
        <v>0</v>
      </c>
      <c r="V221" t="n">
        <v>8.19</v>
      </c>
      <c r="W221" t="n">
        <v>171.99</v>
      </c>
      <c r="X221" t="n">
        <v>163.8</v>
      </c>
      <c r="Y221" t="n">
        <v>19</v>
      </c>
      <c r="Z221" t="n">
        <v>31.12</v>
      </c>
      <c r="AA221" t="n">
        <v>3.16</v>
      </c>
      <c r="AB221" t="n">
        <v>34.28</v>
      </c>
      <c r="AC221" t="n">
        <v>6.17</v>
      </c>
      <c r="AD221" t="n">
        <v>0</v>
      </c>
      <c r="AE221" t="n">
        <v>163.8</v>
      </c>
      <c r="AF221" t="n">
        <v>0</v>
      </c>
      <c r="AG221" t="n">
        <v>0</v>
      </c>
      <c r="AH221" t="n">
        <v>0.16</v>
      </c>
      <c r="AI221" t="n">
        <v>8.199999999999999</v>
      </c>
      <c r="AJ221" t="n">
        <v>-0.01</v>
      </c>
      <c r="AK221" t="n">
        <v>14.53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48.81</v>
      </c>
      <c r="AV221" t="n">
        <v>0</v>
      </c>
      <c r="AW221" t="n">
        <v>123.18</v>
      </c>
      <c r="AX221" t="inlineStr">
        <is>
          <t>settled</t>
        </is>
      </c>
      <c r="AY221" t="inlineStr">
        <is>
          <t>2026-01-28 05:30:00</t>
        </is>
      </c>
      <c r="AZ221" t="inlineStr">
        <is>
          <t>CITIN26611504159</t>
        </is>
      </c>
      <c r="BA221" t="n">
        <v>0</v>
      </c>
      <c r="BB221" t="inlineStr">
        <is>
          <t>03897c777cba680372d01d4163a0c4612b0c3e024d7caa8c54f85dd64730c554</t>
        </is>
      </c>
    </row>
    <row r="222">
      <c r="A222" t="inlineStr">
        <is>
          <t>217</t>
        </is>
      </c>
      <c r="B222" t="inlineStr">
        <is>
          <t>7718379672</t>
        </is>
      </c>
      <c r="C222" t="inlineStr">
        <is>
          <t>2026-01-23 20:56:26</t>
        </is>
      </c>
      <c r="D222" t="inlineStr">
        <is>
          <t>4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219</v>
      </c>
      <c r="P222" t="n">
        <v>3.5</v>
      </c>
      <c r="Q222" t="n">
        <v>0</v>
      </c>
      <c r="R222" t="n">
        <v>65.7</v>
      </c>
      <c r="S222" t="n">
        <v>0</v>
      </c>
      <c r="T222" t="n">
        <v>0</v>
      </c>
      <c r="U222" t="n">
        <v>0</v>
      </c>
      <c r="V222" t="n">
        <v>7.84</v>
      </c>
      <c r="W222" t="n">
        <v>164.64</v>
      </c>
      <c r="X222" t="n">
        <v>156.8</v>
      </c>
      <c r="Y222" t="n">
        <v>19</v>
      </c>
      <c r="Z222" t="n">
        <v>29.79</v>
      </c>
      <c r="AA222" t="n">
        <v>3.03</v>
      </c>
      <c r="AB222" t="n">
        <v>32.82</v>
      </c>
      <c r="AC222" t="n">
        <v>5.91</v>
      </c>
      <c r="AD222" t="n">
        <v>0</v>
      </c>
      <c r="AE222" t="n">
        <v>156.8</v>
      </c>
      <c r="AF222" t="n">
        <v>0</v>
      </c>
      <c r="AG222" t="n">
        <v>0</v>
      </c>
      <c r="AH222" t="n">
        <v>0.16</v>
      </c>
      <c r="AI222" t="n">
        <v>7.85</v>
      </c>
      <c r="AJ222" t="n">
        <v>-0.01</v>
      </c>
      <c r="AK222" t="n">
        <v>13.92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46.74</v>
      </c>
      <c r="AV222" t="n">
        <v>0</v>
      </c>
      <c r="AW222" t="n">
        <v>117.9</v>
      </c>
      <c r="AX222" t="inlineStr">
        <is>
          <t>settled</t>
        </is>
      </c>
      <c r="AY222" t="inlineStr">
        <is>
          <t>2026-01-28 05:30:00</t>
        </is>
      </c>
      <c r="AZ222" t="inlineStr">
        <is>
          <t>CITIN26611504159</t>
        </is>
      </c>
      <c r="BA222" t="n">
        <v>0</v>
      </c>
      <c r="BB222" t="inlineStr">
        <is>
          <t>7ed494a123f45bb515044d3a3c18b2dec84f716f88dbd4ae0a54b07a721f4c0f</t>
        </is>
      </c>
    </row>
    <row r="223">
      <c r="A223" t="inlineStr">
        <is>
          <t>218</t>
        </is>
      </c>
      <c r="B223" t="inlineStr">
        <is>
          <t>7720859749</t>
        </is>
      </c>
      <c r="C223" t="inlineStr">
        <is>
          <t>2026-01-23 21:59:08</t>
        </is>
      </c>
      <c r="D223" t="inlineStr">
        <is>
          <t>4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30% off upto ₹75 (2025-06-25 - 2031-01-01)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289</v>
      </c>
      <c r="P223" t="n">
        <v>3.5</v>
      </c>
      <c r="Q223" t="n">
        <v>0</v>
      </c>
      <c r="R223" t="n">
        <v>75</v>
      </c>
      <c r="S223" t="n">
        <v>0</v>
      </c>
      <c r="T223" t="n">
        <v>0</v>
      </c>
      <c r="U223" t="n">
        <v>0</v>
      </c>
      <c r="V223" t="n">
        <v>10.88</v>
      </c>
      <c r="W223" t="n">
        <v>228.38</v>
      </c>
      <c r="X223" t="n">
        <v>217.5</v>
      </c>
      <c r="Y223" t="n">
        <v>19</v>
      </c>
      <c r="Z223" t="n">
        <v>41.32</v>
      </c>
      <c r="AA223" t="n">
        <v>4.2</v>
      </c>
      <c r="AB223" t="n">
        <v>45.52</v>
      </c>
      <c r="AC223" t="n">
        <v>8.199999999999999</v>
      </c>
      <c r="AD223" t="n">
        <v>0</v>
      </c>
      <c r="AE223" t="n">
        <v>217.5</v>
      </c>
      <c r="AF223" t="n">
        <v>0</v>
      </c>
      <c r="AG223" t="n">
        <v>0</v>
      </c>
      <c r="AH223" t="n">
        <v>0.22</v>
      </c>
      <c r="AI223" t="n">
        <v>10.88</v>
      </c>
      <c r="AJ223" t="n">
        <v>0</v>
      </c>
      <c r="AK223" t="n">
        <v>19.3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64.81999999999999</v>
      </c>
      <c r="AV223" t="n">
        <v>0</v>
      </c>
      <c r="AW223" t="n">
        <v>163.56</v>
      </c>
      <c r="AX223" t="inlineStr">
        <is>
          <t>settled</t>
        </is>
      </c>
      <c r="AY223" t="inlineStr">
        <is>
          <t>2026-01-28 05:30:00</t>
        </is>
      </c>
      <c r="AZ223" t="inlineStr">
        <is>
          <t>CITIN26611504159</t>
        </is>
      </c>
      <c r="BA223" t="n">
        <v>0</v>
      </c>
      <c r="BB223" t="inlineStr">
        <is>
          <t>0e1676fc71ff5c54d5c9b60eac184326b3aabea3fecee680028b1ce0dd7f19af</t>
        </is>
      </c>
    </row>
    <row r="224">
      <c r="A224" t="inlineStr">
        <is>
          <t>219</t>
        </is>
      </c>
      <c r="B224" t="inlineStr">
        <is>
          <t>7715009541</t>
        </is>
      </c>
      <c r="C224" t="inlineStr">
        <is>
          <t>2026-01-23 22:05:37</t>
        </is>
      </c>
      <c r="D224" t="inlineStr">
        <is>
          <t>4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30% off upto ₹75 (2025-06-25 - 2031-01-01)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438</v>
      </c>
      <c r="P224" t="n">
        <v>3.5</v>
      </c>
      <c r="Q224" t="n">
        <v>0</v>
      </c>
      <c r="R224" t="n">
        <v>75</v>
      </c>
      <c r="S224" t="n">
        <v>0</v>
      </c>
      <c r="T224" t="n">
        <v>0</v>
      </c>
      <c r="U224" t="n">
        <v>0</v>
      </c>
      <c r="V224" t="n">
        <v>18.33</v>
      </c>
      <c r="W224" t="n">
        <v>384.83</v>
      </c>
      <c r="X224" t="n">
        <v>366.5</v>
      </c>
      <c r="Y224" t="n">
        <v>19</v>
      </c>
      <c r="Z224" t="n">
        <v>69.64</v>
      </c>
      <c r="AA224" t="n">
        <v>7.08</v>
      </c>
      <c r="AB224" t="n">
        <v>76.72</v>
      </c>
      <c r="AC224" t="n">
        <v>13.81</v>
      </c>
      <c r="AD224" t="n">
        <v>0</v>
      </c>
      <c r="AE224" t="n">
        <v>366.5</v>
      </c>
      <c r="AF224" t="n">
        <v>0</v>
      </c>
      <c r="AG224" t="n">
        <v>0</v>
      </c>
      <c r="AH224" t="n">
        <v>0.37</v>
      </c>
      <c r="AI224" t="n">
        <v>18.33</v>
      </c>
      <c r="AJ224" t="n">
        <v>0</v>
      </c>
      <c r="AK224" t="n">
        <v>32.51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109.23</v>
      </c>
      <c r="AV224" t="n">
        <v>0</v>
      </c>
      <c r="AW224" t="n">
        <v>275.6</v>
      </c>
      <c r="AX224" t="inlineStr">
        <is>
          <t>settled</t>
        </is>
      </c>
      <c r="AY224" t="inlineStr">
        <is>
          <t>2026-01-28 05:30:00</t>
        </is>
      </c>
      <c r="AZ224" t="inlineStr">
        <is>
          <t>CITIN26611504159</t>
        </is>
      </c>
      <c r="BA224" t="n">
        <v>0</v>
      </c>
      <c r="BB224" t="inlineStr">
        <is>
          <t>f80acf4b7f483c7612fd8ee93aabc756684608cfb464ecabb360d583db0fc7c5</t>
        </is>
      </c>
    </row>
    <row r="225">
      <c r="A225" t="inlineStr">
        <is>
          <t>220</t>
        </is>
      </c>
      <c r="B225" t="inlineStr">
        <is>
          <t>7719208531</t>
        </is>
      </c>
      <c r="C225" t="inlineStr">
        <is>
          <t>2026-01-23 22:27:43</t>
        </is>
      </c>
      <c r="D225" t="inlineStr">
        <is>
          <t>4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NA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916</v>
      </c>
      <c r="P225" t="n">
        <v>3.5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45.98</v>
      </c>
      <c r="W225" t="n">
        <v>965.48</v>
      </c>
      <c r="X225" t="n">
        <v>919.5</v>
      </c>
      <c r="Y225" t="n">
        <v>19</v>
      </c>
      <c r="Z225" t="n">
        <v>174.7</v>
      </c>
      <c r="AA225" t="n">
        <v>17.76</v>
      </c>
      <c r="AB225" t="n">
        <v>192.46</v>
      </c>
      <c r="AC225" t="n">
        <v>34.65</v>
      </c>
      <c r="AD225" t="n">
        <v>0</v>
      </c>
      <c r="AE225" t="n">
        <v>919.5</v>
      </c>
      <c r="AF225" t="n">
        <v>0</v>
      </c>
      <c r="AG225" t="n">
        <v>0</v>
      </c>
      <c r="AH225" t="n">
        <v>0.92</v>
      </c>
      <c r="AI225" t="n">
        <v>45.98</v>
      </c>
      <c r="AJ225" t="n">
        <v>0</v>
      </c>
      <c r="AK225" t="n">
        <v>81.55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274.01</v>
      </c>
      <c r="AV225" t="n">
        <v>0</v>
      </c>
      <c r="AW225" t="n">
        <v>691.47</v>
      </c>
      <c r="AX225" t="inlineStr">
        <is>
          <t>settled</t>
        </is>
      </c>
      <c r="AY225" t="inlineStr">
        <is>
          <t>2026-01-28 05:30:00</t>
        </is>
      </c>
      <c r="AZ225" t="inlineStr">
        <is>
          <t>CITIN26611504159</t>
        </is>
      </c>
      <c r="BA225" t="n">
        <v>0</v>
      </c>
      <c r="BB225" t="inlineStr">
        <is>
          <t>b8d2d11fcb7aeb44be03f4914794a79c151d8a4915c10e45360eb13c58d89f58</t>
        </is>
      </c>
    </row>
    <row r="226">
      <c r="A226" t="inlineStr">
        <is>
          <t>221</t>
        </is>
      </c>
      <c r="B226" t="inlineStr">
        <is>
          <t>7722382241</t>
        </is>
      </c>
      <c r="C226" t="inlineStr">
        <is>
          <t>2026-01-23 22:43:30</t>
        </is>
      </c>
      <c r="D226" t="inlineStr">
        <is>
          <t>4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NA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229</v>
      </c>
      <c r="P226" t="n">
        <v>3.5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11.63</v>
      </c>
      <c r="W226" t="n">
        <v>244.13</v>
      </c>
      <c r="X226" t="n">
        <v>232.5</v>
      </c>
      <c r="Y226" t="n">
        <v>19</v>
      </c>
      <c r="Z226" t="n">
        <v>44.18</v>
      </c>
      <c r="AA226" t="n">
        <v>4.49</v>
      </c>
      <c r="AB226" t="n">
        <v>48.67</v>
      </c>
      <c r="AC226" t="n">
        <v>8.76</v>
      </c>
      <c r="AD226" t="n">
        <v>0</v>
      </c>
      <c r="AE226" t="n">
        <v>232.5</v>
      </c>
      <c r="AF226" t="n">
        <v>0</v>
      </c>
      <c r="AG226" t="n">
        <v>0</v>
      </c>
      <c r="AH226" t="n">
        <v>0.23</v>
      </c>
      <c r="AI226" t="n">
        <v>11.63</v>
      </c>
      <c r="AJ226" t="n">
        <v>0</v>
      </c>
      <c r="AK226" t="n">
        <v>20.62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69.29000000000001</v>
      </c>
      <c r="AV226" t="n">
        <v>0</v>
      </c>
      <c r="AW226" t="n">
        <v>174.84</v>
      </c>
      <c r="AX226" t="inlineStr">
        <is>
          <t>settled</t>
        </is>
      </c>
      <c r="AY226" t="inlineStr">
        <is>
          <t>2026-01-28 05:30:00</t>
        </is>
      </c>
      <c r="AZ226" t="inlineStr">
        <is>
          <t>CITIN26611504159</t>
        </is>
      </c>
      <c r="BA226" t="n">
        <v>0</v>
      </c>
      <c r="BB226" t="inlineStr">
        <is>
          <t>5ca08cc3132d8a50cb62fa7f3ac7aadbc40e1e4b0df7baed6017219ff8e35041</t>
        </is>
      </c>
    </row>
    <row r="227">
      <c r="A227" t="inlineStr">
        <is>
          <t>222</t>
        </is>
      </c>
      <c r="B227" t="inlineStr">
        <is>
          <t>7722030828</t>
        </is>
      </c>
      <c r="C227" t="inlineStr">
        <is>
          <t>2026-01-23 22:52:49</t>
        </is>
      </c>
      <c r="D227" t="inlineStr">
        <is>
          <t>4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30% off upto ₹75 (2025-06-25 - 2031-01-01)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458</v>
      </c>
      <c r="P227" t="n">
        <v>3.5</v>
      </c>
      <c r="Q227" t="n">
        <v>0</v>
      </c>
      <c r="R227" t="n">
        <v>75</v>
      </c>
      <c r="S227" t="n">
        <v>0</v>
      </c>
      <c r="T227" t="n">
        <v>0</v>
      </c>
      <c r="U227" t="n">
        <v>0</v>
      </c>
      <c r="V227" t="n">
        <v>19.33</v>
      </c>
      <c r="W227" t="n">
        <v>405.83</v>
      </c>
      <c r="X227" t="n">
        <v>386.5</v>
      </c>
      <c r="Y227" t="n">
        <v>19</v>
      </c>
      <c r="Z227" t="n">
        <v>73.44</v>
      </c>
      <c r="AA227" t="n">
        <v>7.47</v>
      </c>
      <c r="AB227" t="n">
        <v>80.91</v>
      </c>
      <c r="AC227" t="n">
        <v>14.56</v>
      </c>
      <c r="AD227" t="n">
        <v>0</v>
      </c>
      <c r="AE227" t="n">
        <v>386.5</v>
      </c>
      <c r="AF227" t="n">
        <v>0</v>
      </c>
      <c r="AG227" t="n">
        <v>0</v>
      </c>
      <c r="AH227" t="n">
        <v>0.39</v>
      </c>
      <c r="AI227" t="n">
        <v>19.33</v>
      </c>
      <c r="AJ227" t="n">
        <v>0</v>
      </c>
      <c r="AK227" t="n">
        <v>34.28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115.19</v>
      </c>
      <c r="AV227" t="n">
        <v>0</v>
      </c>
      <c r="AW227" t="n">
        <v>290.64</v>
      </c>
      <c r="AX227" t="inlineStr">
        <is>
          <t>settled</t>
        </is>
      </c>
      <c r="AY227" t="inlineStr">
        <is>
          <t>2026-01-28 05:30:00</t>
        </is>
      </c>
      <c r="AZ227" t="inlineStr">
        <is>
          <t>CITIN26611504159</t>
        </is>
      </c>
      <c r="BA227" t="n">
        <v>0</v>
      </c>
      <c r="BB227" t="inlineStr">
        <is>
          <t>423958b0ead225b2cf90431398202ad627baeae091037a4df4378dd733a0acb8</t>
        </is>
      </c>
    </row>
    <row r="228">
      <c r="A228" t="inlineStr">
        <is>
          <t>223</t>
        </is>
      </c>
      <c r="B228" t="inlineStr">
        <is>
          <t>7722060416</t>
        </is>
      </c>
      <c r="C228" t="inlineStr">
        <is>
          <t>2026-01-23 22:56:35</t>
        </is>
      </c>
      <c r="D228" t="inlineStr">
        <is>
          <t>4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30% off upto ₹75 (2025-06-25 - 2031-01-01)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397</v>
      </c>
      <c r="P228" t="n">
        <v>3.5</v>
      </c>
      <c r="Q228" t="n">
        <v>0</v>
      </c>
      <c r="R228" t="n">
        <v>75</v>
      </c>
      <c r="S228" t="n">
        <v>0</v>
      </c>
      <c r="T228" t="n">
        <v>0</v>
      </c>
      <c r="U228" t="n">
        <v>0</v>
      </c>
      <c r="V228" t="n">
        <v>16.28</v>
      </c>
      <c r="W228" t="n">
        <v>341.78</v>
      </c>
      <c r="X228" t="n">
        <v>325.5</v>
      </c>
      <c r="Y228" t="n">
        <v>19</v>
      </c>
      <c r="Z228" t="n">
        <v>61.84</v>
      </c>
      <c r="AA228" t="n">
        <v>6.29</v>
      </c>
      <c r="AB228" t="n">
        <v>68.13</v>
      </c>
      <c r="AC228" t="n">
        <v>12.26</v>
      </c>
      <c r="AD228" t="n">
        <v>0</v>
      </c>
      <c r="AE228" t="n">
        <v>325.5</v>
      </c>
      <c r="AF228" t="n">
        <v>0</v>
      </c>
      <c r="AG228" t="n">
        <v>0</v>
      </c>
      <c r="AH228" t="n">
        <v>0.33</v>
      </c>
      <c r="AI228" t="n">
        <v>16.28</v>
      </c>
      <c r="AJ228" t="n">
        <v>0</v>
      </c>
      <c r="AK228" t="n">
        <v>28.87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97</v>
      </c>
      <c r="AV228" t="n">
        <v>0</v>
      </c>
      <c r="AW228" t="n">
        <v>244.78</v>
      </c>
      <c r="AX228" t="inlineStr">
        <is>
          <t>settled</t>
        </is>
      </c>
      <c r="AY228" t="inlineStr">
        <is>
          <t>2026-01-28 05:30:00</t>
        </is>
      </c>
      <c r="AZ228" t="inlineStr">
        <is>
          <t>CITIN26611504159</t>
        </is>
      </c>
      <c r="BA228" t="n">
        <v>0</v>
      </c>
      <c r="BB228" t="inlineStr">
        <is>
          <t>a8c342d2ed85abebe3f8d33e9140bfc4f133916f12cddd54e7cd11e6274f0ac6</t>
        </is>
      </c>
    </row>
    <row r="229">
      <c r="A229" t="inlineStr">
        <is>
          <t>224</t>
        </is>
      </c>
      <c r="B229" t="inlineStr">
        <is>
          <t>7704839357</t>
        </is>
      </c>
      <c r="C229" t="inlineStr">
        <is>
          <t>2026-01-24 00:14:38</t>
        </is>
      </c>
      <c r="D229" t="inlineStr">
        <is>
          <t>4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229</v>
      </c>
      <c r="P229" t="n">
        <v>3.5</v>
      </c>
      <c r="Q229" t="n">
        <v>0</v>
      </c>
      <c r="R229" t="n">
        <v>68.7</v>
      </c>
      <c r="S229" t="n">
        <v>0</v>
      </c>
      <c r="T229" t="n">
        <v>0</v>
      </c>
      <c r="U229" t="n">
        <v>0</v>
      </c>
      <c r="V229" t="n">
        <v>8.19</v>
      </c>
      <c r="W229" t="n">
        <v>171.99</v>
      </c>
      <c r="X229" t="n">
        <v>163.8</v>
      </c>
      <c r="Y229" t="n">
        <v>19</v>
      </c>
      <c r="Z229" t="n">
        <v>31.12</v>
      </c>
      <c r="AA229" t="n">
        <v>3.16</v>
      </c>
      <c r="AB229" t="n">
        <v>34.28</v>
      </c>
      <c r="AC229" t="n">
        <v>6.17</v>
      </c>
      <c r="AD229" t="n">
        <v>0</v>
      </c>
      <c r="AE229" t="n">
        <v>163.8</v>
      </c>
      <c r="AF229" t="n">
        <v>0</v>
      </c>
      <c r="AG229" t="n">
        <v>0</v>
      </c>
      <c r="AH229" t="n">
        <v>0.16</v>
      </c>
      <c r="AI229" t="n">
        <v>8.199999999999999</v>
      </c>
      <c r="AJ229" t="n">
        <v>-0.01</v>
      </c>
      <c r="AK229" t="n">
        <v>14.53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48.81</v>
      </c>
      <c r="AV229" t="n">
        <v>0</v>
      </c>
      <c r="AW229" t="n">
        <v>123.18</v>
      </c>
      <c r="AX229" t="inlineStr">
        <is>
          <t>settled</t>
        </is>
      </c>
      <c r="AY229" t="inlineStr">
        <is>
          <t>2026-01-28 05:30:00</t>
        </is>
      </c>
      <c r="AZ229" t="inlineStr">
        <is>
          <t>CITIN26611504159</t>
        </is>
      </c>
      <c r="BA229" t="n">
        <v>0</v>
      </c>
      <c r="BB229" t="inlineStr">
        <is>
          <t>c24775d5e60a4e8c9d65f0fe18c2f5a1d40b58ebb5fd89fd90c2ccdc52055187</t>
        </is>
      </c>
    </row>
    <row r="230">
      <c r="A230" t="inlineStr">
        <is>
          <t>225</t>
        </is>
      </c>
      <c r="B230" t="inlineStr">
        <is>
          <t>7719718312</t>
        </is>
      </c>
      <c r="C230" t="inlineStr">
        <is>
          <t>2026-01-24 00:14:46</t>
        </is>
      </c>
      <c r="D230" t="inlineStr">
        <is>
          <t>4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NA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458</v>
      </c>
      <c r="P230" t="n">
        <v>3.5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23.08</v>
      </c>
      <c r="W230" t="n">
        <v>484.58</v>
      </c>
      <c r="X230" t="n">
        <v>461.5</v>
      </c>
      <c r="Y230" t="n">
        <v>19</v>
      </c>
      <c r="Z230" t="n">
        <v>87.68000000000001</v>
      </c>
      <c r="AA230" t="n">
        <v>8.92</v>
      </c>
      <c r="AB230" t="n">
        <v>96.59999999999999</v>
      </c>
      <c r="AC230" t="n">
        <v>17.39</v>
      </c>
      <c r="AD230" t="n">
        <v>0</v>
      </c>
      <c r="AE230" t="n">
        <v>461.5</v>
      </c>
      <c r="AF230" t="n">
        <v>0</v>
      </c>
      <c r="AG230" t="n">
        <v>0</v>
      </c>
      <c r="AH230" t="n">
        <v>0.46</v>
      </c>
      <c r="AI230" t="n">
        <v>23.08</v>
      </c>
      <c r="AJ230" t="n">
        <v>0</v>
      </c>
      <c r="AK230" t="n">
        <v>40.93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137.53</v>
      </c>
      <c r="AV230" t="n">
        <v>0</v>
      </c>
      <c r="AW230" t="n">
        <v>347.05</v>
      </c>
      <c r="AX230" t="inlineStr">
        <is>
          <t>settled</t>
        </is>
      </c>
      <c r="AY230" t="inlineStr">
        <is>
          <t>2026-01-28 05:30:00</t>
        </is>
      </c>
      <c r="AZ230" t="inlineStr">
        <is>
          <t>CITIN26611504159</t>
        </is>
      </c>
      <c r="BA230" t="n">
        <v>0</v>
      </c>
      <c r="BB230" t="inlineStr">
        <is>
          <t>3ceb7e23eadfe4f6543761f48a7f77037c56a2195cb95d675327d52e44c2c30a</t>
        </is>
      </c>
    </row>
    <row r="231">
      <c r="A231" t="inlineStr">
        <is>
          <t>226</t>
        </is>
      </c>
      <c r="B231" t="inlineStr">
        <is>
          <t>7691193370</t>
        </is>
      </c>
      <c r="C231" t="inlineStr">
        <is>
          <t>2026-01-24 00:23:15</t>
        </is>
      </c>
      <c r="D231" t="inlineStr">
        <is>
          <t>4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NA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448</v>
      </c>
      <c r="P231" t="n">
        <v>3.5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22.58</v>
      </c>
      <c r="W231" t="n">
        <v>474.08</v>
      </c>
      <c r="X231" t="n">
        <v>451.5</v>
      </c>
      <c r="Y231" t="n">
        <v>19</v>
      </c>
      <c r="Z231" t="n">
        <v>85.78</v>
      </c>
      <c r="AA231" t="n">
        <v>8.720000000000001</v>
      </c>
      <c r="AB231" t="n">
        <v>94.5</v>
      </c>
      <c r="AC231" t="n">
        <v>17.01</v>
      </c>
      <c r="AD231" t="n">
        <v>0</v>
      </c>
      <c r="AE231" t="n">
        <v>451.5</v>
      </c>
      <c r="AF231" t="n">
        <v>0</v>
      </c>
      <c r="AG231" t="n">
        <v>0</v>
      </c>
      <c r="AH231" t="n">
        <v>0.45</v>
      </c>
      <c r="AI231" t="n">
        <v>22.58</v>
      </c>
      <c r="AJ231" t="n">
        <v>0</v>
      </c>
      <c r="AK231" t="n">
        <v>40.04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134.54</v>
      </c>
      <c r="AV231" t="n">
        <v>0</v>
      </c>
      <c r="AW231" t="n">
        <v>339.54</v>
      </c>
      <c r="AX231" t="inlineStr">
        <is>
          <t>settled</t>
        </is>
      </c>
      <c r="AY231" t="inlineStr">
        <is>
          <t>2026-01-28 05:30:00</t>
        </is>
      </c>
      <c r="AZ231" t="inlineStr">
        <is>
          <t>CITIN26611504159</t>
        </is>
      </c>
      <c r="BA231" t="n">
        <v>0</v>
      </c>
      <c r="BB231" t="inlineStr">
        <is>
          <t>712072e7225508753e919a827b081440a6eb0a8b6aa271f2e3c26369b1c2805d</t>
        </is>
      </c>
    </row>
    <row r="232">
      <c r="A232" t="inlineStr">
        <is>
          <t>227</t>
        </is>
      </c>
      <c r="B232" t="inlineStr">
        <is>
          <t>7709209954</t>
        </is>
      </c>
      <c r="C232" t="inlineStr">
        <is>
          <t>2026-01-24 00:41:27</t>
        </is>
      </c>
      <c r="D232" t="inlineStr">
        <is>
          <t>4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229</v>
      </c>
      <c r="P232" t="n">
        <v>3.5</v>
      </c>
      <c r="Q232" t="n">
        <v>0</v>
      </c>
      <c r="R232" t="n">
        <v>68.7</v>
      </c>
      <c r="S232" t="n">
        <v>0</v>
      </c>
      <c r="T232" t="n">
        <v>0</v>
      </c>
      <c r="U232" t="n">
        <v>0</v>
      </c>
      <c r="V232" t="n">
        <v>8.19</v>
      </c>
      <c r="W232" t="n">
        <v>171.99</v>
      </c>
      <c r="X232" t="n">
        <v>163.8</v>
      </c>
      <c r="Y232" t="n">
        <v>19</v>
      </c>
      <c r="Z232" t="n">
        <v>31.12</v>
      </c>
      <c r="AA232" t="n">
        <v>3.16</v>
      </c>
      <c r="AB232" t="n">
        <v>34.28</v>
      </c>
      <c r="AC232" t="n">
        <v>6.17</v>
      </c>
      <c r="AD232" t="n">
        <v>0</v>
      </c>
      <c r="AE232" t="n">
        <v>163.8</v>
      </c>
      <c r="AF232" t="n">
        <v>0</v>
      </c>
      <c r="AG232" t="n">
        <v>0</v>
      </c>
      <c r="AH232" t="n">
        <v>0.16</v>
      </c>
      <c r="AI232" t="n">
        <v>8.199999999999999</v>
      </c>
      <c r="AJ232" t="n">
        <v>-0.01</v>
      </c>
      <c r="AK232" t="n">
        <v>14.53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48.81</v>
      </c>
      <c r="AV232" t="n">
        <v>0</v>
      </c>
      <c r="AW232" t="n">
        <v>123.18</v>
      </c>
      <c r="AX232" t="inlineStr">
        <is>
          <t>settled</t>
        </is>
      </c>
      <c r="AY232" t="inlineStr">
        <is>
          <t>2026-01-28 05:30:00</t>
        </is>
      </c>
      <c r="AZ232" t="inlineStr">
        <is>
          <t>CITIN26611504159</t>
        </is>
      </c>
      <c r="BA232" t="n">
        <v>0</v>
      </c>
      <c r="BB232" t="inlineStr">
        <is>
          <t>c0a2bc8dc070c036901923570dbd6bafc97c0f85dbdc227f0ad3faf3aec9e73b</t>
        </is>
      </c>
    </row>
    <row r="233">
      <c r="A233" t="inlineStr">
        <is>
          <t>228</t>
        </is>
      </c>
      <c r="B233" t="inlineStr">
        <is>
          <t>7716706527</t>
        </is>
      </c>
      <c r="C233" t="inlineStr">
        <is>
          <t>2026-01-24 00:41:45</t>
        </is>
      </c>
      <c r="D233" t="inlineStr">
        <is>
          <t>4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355</v>
      </c>
      <c r="P233" t="n">
        <v>3.5</v>
      </c>
      <c r="Q233" t="n">
        <v>0</v>
      </c>
      <c r="R233" t="n">
        <v>75</v>
      </c>
      <c r="S233" t="n">
        <v>0</v>
      </c>
      <c r="T233" t="n">
        <v>0</v>
      </c>
      <c r="U233" t="n">
        <v>0</v>
      </c>
      <c r="V233" t="n">
        <v>14.18</v>
      </c>
      <c r="W233" t="n">
        <v>297.68</v>
      </c>
      <c r="X233" t="n">
        <v>283.5</v>
      </c>
      <c r="Y233" t="n">
        <v>19</v>
      </c>
      <c r="Z233" t="n">
        <v>53.86</v>
      </c>
      <c r="AA233" t="n">
        <v>5.48</v>
      </c>
      <c r="AB233" t="n">
        <v>59.34</v>
      </c>
      <c r="AC233" t="n">
        <v>10.68</v>
      </c>
      <c r="AD233" t="n">
        <v>0</v>
      </c>
      <c r="AE233" t="n">
        <v>283.5</v>
      </c>
      <c r="AF233" t="n">
        <v>0</v>
      </c>
      <c r="AG233" t="n">
        <v>0</v>
      </c>
      <c r="AH233" t="n">
        <v>0.28</v>
      </c>
      <c r="AI233" t="n">
        <v>14.18</v>
      </c>
      <c r="AJ233" t="n">
        <v>0</v>
      </c>
      <c r="AK233" t="n">
        <v>25.14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84.48</v>
      </c>
      <c r="AV233" t="n">
        <v>0</v>
      </c>
      <c r="AW233" t="n">
        <v>213.2</v>
      </c>
      <c r="AX233" t="inlineStr">
        <is>
          <t>settled</t>
        </is>
      </c>
      <c r="AY233" t="inlineStr">
        <is>
          <t>2026-01-28 05:30:00</t>
        </is>
      </c>
      <c r="AZ233" t="inlineStr">
        <is>
          <t>CITIN26611504159</t>
        </is>
      </c>
      <c r="BA233" t="n">
        <v>0</v>
      </c>
      <c r="BB233" t="inlineStr">
        <is>
          <t>13e17be5b920c7b24d377b8b8a00ca1adfb27c465baecd78c92d0ed72ca4757a</t>
        </is>
      </c>
    </row>
    <row r="234">
      <c r="A234" t="inlineStr">
        <is>
          <t>229</t>
        </is>
      </c>
      <c r="B234" t="inlineStr">
        <is>
          <t>7709970374</t>
        </is>
      </c>
      <c r="C234" t="inlineStr">
        <is>
          <t>2026-01-24 00:48:28</t>
        </is>
      </c>
      <c r="D234" t="inlineStr">
        <is>
          <t>4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229</v>
      </c>
      <c r="P234" t="n">
        <v>3.5</v>
      </c>
      <c r="Q234" t="n">
        <v>0</v>
      </c>
      <c r="R234" t="n">
        <v>68.7</v>
      </c>
      <c r="S234" t="n">
        <v>0</v>
      </c>
      <c r="T234" t="n">
        <v>0</v>
      </c>
      <c r="U234" t="n">
        <v>0</v>
      </c>
      <c r="V234" t="n">
        <v>8.19</v>
      </c>
      <c r="W234" t="n">
        <v>171.99</v>
      </c>
      <c r="X234" t="n">
        <v>163.8</v>
      </c>
      <c r="Y234" t="n">
        <v>19</v>
      </c>
      <c r="Z234" t="n">
        <v>31.12</v>
      </c>
      <c r="AA234" t="n">
        <v>3.16</v>
      </c>
      <c r="AB234" t="n">
        <v>34.28</v>
      </c>
      <c r="AC234" t="n">
        <v>6.17</v>
      </c>
      <c r="AD234" t="n">
        <v>0</v>
      </c>
      <c r="AE234" t="n">
        <v>163.8</v>
      </c>
      <c r="AF234" t="n">
        <v>0</v>
      </c>
      <c r="AG234" t="n">
        <v>0</v>
      </c>
      <c r="AH234" t="n">
        <v>0.16</v>
      </c>
      <c r="AI234" t="n">
        <v>8.199999999999999</v>
      </c>
      <c r="AJ234" t="n">
        <v>-0.01</v>
      </c>
      <c r="AK234" t="n">
        <v>14.53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48.81</v>
      </c>
      <c r="AV234" t="n">
        <v>0</v>
      </c>
      <c r="AW234" t="n">
        <v>123.18</v>
      </c>
      <c r="AX234" t="inlineStr">
        <is>
          <t>settled</t>
        </is>
      </c>
      <c r="AY234" t="inlineStr">
        <is>
          <t>2026-01-28 05:30:00</t>
        </is>
      </c>
      <c r="AZ234" t="inlineStr">
        <is>
          <t>CITIN26611504159</t>
        </is>
      </c>
      <c r="BA234" t="n">
        <v>0</v>
      </c>
      <c r="BB234" t="inlineStr">
        <is>
          <t>c7e47a8675a57fb26bbe5fb3226d8f27eb098d43b1871c62ef7f8d8fe5785424</t>
        </is>
      </c>
    </row>
    <row r="235">
      <c r="A235" t="inlineStr">
        <is>
          <t>230</t>
        </is>
      </c>
      <c r="B235" t="inlineStr">
        <is>
          <t>7719450922</t>
        </is>
      </c>
      <c r="C235" t="inlineStr">
        <is>
          <t>2026-01-24 01:01:54</t>
        </is>
      </c>
      <c r="D235" t="inlineStr">
        <is>
          <t>4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229</v>
      </c>
      <c r="P235" t="n">
        <v>3.5</v>
      </c>
      <c r="Q235" t="n">
        <v>0</v>
      </c>
      <c r="R235" t="n">
        <v>68.7</v>
      </c>
      <c r="S235" t="n">
        <v>0</v>
      </c>
      <c r="T235" t="n">
        <v>0</v>
      </c>
      <c r="U235" t="n">
        <v>0</v>
      </c>
      <c r="V235" t="n">
        <v>8.19</v>
      </c>
      <c r="W235" t="n">
        <v>171.99</v>
      </c>
      <c r="X235" t="n">
        <v>163.8</v>
      </c>
      <c r="Y235" t="n">
        <v>19</v>
      </c>
      <c r="Z235" t="n">
        <v>31.12</v>
      </c>
      <c r="AA235" t="n">
        <v>3.16</v>
      </c>
      <c r="AB235" t="n">
        <v>34.28</v>
      </c>
      <c r="AC235" t="n">
        <v>6.17</v>
      </c>
      <c r="AD235" t="n">
        <v>0</v>
      </c>
      <c r="AE235" t="n">
        <v>163.8</v>
      </c>
      <c r="AF235" t="n">
        <v>0</v>
      </c>
      <c r="AG235" t="n">
        <v>0</v>
      </c>
      <c r="AH235" t="n">
        <v>0.16</v>
      </c>
      <c r="AI235" t="n">
        <v>8.199999999999999</v>
      </c>
      <c r="AJ235" t="n">
        <v>-0.01</v>
      </c>
      <c r="AK235" t="n">
        <v>14.53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48.81</v>
      </c>
      <c r="AV235" t="n">
        <v>0</v>
      </c>
      <c r="AW235" t="n">
        <v>123.18</v>
      </c>
      <c r="AX235" t="inlineStr">
        <is>
          <t>settled</t>
        </is>
      </c>
      <c r="AY235" t="inlineStr">
        <is>
          <t>2026-01-28 05:30:00</t>
        </is>
      </c>
      <c r="AZ235" t="inlineStr">
        <is>
          <t>CITIN26611504159</t>
        </is>
      </c>
      <c r="BA235" t="n">
        <v>0</v>
      </c>
      <c r="BB235" t="inlineStr">
        <is>
          <t>67efaab6d6a0d49bd3f281de06469a68000bd1ed331be5bd2cc34d4289f345f8</t>
        </is>
      </c>
    </row>
    <row r="236">
      <c r="A236" t="inlineStr">
        <is>
          <t>231</t>
        </is>
      </c>
      <c r="B236" t="inlineStr">
        <is>
          <t>7720403566</t>
        </is>
      </c>
      <c r="C236" t="inlineStr">
        <is>
          <t>2026-01-24 12:22:28</t>
        </is>
      </c>
      <c r="D236" t="inlineStr">
        <is>
          <t>4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NA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407</v>
      </c>
      <c r="P236" t="n">
        <v>3.5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20.53</v>
      </c>
      <c r="W236" t="n">
        <v>431.03</v>
      </c>
      <c r="X236" t="n">
        <v>410.5</v>
      </c>
      <c r="Y236" t="n">
        <v>19</v>
      </c>
      <c r="Z236" t="n">
        <v>78</v>
      </c>
      <c r="AA236" t="n">
        <v>7.93</v>
      </c>
      <c r="AB236" t="n">
        <v>85.93000000000001</v>
      </c>
      <c r="AC236" t="n">
        <v>15.47</v>
      </c>
      <c r="AD236" t="n">
        <v>0</v>
      </c>
      <c r="AE236" t="n">
        <v>410.5</v>
      </c>
      <c r="AF236" t="n">
        <v>0</v>
      </c>
      <c r="AG236" t="n">
        <v>0</v>
      </c>
      <c r="AH236" t="n">
        <v>0.41</v>
      </c>
      <c r="AI236" t="n">
        <v>20.53</v>
      </c>
      <c r="AJ236" t="n">
        <v>0</v>
      </c>
      <c r="AK236" t="n">
        <v>36.41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122.34</v>
      </c>
      <c r="AV236" t="n">
        <v>0</v>
      </c>
      <c r="AW236" t="n">
        <v>308.69</v>
      </c>
      <c r="AX236" t="inlineStr">
        <is>
          <t>settled</t>
        </is>
      </c>
      <c r="AY236" t="inlineStr">
        <is>
          <t>2026-01-28 05:30:00</t>
        </is>
      </c>
      <c r="AZ236" t="inlineStr">
        <is>
          <t>CITIN26611504159</t>
        </is>
      </c>
      <c r="BA236" t="n">
        <v>0</v>
      </c>
      <c r="BB236" t="inlineStr">
        <is>
          <t>8e1b39edfb34f7669b23500afa2ce0c6a2ac41466148f0a4206ec686d996bf52</t>
        </is>
      </c>
    </row>
    <row r="237">
      <c r="A237" t="inlineStr">
        <is>
          <t>232</t>
        </is>
      </c>
      <c r="B237" t="inlineStr">
        <is>
          <t>7723857516</t>
        </is>
      </c>
      <c r="C237" t="inlineStr">
        <is>
          <t>2026-01-24 15:48:27</t>
        </is>
      </c>
      <c r="D237" t="inlineStr">
        <is>
          <t>4</t>
        </is>
      </c>
      <c r="E237" t="inlineStr">
        <is>
          <t>Sha Sha - Shandaar Shawarma</t>
        </is>
      </c>
      <c r="F237" t="inlineStr">
        <is>
          <t>18557902</t>
        </is>
      </c>
      <c r="G237" t="inlineStr">
        <is>
          <t>NA</t>
        </is>
      </c>
      <c r="H237" t="inlineStr">
        <is>
          <t>ONLINE</t>
        </is>
      </c>
      <c r="I237" t="inlineStr">
        <is>
          <t>DELIVERED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O2</t>
        </is>
      </c>
      <c r="N237" t="inlineStr">
        <is>
          <t>36</t>
        </is>
      </c>
      <c r="O237" t="n">
        <v>219</v>
      </c>
      <c r="P237" t="n">
        <v>3.5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11.13</v>
      </c>
      <c r="W237" t="n">
        <v>233.63</v>
      </c>
      <c r="X237" t="n">
        <v>222.5</v>
      </c>
      <c r="Y237" t="n">
        <v>19</v>
      </c>
      <c r="Z237" t="n">
        <v>42.28</v>
      </c>
      <c r="AA237" t="n">
        <v>4.3</v>
      </c>
      <c r="AB237" t="n">
        <v>46.58</v>
      </c>
      <c r="AC237" t="n">
        <v>8.380000000000001</v>
      </c>
      <c r="AD237" t="n">
        <v>0</v>
      </c>
      <c r="AE237" t="n">
        <v>222.5</v>
      </c>
      <c r="AF237" t="n">
        <v>0</v>
      </c>
      <c r="AG237" t="n">
        <v>0</v>
      </c>
      <c r="AH237" t="n">
        <v>0.22</v>
      </c>
      <c r="AI237" t="n">
        <v>11.13</v>
      </c>
      <c r="AJ237" t="n">
        <v>0</v>
      </c>
      <c r="AK237" t="n">
        <v>19.73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66.31</v>
      </c>
      <c r="AV237" t="n">
        <v>0</v>
      </c>
      <c r="AW237" t="n">
        <v>167.32</v>
      </c>
      <c r="AX237" t="inlineStr">
        <is>
          <t>settled</t>
        </is>
      </c>
      <c r="AY237" t="inlineStr">
        <is>
          <t>2026-01-28 05:30:00</t>
        </is>
      </c>
      <c r="AZ237" t="inlineStr">
        <is>
          <t>CITIN26611504159</t>
        </is>
      </c>
      <c r="BA237" t="n">
        <v>0</v>
      </c>
      <c r="BB237" t="inlineStr">
        <is>
          <t>06a49c79cd925345e1f020a20f10208ad582e4dedc5ecf6f4fdac2e5f80d7c95</t>
        </is>
      </c>
    </row>
    <row r="238">
      <c r="A238" t="inlineStr">
        <is>
          <t>233</t>
        </is>
      </c>
      <c r="B238" t="inlineStr">
        <is>
          <t>7723544433</t>
        </is>
      </c>
      <c r="C238" t="inlineStr">
        <is>
          <t>2026-01-24 15:51:15</t>
        </is>
      </c>
      <c r="D238" t="inlineStr">
        <is>
          <t>4</t>
        </is>
      </c>
      <c r="E238" t="inlineStr">
        <is>
          <t>Sha Sha - Shandaar Shawarma</t>
        </is>
      </c>
      <c r="F238" t="inlineStr">
        <is>
          <t>18557902</t>
        </is>
      </c>
      <c r="G238" t="inlineStr">
        <is>
          <t>NA</t>
        </is>
      </c>
      <c r="H238" t="inlineStr">
        <is>
          <t>ONLINE</t>
        </is>
      </c>
      <c r="I238" t="inlineStr">
        <is>
          <t>DELIVERED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O2</t>
        </is>
      </c>
      <c r="N238" t="inlineStr">
        <is>
          <t>36</t>
        </is>
      </c>
      <c r="O238" t="n">
        <v>487</v>
      </c>
      <c r="P238" t="n">
        <v>3.5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24.53</v>
      </c>
      <c r="W238" t="n">
        <v>515.03</v>
      </c>
      <c r="X238" t="n">
        <v>490.5</v>
      </c>
      <c r="Y238" t="n">
        <v>19</v>
      </c>
      <c r="Z238" t="n">
        <v>93.2</v>
      </c>
      <c r="AA238" t="n">
        <v>9.48</v>
      </c>
      <c r="AB238" t="n">
        <v>102.68</v>
      </c>
      <c r="AC238" t="n">
        <v>18.49</v>
      </c>
      <c r="AD238" t="n">
        <v>0</v>
      </c>
      <c r="AE238" t="n">
        <v>490.5</v>
      </c>
      <c r="AF238" t="n">
        <v>0</v>
      </c>
      <c r="AG238" t="n">
        <v>0</v>
      </c>
      <c r="AH238" t="n">
        <v>0.49</v>
      </c>
      <c r="AI238" t="n">
        <v>24.53</v>
      </c>
      <c r="AJ238" t="n">
        <v>0</v>
      </c>
      <c r="AK238" t="n">
        <v>43.51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146.19</v>
      </c>
      <c r="AV238" t="n">
        <v>0</v>
      </c>
      <c r="AW238" t="n">
        <v>368.84</v>
      </c>
      <c r="AX238" t="inlineStr">
        <is>
          <t>settled</t>
        </is>
      </c>
      <c r="AY238" t="inlineStr">
        <is>
          <t>2026-01-28 05:30:00</t>
        </is>
      </c>
      <c r="AZ238" t="inlineStr">
        <is>
          <t>CITIN26611504159</t>
        </is>
      </c>
      <c r="BA238" t="n">
        <v>0</v>
      </c>
      <c r="BB238" t="inlineStr">
        <is>
          <t>f7cda1be85a395c267c9f0b75650cedd49400f5ac119c1c490ccaa90712cf67c</t>
        </is>
      </c>
    </row>
    <row r="239">
      <c r="A239" t="inlineStr">
        <is>
          <t>234</t>
        </is>
      </c>
      <c r="B239" t="inlineStr">
        <is>
          <t>7719913141</t>
        </is>
      </c>
      <c r="C239" t="inlineStr">
        <is>
          <t>2026-01-24 16:20:19</t>
        </is>
      </c>
      <c r="D239" t="inlineStr">
        <is>
          <t>4</t>
        </is>
      </c>
      <c r="E239" t="inlineStr">
        <is>
          <t>Sha Sha - Shandaar Shawarma</t>
        </is>
      </c>
      <c r="F239" t="inlineStr">
        <is>
          <t>18557902</t>
        </is>
      </c>
      <c r="G239" t="inlineStr">
        <is>
          <t>30% off upto ₹75 (2025-06-25 - 2031-01-01)</t>
        </is>
      </c>
      <c r="H239" t="inlineStr">
        <is>
          <t>ONLINE</t>
        </is>
      </c>
      <c r="I239" t="inlineStr">
        <is>
          <t>DELIVERED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O2</t>
        </is>
      </c>
      <c r="N239" t="inlineStr">
        <is>
          <t>36</t>
        </is>
      </c>
      <c r="O239" t="n">
        <v>229</v>
      </c>
      <c r="P239" t="n">
        <v>3.5</v>
      </c>
      <c r="Q239" t="n">
        <v>0</v>
      </c>
      <c r="R239" t="n">
        <v>68.7</v>
      </c>
      <c r="S239" t="n">
        <v>0</v>
      </c>
      <c r="T239" t="n">
        <v>0</v>
      </c>
      <c r="U239" t="n">
        <v>0</v>
      </c>
      <c r="V239" t="n">
        <v>8.19</v>
      </c>
      <c r="W239" t="n">
        <v>171.99</v>
      </c>
      <c r="X239" t="n">
        <v>163.8</v>
      </c>
      <c r="Y239" t="n">
        <v>19</v>
      </c>
      <c r="Z239" t="n">
        <v>31.12</v>
      </c>
      <c r="AA239" t="n">
        <v>3.16</v>
      </c>
      <c r="AB239" t="n">
        <v>34.28</v>
      </c>
      <c r="AC239" t="n">
        <v>6.17</v>
      </c>
      <c r="AD239" t="n">
        <v>0</v>
      </c>
      <c r="AE239" t="n">
        <v>163.8</v>
      </c>
      <c r="AF239" t="n">
        <v>0</v>
      </c>
      <c r="AG239" t="n">
        <v>0</v>
      </c>
      <c r="AH239" t="n">
        <v>0.16</v>
      </c>
      <c r="AI239" t="n">
        <v>8.199999999999999</v>
      </c>
      <c r="AJ239" t="n">
        <v>-0.01</v>
      </c>
      <c r="AK239" t="n">
        <v>14.53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48.81</v>
      </c>
      <c r="AV239" t="n">
        <v>0</v>
      </c>
      <c r="AW239" t="n">
        <v>123.18</v>
      </c>
      <c r="AX239" t="inlineStr">
        <is>
          <t>settled</t>
        </is>
      </c>
      <c r="AY239" t="inlineStr">
        <is>
          <t>2026-01-28 05:30:00</t>
        </is>
      </c>
      <c r="AZ239" t="inlineStr">
        <is>
          <t>CITIN26611504159</t>
        </is>
      </c>
      <c r="BA239" t="n">
        <v>0</v>
      </c>
      <c r="BB239" t="inlineStr">
        <is>
          <t>6088da638630862b80fa03e93c6b680c29a2e90824870559f417bca0a65e5f0a</t>
        </is>
      </c>
    </row>
    <row r="240">
      <c r="A240" t="inlineStr">
        <is>
          <t>235</t>
        </is>
      </c>
      <c r="B240" t="inlineStr">
        <is>
          <t>7724355245</t>
        </is>
      </c>
      <c r="C240" t="inlineStr">
        <is>
          <t>2026-01-24 16:56:50</t>
        </is>
      </c>
      <c r="D240" t="inlineStr">
        <is>
          <t>4</t>
        </is>
      </c>
      <c r="E240" t="inlineStr">
        <is>
          <t>Sha Sha - Shandaar Shawarma</t>
        </is>
      </c>
      <c r="F240" t="inlineStr">
        <is>
          <t>18557902</t>
        </is>
      </c>
      <c r="G240" t="inlineStr">
        <is>
          <t>30% off upto ₹75 (2025-06-25 - 2031-01-01)</t>
        </is>
      </c>
      <c r="H240" t="inlineStr">
        <is>
          <t>ONLINE</t>
        </is>
      </c>
      <c r="I240" t="inlineStr">
        <is>
          <t>DELIVERED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O2</t>
        </is>
      </c>
      <c r="N240" t="inlineStr">
        <is>
          <t>36</t>
        </is>
      </c>
      <c r="O240" t="n">
        <v>229</v>
      </c>
      <c r="P240" t="n">
        <v>3.5</v>
      </c>
      <c r="Q240" t="n">
        <v>0</v>
      </c>
      <c r="R240" t="n">
        <v>68.7</v>
      </c>
      <c r="S240" t="n">
        <v>0</v>
      </c>
      <c r="T240" t="n">
        <v>0</v>
      </c>
      <c r="U240" t="n">
        <v>0</v>
      </c>
      <c r="V240" t="n">
        <v>8.19</v>
      </c>
      <c r="W240" t="n">
        <v>171.99</v>
      </c>
      <c r="X240" t="n">
        <v>163.8</v>
      </c>
      <c r="Y240" t="n">
        <v>19</v>
      </c>
      <c r="Z240" t="n">
        <v>31.12</v>
      </c>
      <c r="AA240" t="n">
        <v>3.16</v>
      </c>
      <c r="AB240" t="n">
        <v>34.28</v>
      </c>
      <c r="AC240" t="n">
        <v>6.17</v>
      </c>
      <c r="AD240" t="n">
        <v>0</v>
      </c>
      <c r="AE240" t="n">
        <v>163.8</v>
      </c>
      <c r="AF240" t="n">
        <v>0</v>
      </c>
      <c r="AG240" t="n">
        <v>0</v>
      </c>
      <c r="AH240" t="n">
        <v>0.16</v>
      </c>
      <c r="AI240" t="n">
        <v>8.199999999999999</v>
      </c>
      <c r="AJ240" t="n">
        <v>-0.01</v>
      </c>
      <c r="AK240" t="n">
        <v>14.53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48.81</v>
      </c>
      <c r="AV240" t="n">
        <v>0</v>
      </c>
      <c r="AW240" t="n">
        <v>123.18</v>
      </c>
      <c r="AX240" t="inlineStr">
        <is>
          <t>settled</t>
        </is>
      </c>
      <c r="AY240" t="inlineStr">
        <is>
          <t>2026-01-28 05:30:00</t>
        </is>
      </c>
      <c r="AZ240" t="inlineStr">
        <is>
          <t>CITIN26611504159</t>
        </is>
      </c>
      <c r="BA240" t="n">
        <v>0</v>
      </c>
      <c r="BB240" t="inlineStr">
        <is>
          <t>18bc1f1e563cfcf3375dfef91583e368e7b7f362be7fb6af6e930da87e0bed06</t>
        </is>
      </c>
    </row>
    <row r="241">
      <c r="A241" t="inlineStr">
        <is>
          <t>236</t>
        </is>
      </c>
      <c r="B241" t="inlineStr">
        <is>
          <t>7723690590</t>
        </is>
      </c>
      <c r="C241" t="inlineStr">
        <is>
          <t>2026-01-24 17:38:31</t>
        </is>
      </c>
      <c r="D241" t="inlineStr">
        <is>
          <t>4</t>
        </is>
      </c>
      <c r="E241" t="inlineStr">
        <is>
          <t>Sha Sha - Shandaar Shawarma</t>
        </is>
      </c>
      <c r="F241" t="inlineStr">
        <is>
          <t>18557902</t>
        </is>
      </c>
      <c r="G241" t="inlineStr">
        <is>
          <t>NA</t>
        </is>
      </c>
      <c r="H241" t="inlineStr">
        <is>
          <t>ONLINE</t>
        </is>
      </c>
      <c r="I241" t="inlineStr">
        <is>
          <t>DELIVERED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O2</t>
        </is>
      </c>
      <c r="N241" t="inlineStr">
        <is>
          <t>36</t>
        </is>
      </c>
      <c r="O241" t="n">
        <v>229</v>
      </c>
      <c r="P241" t="n">
        <v>3.5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11.63</v>
      </c>
      <c r="W241" t="n">
        <v>244.13</v>
      </c>
      <c r="X241" t="n">
        <v>232.5</v>
      </c>
      <c r="Y241" t="n">
        <v>19</v>
      </c>
      <c r="Z241" t="n">
        <v>44.18</v>
      </c>
      <c r="AA241" t="n">
        <v>4.49</v>
      </c>
      <c r="AB241" t="n">
        <v>48.67</v>
      </c>
      <c r="AC241" t="n">
        <v>8.76</v>
      </c>
      <c r="AD241" t="n">
        <v>0</v>
      </c>
      <c r="AE241" t="n">
        <v>232.5</v>
      </c>
      <c r="AF241" t="n">
        <v>0</v>
      </c>
      <c r="AG241" t="n">
        <v>0</v>
      </c>
      <c r="AH241" t="n">
        <v>0.23</v>
      </c>
      <c r="AI241" t="n">
        <v>11.63</v>
      </c>
      <c r="AJ241" t="n">
        <v>0</v>
      </c>
      <c r="AK241" t="n">
        <v>20.62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69.29000000000001</v>
      </c>
      <c r="AV241" t="n">
        <v>0</v>
      </c>
      <c r="AW241" t="n">
        <v>174.84</v>
      </c>
      <c r="AX241" t="inlineStr">
        <is>
          <t>settled</t>
        </is>
      </c>
      <c r="AY241" t="inlineStr">
        <is>
          <t>2026-01-28 05:30:00</t>
        </is>
      </c>
      <c r="AZ241" t="inlineStr">
        <is>
          <t>CITIN26611504159</t>
        </is>
      </c>
      <c r="BA241" t="n">
        <v>0</v>
      </c>
      <c r="BB241" t="inlineStr">
        <is>
          <t>2e19f45d494968dade1d59450f24ea900efa7dfb5dd62780a35c84226662049a</t>
        </is>
      </c>
    </row>
    <row r="242">
      <c r="A242" t="inlineStr">
        <is>
          <t>237</t>
        </is>
      </c>
      <c r="B242" t="inlineStr">
        <is>
          <t>7714075131</t>
        </is>
      </c>
      <c r="C242" t="inlineStr">
        <is>
          <t>2026-01-24 18:17:26</t>
        </is>
      </c>
      <c r="D242" t="inlineStr">
        <is>
          <t>4</t>
        </is>
      </c>
      <c r="E242" t="inlineStr">
        <is>
          <t>Sha Sha - Shandaar Shawarma</t>
        </is>
      </c>
      <c r="F242" t="inlineStr">
        <is>
          <t>18557902</t>
        </is>
      </c>
      <c r="G242" t="inlineStr">
        <is>
          <t>NA</t>
        </is>
      </c>
      <c r="H242" t="inlineStr">
        <is>
          <t>ONLINE</t>
        </is>
      </c>
      <c r="I242" t="inlineStr">
        <is>
          <t>DELIVERED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O2</t>
        </is>
      </c>
      <c r="N242" t="inlineStr">
        <is>
          <t>36</t>
        </is>
      </c>
      <c r="O242" t="n">
        <v>518</v>
      </c>
      <c r="P242" t="n">
        <v>3.5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26.08</v>
      </c>
      <c r="W242" t="n">
        <v>547.58</v>
      </c>
      <c r="X242" t="n">
        <v>521.5</v>
      </c>
      <c r="Y242" t="n">
        <v>19</v>
      </c>
      <c r="Z242" t="n">
        <v>99.08</v>
      </c>
      <c r="AA242" t="n">
        <v>10.08</v>
      </c>
      <c r="AB242" t="n">
        <v>109.16</v>
      </c>
      <c r="AC242" t="n">
        <v>19.64</v>
      </c>
      <c r="AD242" t="n">
        <v>0</v>
      </c>
      <c r="AE242" t="n">
        <v>521.5</v>
      </c>
      <c r="AF242" t="n">
        <v>0</v>
      </c>
      <c r="AG242" t="n">
        <v>0</v>
      </c>
      <c r="AH242" t="n">
        <v>0.52</v>
      </c>
      <c r="AI242" t="n">
        <v>26.08</v>
      </c>
      <c r="AJ242" t="n">
        <v>0</v>
      </c>
      <c r="AK242" t="n">
        <v>46.24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155.4</v>
      </c>
      <c r="AV242" t="n">
        <v>0</v>
      </c>
      <c r="AW242" t="n">
        <v>392.18</v>
      </c>
      <c r="AX242" t="inlineStr">
        <is>
          <t>settled</t>
        </is>
      </c>
      <c r="AY242" t="inlineStr">
        <is>
          <t>2026-01-28 05:30:00</t>
        </is>
      </c>
      <c r="AZ242" t="inlineStr">
        <is>
          <t>CITIN26611504159</t>
        </is>
      </c>
      <c r="BA242" t="n">
        <v>0</v>
      </c>
      <c r="BB242" t="inlineStr">
        <is>
          <t>57277e43a02d4d75da67b7b1cfef0b85e790633a9e81980ccb99b510f561326b</t>
        </is>
      </c>
    </row>
    <row r="243">
      <c r="A243" t="inlineStr">
        <is>
          <t>238</t>
        </is>
      </c>
      <c r="B243" t="inlineStr">
        <is>
          <t>7707107464</t>
        </is>
      </c>
      <c r="C243" t="inlineStr">
        <is>
          <t>2026-01-24 18:23:10</t>
        </is>
      </c>
      <c r="D243" t="inlineStr">
        <is>
          <t>4</t>
        </is>
      </c>
      <c r="E243" t="inlineStr">
        <is>
          <t>Sha Sha - Shandaar Shawarma</t>
        </is>
      </c>
      <c r="F243" t="inlineStr">
        <is>
          <t>18557902</t>
        </is>
      </c>
      <c r="G243" t="inlineStr">
        <is>
          <t>30% off upto ₹75 (2025-06-25 - 2031-01-01)</t>
        </is>
      </c>
      <c r="H243" t="inlineStr">
        <is>
          <t>ONLINE</t>
        </is>
      </c>
      <c r="I243" t="inlineStr">
        <is>
          <t>DELIVERED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O2</t>
        </is>
      </c>
      <c r="N243" t="inlineStr">
        <is>
          <t>36</t>
        </is>
      </c>
      <c r="O243" t="n">
        <v>229</v>
      </c>
      <c r="P243" t="n">
        <v>3.5</v>
      </c>
      <c r="Q243" t="n">
        <v>0</v>
      </c>
      <c r="R243" t="n">
        <v>68.7</v>
      </c>
      <c r="S243" t="n">
        <v>0</v>
      </c>
      <c r="T243" t="n">
        <v>0</v>
      </c>
      <c r="U243" t="n">
        <v>0</v>
      </c>
      <c r="V243" t="n">
        <v>8.19</v>
      </c>
      <c r="W243" t="n">
        <v>171.99</v>
      </c>
      <c r="X243" t="n">
        <v>163.8</v>
      </c>
      <c r="Y243" t="n">
        <v>19</v>
      </c>
      <c r="Z243" t="n">
        <v>31.12</v>
      </c>
      <c r="AA243" t="n">
        <v>3.16</v>
      </c>
      <c r="AB243" t="n">
        <v>34.28</v>
      </c>
      <c r="AC243" t="n">
        <v>6.17</v>
      </c>
      <c r="AD243" t="n">
        <v>0</v>
      </c>
      <c r="AE243" t="n">
        <v>163.8</v>
      </c>
      <c r="AF243" t="n">
        <v>0</v>
      </c>
      <c r="AG243" t="n">
        <v>0</v>
      </c>
      <c r="AH243" t="n">
        <v>0.16</v>
      </c>
      <c r="AI243" t="n">
        <v>8.199999999999999</v>
      </c>
      <c r="AJ243" t="n">
        <v>-0.01</v>
      </c>
      <c r="AK243" t="n">
        <v>14.53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48.81</v>
      </c>
      <c r="AV243" t="n">
        <v>0</v>
      </c>
      <c r="AW243" t="n">
        <v>123.18</v>
      </c>
      <c r="AX243" t="inlineStr">
        <is>
          <t>settled</t>
        </is>
      </c>
      <c r="AY243" t="inlineStr">
        <is>
          <t>2026-01-28 05:30:00</t>
        </is>
      </c>
      <c r="AZ243" t="inlineStr">
        <is>
          <t>CITIN26611504159</t>
        </is>
      </c>
      <c r="BA243" t="n">
        <v>0</v>
      </c>
      <c r="BB243" t="inlineStr">
        <is>
          <t>2bab3d93986f1b3285732e8d7dedda3829255466766a8df83ed2882e23f3d186</t>
        </is>
      </c>
    </row>
    <row r="244">
      <c r="A244" t="inlineStr">
        <is>
          <t>239</t>
        </is>
      </c>
      <c r="B244" t="inlineStr">
        <is>
          <t>7721452383</t>
        </is>
      </c>
      <c r="C244" t="inlineStr">
        <is>
          <t>2026-01-24 18:47:33</t>
        </is>
      </c>
      <c r="D244" t="inlineStr">
        <is>
          <t>4</t>
        </is>
      </c>
      <c r="E244" t="inlineStr">
        <is>
          <t>Sha Sha - Shandaar Shawarma</t>
        </is>
      </c>
      <c r="F244" t="inlineStr">
        <is>
          <t>18557902</t>
        </is>
      </c>
      <c r="G244" t="inlineStr">
        <is>
          <t>30% off upto ₹75 (2025-06-25 - 2031-01-01)</t>
        </is>
      </c>
      <c r="H244" t="inlineStr">
        <is>
          <t>ONLINE</t>
        </is>
      </c>
      <c r="I244" t="inlineStr">
        <is>
          <t>DELIVERED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O2</t>
        </is>
      </c>
      <c r="N244" t="inlineStr">
        <is>
          <t>36</t>
        </is>
      </c>
      <c r="O244" t="n">
        <v>229</v>
      </c>
      <c r="P244" t="n">
        <v>3.5</v>
      </c>
      <c r="Q244" t="n">
        <v>0</v>
      </c>
      <c r="R244" t="n">
        <v>68.7</v>
      </c>
      <c r="S244" t="n">
        <v>0</v>
      </c>
      <c r="T244" t="n">
        <v>0</v>
      </c>
      <c r="U244" t="n">
        <v>0</v>
      </c>
      <c r="V244" t="n">
        <v>8.19</v>
      </c>
      <c r="W244" t="n">
        <v>171.99</v>
      </c>
      <c r="X244" t="n">
        <v>163.8</v>
      </c>
      <c r="Y244" t="n">
        <v>19</v>
      </c>
      <c r="Z244" t="n">
        <v>31.12</v>
      </c>
      <c r="AA244" t="n">
        <v>3.16</v>
      </c>
      <c r="AB244" t="n">
        <v>34.28</v>
      </c>
      <c r="AC244" t="n">
        <v>6.17</v>
      </c>
      <c r="AD244" t="n">
        <v>0</v>
      </c>
      <c r="AE244" t="n">
        <v>163.8</v>
      </c>
      <c r="AF244" t="n">
        <v>0</v>
      </c>
      <c r="AG244" t="n">
        <v>0</v>
      </c>
      <c r="AH244" t="n">
        <v>0.16</v>
      </c>
      <c r="AI244" t="n">
        <v>8.199999999999999</v>
      </c>
      <c r="AJ244" t="n">
        <v>-0.01</v>
      </c>
      <c r="AK244" t="n">
        <v>14.53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48.81</v>
      </c>
      <c r="AV244" t="n">
        <v>0</v>
      </c>
      <c r="AW244" t="n">
        <v>123.18</v>
      </c>
      <c r="AX244" t="inlineStr">
        <is>
          <t>settled</t>
        </is>
      </c>
      <c r="AY244" t="inlineStr">
        <is>
          <t>2026-01-28 05:30:00</t>
        </is>
      </c>
      <c r="AZ244" t="inlineStr">
        <is>
          <t>CITIN26611504159</t>
        </is>
      </c>
      <c r="BA244" t="n">
        <v>0</v>
      </c>
      <c r="BB244" t="inlineStr">
        <is>
          <t>6ee1ffa6718db9cacd790bcd2e67e5f985e1a956477352fbf0aa992d860d93a0</t>
        </is>
      </c>
    </row>
    <row r="245">
      <c r="A245" t="inlineStr">
        <is>
          <t>240</t>
        </is>
      </c>
      <c r="B245" t="inlineStr">
        <is>
          <t>7723775610</t>
        </is>
      </c>
      <c r="C245" t="inlineStr">
        <is>
          <t>2026-01-24 19:18:32</t>
        </is>
      </c>
      <c r="D245" t="inlineStr">
        <is>
          <t>4</t>
        </is>
      </c>
      <c r="E245" t="inlineStr">
        <is>
          <t>Sha Sha - Shandaar Shawarma</t>
        </is>
      </c>
      <c r="F245" t="inlineStr">
        <is>
          <t>18557902</t>
        </is>
      </c>
      <c r="G245" t="inlineStr">
        <is>
          <t>NA</t>
        </is>
      </c>
      <c r="H245" t="inlineStr">
        <is>
          <t>ONLINE</t>
        </is>
      </c>
      <c r="I245" t="inlineStr">
        <is>
          <t>DELIVERED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O2</t>
        </is>
      </c>
      <c r="N245" t="inlineStr">
        <is>
          <t>36</t>
        </is>
      </c>
      <c r="O245" t="n">
        <v>229</v>
      </c>
      <c r="P245" t="n">
        <v>3.5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11.63</v>
      </c>
      <c r="W245" t="n">
        <v>244.13</v>
      </c>
      <c r="X245" t="n">
        <v>232.5</v>
      </c>
      <c r="Y245" t="n">
        <v>19</v>
      </c>
      <c r="Z245" t="n">
        <v>44.18</v>
      </c>
      <c r="AA245" t="n">
        <v>4.49</v>
      </c>
      <c r="AB245" t="n">
        <v>48.67</v>
      </c>
      <c r="AC245" t="n">
        <v>8.76</v>
      </c>
      <c r="AD245" t="n">
        <v>0</v>
      </c>
      <c r="AE245" t="n">
        <v>232.5</v>
      </c>
      <c r="AF245" t="n">
        <v>0</v>
      </c>
      <c r="AG245" t="n">
        <v>0</v>
      </c>
      <c r="AH245" t="n">
        <v>0.23</v>
      </c>
      <c r="AI245" t="n">
        <v>11.63</v>
      </c>
      <c r="AJ245" t="n">
        <v>0</v>
      </c>
      <c r="AK245" t="n">
        <v>20.62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69.29000000000001</v>
      </c>
      <c r="AV245" t="n">
        <v>0</v>
      </c>
      <c r="AW245" t="n">
        <v>174.84</v>
      </c>
      <c r="AX245" t="inlineStr">
        <is>
          <t>settled</t>
        </is>
      </c>
      <c r="AY245" t="inlineStr">
        <is>
          <t>2026-01-28 05:30:00</t>
        </is>
      </c>
      <c r="AZ245" t="inlineStr">
        <is>
          <t>CITIN26611504159</t>
        </is>
      </c>
      <c r="BA245" t="n">
        <v>0</v>
      </c>
      <c r="BB245" t="inlineStr">
        <is>
          <t>086eb64a4406da57842778c6082a9230b85bb5b57da53f1130965a0162a57f1d</t>
        </is>
      </c>
    </row>
    <row r="246">
      <c r="A246" t="inlineStr">
        <is>
          <t>241</t>
        </is>
      </c>
      <c r="B246" t="inlineStr">
        <is>
          <t>7715733374</t>
        </is>
      </c>
      <c r="C246" t="inlineStr">
        <is>
          <t>2026-01-24 19:39:55</t>
        </is>
      </c>
      <c r="D246" t="inlineStr">
        <is>
          <t>4</t>
        </is>
      </c>
      <c r="E246" t="inlineStr">
        <is>
          <t>Sha Sha - Shandaar Shawarma</t>
        </is>
      </c>
      <c r="F246" t="inlineStr">
        <is>
          <t>18557902</t>
        </is>
      </c>
      <c r="G246" t="inlineStr">
        <is>
          <t>NA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O2</t>
        </is>
      </c>
      <c r="N246" t="inlineStr">
        <is>
          <t>36</t>
        </is>
      </c>
      <c r="O246" t="n">
        <v>229</v>
      </c>
      <c r="P246" t="n">
        <v>3.5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11.63</v>
      </c>
      <c r="W246" t="n">
        <v>244.13</v>
      </c>
      <c r="X246" t="n">
        <v>232.5</v>
      </c>
      <c r="Y246" t="n">
        <v>19</v>
      </c>
      <c r="Z246" t="n">
        <v>44.18</v>
      </c>
      <c r="AA246" t="n">
        <v>4.49</v>
      </c>
      <c r="AB246" t="n">
        <v>48.67</v>
      </c>
      <c r="AC246" t="n">
        <v>8.76</v>
      </c>
      <c r="AD246" t="n">
        <v>0</v>
      </c>
      <c r="AE246" t="n">
        <v>232.5</v>
      </c>
      <c r="AF246" t="n">
        <v>0</v>
      </c>
      <c r="AG246" t="n">
        <v>0</v>
      </c>
      <c r="AH246" t="n">
        <v>0.23</v>
      </c>
      <c r="AI246" t="n">
        <v>11.63</v>
      </c>
      <c r="AJ246" t="n">
        <v>0</v>
      </c>
      <c r="AK246" t="n">
        <v>20.62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69.29000000000001</v>
      </c>
      <c r="AV246" t="n">
        <v>0</v>
      </c>
      <c r="AW246" t="n">
        <v>174.84</v>
      </c>
      <c r="AX246" t="inlineStr">
        <is>
          <t>settled</t>
        </is>
      </c>
      <c r="AY246" t="inlineStr">
        <is>
          <t>2026-01-28 05:30:00</t>
        </is>
      </c>
      <c r="AZ246" t="inlineStr">
        <is>
          <t>CITIN26611504159</t>
        </is>
      </c>
      <c r="BA246" t="n">
        <v>0</v>
      </c>
      <c r="BB246" t="inlineStr">
        <is>
          <t>086eb64a4406da57842778c6082a9230b85bb5b57da53f1130965a0162a57f1d</t>
        </is>
      </c>
    </row>
    <row r="247">
      <c r="A247" t="inlineStr">
        <is>
          <t>242</t>
        </is>
      </c>
      <c r="B247" t="inlineStr">
        <is>
          <t>7722477007</t>
        </is>
      </c>
      <c r="C247" t="inlineStr">
        <is>
          <t>2026-01-24 20:01:48</t>
        </is>
      </c>
      <c r="D247" t="inlineStr">
        <is>
          <t>4</t>
        </is>
      </c>
      <c r="E247" t="inlineStr">
        <is>
          <t>Sha Sha - Shandaar Shawarma</t>
        </is>
      </c>
      <c r="F247" t="inlineStr">
        <is>
          <t>18557902</t>
        </is>
      </c>
      <c r="G247" t="inlineStr">
        <is>
          <t>30% off upto ₹75 (2025-06-25 - 2031-01-01)</t>
        </is>
      </c>
      <c r="H247" t="inlineStr">
        <is>
          <t>ONLINE</t>
        </is>
      </c>
      <c r="I247" t="inlineStr">
        <is>
          <t>DELIVERED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O2</t>
        </is>
      </c>
      <c r="N247" t="inlineStr">
        <is>
          <t>36</t>
        </is>
      </c>
      <c r="O247" t="n">
        <v>229</v>
      </c>
      <c r="P247" t="n">
        <v>3.5</v>
      </c>
      <c r="Q247" t="n">
        <v>0</v>
      </c>
      <c r="R247" t="n">
        <v>68.7</v>
      </c>
      <c r="S247" t="n">
        <v>0</v>
      </c>
      <c r="T247" t="n">
        <v>0</v>
      </c>
      <c r="U247" t="n">
        <v>0</v>
      </c>
      <c r="V247" t="n">
        <v>8.19</v>
      </c>
      <c r="W247" t="n">
        <v>171.99</v>
      </c>
      <c r="X247" t="n">
        <v>163.8</v>
      </c>
      <c r="Y247" t="n">
        <v>19</v>
      </c>
      <c r="Z247" t="n">
        <v>31.12</v>
      </c>
      <c r="AA247" t="n">
        <v>3.16</v>
      </c>
      <c r="AB247" t="n">
        <v>34.28</v>
      </c>
      <c r="AC247" t="n">
        <v>6.17</v>
      </c>
      <c r="AD247" t="n">
        <v>0</v>
      </c>
      <c r="AE247" t="n">
        <v>163.8</v>
      </c>
      <c r="AF247" t="n">
        <v>0</v>
      </c>
      <c r="AG247" t="n">
        <v>0</v>
      </c>
      <c r="AH247" t="n">
        <v>0.16</v>
      </c>
      <c r="AI247" t="n">
        <v>8.199999999999999</v>
      </c>
      <c r="AJ247" t="n">
        <v>-0.01</v>
      </c>
      <c r="AK247" t="n">
        <v>14.53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48.81</v>
      </c>
      <c r="AV247" t="n">
        <v>0</v>
      </c>
      <c r="AW247" t="n">
        <v>123.18</v>
      </c>
      <c r="AX247" t="inlineStr">
        <is>
          <t>settled</t>
        </is>
      </c>
      <c r="AY247" t="inlineStr">
        <is>
          <t>2026-01-28 05:30:00</t>
        </is>
      </c>
      <c r="AZ247" t="inlineStr">
        <is>
          <t>CITIN26611504159</t>
        </is>
      </c>
      <c r="BA247" t="n">
        <v>0</v>
      </c>
      <c r="BB247" t="inlineStr">
        <is>
          <t>71b9548153f0779ae806c6e15b916a5cb651c10eea0cc239b2bea03f6f32a40e</t>
        </is>
      </c>
    </row>
    <row r="248">
      <c r="A248" t="inlineStr">
        <is>
          <t>243</t>
        </is>
      </c>
      <c r="B248" t="inlineStr">
        <is>
          <t>7718172497</t>
        </is>
      </c>
      <c r="C248" t="inlineStr">
        <is>
          <t>2026-01-24 20:09:53</t>
        </is>
      </c>
      <c r="D248" t="inlineStr">
        <is>
          <t>4</t>
        </is>
      </c>
      <c r="E248" t="inlineStr">
        <is>
          <t>Sha Sha - Shandaar Shawarma</t>
        </is>
      </c>
      <c r="F248" t="inlineStr">
        <is>
          <t>18557902</t>
        </is>
      </c>
      <c r="G248" t="inlineStr">
        <is>
          <t>30% off upto ₹75 (2025-06-25 - 2031-01-01)</t>
        </is>
      </c>
      <c r="H248" t="inlineStr">
        <is>
          <t>ONLINE</t>
        </is>
      </c>
      <c r="I248" t="inlineStr">
        <is>
          <t>DELIVERED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O2</t>
        </is>
      </c>
      <c r="N248" t="inlineStr">
        <is>
          <t>36</t>
        </is>
      </c>
      <c r="O248" t="n">
        <v>487</v>
      </c>
      <c r="P248" t="n">
        <v>3.5</v>
      </c>
      <c r="Q248" t="n">
        <v>0</v>
      </c>
      <c r="R248" t="n">
        <v>75</v>
      </c>
      <c r="S248" t="n">
        <v>0</v>
      </c>
      <c r="T248" t="n">
        <v>0</v>
      </c>
      <c r="U248" t="n">
        <v>0</v>
      </c>
      <c r="V248" t="n">
        <v>20.78</v>
      </c>
      <c r="W248" t="n">
        <v>436.28</v>
      </c>
      <c r="X248" t="n">
        <v>415.5</v>
      </c>
      <c r="Y248" t="n">
        <v>19</v>
      </c>
      <c r="Z248" t="n">
        <v>78.94</v>
      </c>
      <c r="AA248" t="n">
        <v>8.029999999999999</v>
      </c>
      <c r="AB248" t="n">
        <v>86.97</v>
      </c>
      <c r="AC248" t="n">
        <v>15.66</v>
      </c>
      <c r="AD248" t="n">
        <v>0</v>
      </c>
      <c r="AE248" t="n">
        <v>415.5</v>
      </c>
      <c r="AF248" t="n">
        <v>0</v>
      </c>
      <c r="AG248" t="n">
        <v>0</v>
      </c>
      <c r="AH248" t="n">
        <v>0.42</v>
      </c>
      <c r="AI248" t="n">
        <v>20.78</v>
      </c>
      <c r="AJ248" t="n">
        <v>0</v>
      </c>
      <c r="AK248" t="n">
        <v>36.86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123.83</v>
      </c>
      <c r="AV248" t="n">
        <v>0</v>
      </c>
      <c r="AW248" t="n">
        <v>312.45</v>
      </c>
      <c r="AX248" t="inlineStr">
        <is>
          <t>settled</t>
        </is>
      </c>
      <c r="AY248" t="inlineStr">
        <is>
          <t>2026-01-28 05:30:00</t>
        </is>
      </c>
      <c r="AZ248" t="inlineStr">
        <is>
          <t>CITIN26611504159</t>
        </is>
      </c>
      <c r="BA248" t="n">
        <v>0</v>
      </c>
      <c r="BB248" t="inlineStr">
        <is>
          <t>cc3a05a55538905a4c226b7e0899501cde14df187f2fe694c31cabb0f4be5a04</t>
        </is>
      </c>
    </row>
    <row r="249">
      <c r="A249" t="inlineStr">
        <is>
          <t>244</t>
        </is>
      </c>
      <c r="B249" t="inlineStr">
        <is>
          <t>7723351177</t>
        </is>
      </c>
      <c r="C249" t="inlineStr">
        <is>
          <t>2026-01-24 20:50:35</t>
        </is>
      </c>
      <c r="D249" t="inlineStr">
        <is>
          <t>4</t>
        </is>
      </c>
      <c r="E249" t="inlineStr">
        <is>
          <t>Sha Sha - Shandaar Shawarma</t>
        </is>
      </c>
      <c r="F249" t="inlineStr">
        <is>
          <t>18557902</t>
        </is>
      </c>
      <c r="G249" t="inlineStr">
        <is>
          <t>30% off upto ₹75 (2025-06-25 - 2031-01-01)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O2</t>
        </is>
      </c>
      <c r="N249" t="inlineStr">
        <is>
          <t>36</t>
        </is>
      </c>
      <c r="O249" t="n">
        <v>229</v>
      </c>
      <c r="P249" t="n">
        <v>3.5</v>
      </c>
      <c r="Q249" t="n">
        <v>0</v>
      </c>
      <c r="R249" t="n">
        <v>68.7</v>
      </c>
      <c r="S249" t="n">
        <v>0</v>
      </c>
      <c r="T249" t="n">
        <v>0</v>
      </c>
      <c r="U249" t="n">
        <v>0</v>
      </c>
      <c r="V249" t="n">
        <v>8.19</v>
      </c>
      <c r="W249" t="n">
        <v>171.99</v>
      </c>
      <c r="X249" t="n">
        <v>163.8</v>
      </c>
      <c r="Y249" t="n">
        <v>19</v>
      </c>
      <c r="Z249" t="n">
        <v>31.12</v>
      </c>
      <c r="AA249" t="n">
        <v>3.16</v>
      </c>
      <c r="AB249" t="n">
        <v>34.28</v>
      </c>
      <c r="AC249" t="n">
        <v>6.17</v>
      </c>
      <c r="AD249" t="n">
        <v>0</v>
      </c>
      <c r="AE249" t="n">
        <v>163.8</v>
      </c>
      <c r="AF249" t="n">
        <v>0</v>
      </c>
      <c r="AG249" t="n">
        <v>0</v>
      </c>
      <c r="AH249" t="n">
        <v>0.16</v>
      </c>
      <c r="AI249" t="n">
        <v>8.199999999999999</v>
      </c>
      <c r="AJ249" t="n">
        <v>-0.01</v>
      </c>
      <c r="AK249" t="n">
        <v>14.53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48.81</v>
      </c>
      <c r="AV249" t="n">
        <v>0</v>
      </c>
      <c r="AW249" t="n">
        <v>123.18</v>
      </c>
      <c r="AX249" t="inlineStr">
        <is>
          <t>settled</t>
        </is>
      </c>
      <c r="AY249" t="inlineStr">
        <is>
          <t>2026-01-28 05:30:00</t>
        </is>
      </c>
      <c r="AZ249" t="inlineStr">
        <is>
          <t>CITIN26611504159</t>
        </is>
      </c>
      <c r="BA249" t="n">
        <v>0</v>
      </c>
      <c r="BB249" t="inlineStr">
        <is>
          <t>8d6fa74fb9ca3f558eb62182e13c609ccfeb842e79e655aea5691460a9cc924f</t>
        </is>
      </c>
    </row>
    <row r="250">
      <c r="A250" t="inlineStr">
        <is>
          <t>245</t>
        </is>
      </c>
      <c r="B250" t="inlineStr">
        <is>
          <t>7719103606</t>
        </is>
      </c>
      <c r="C250" t="inlineStr">
        <is>
          <t>2026-01-24 20:52:31</t>
        </is>
      </c>
      <c r="D250" t="inlineStr">
        <is>
          <t>4</t>
        </is>
      </c>
      <c r="E250" t="inlineStr">
        <is>
          <t>Sha Sha - Shandaar Shawarma</t>
        </is>
      </c>
      <c r="F250" t="inlineStr">
        <is>
          <t>18557902</t>
        </is>
      </c>
      <c r="G250" t="inlineStr">
        <is>
          <t>NA</t>
        </is>
      </c>
      <c r="H250" t="inlineStr">
        <is>
          <t>ONLINE</t>
        </is>
      </c>
      <c r="I250" t="inlineStr">
        <is>
          <t>DELIVERED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O2</t>
        </is>
      </c>
      <c r="N250" t="inlineStr">
        <is>
          <t>36</t>
        </is>
      </c>
      <c r="O250" t="n">
        <v>229</v>
      </c>
      <c r="P250" t="n">
        <v>3.5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11.63</v>
      </c>
      <c r="W250" t="n">
        <v>244.13</v>
      </c>
      <c r="X250" t="n">
        <v>232.5</v>
      </c>
      <c r="Y250" t="n">
        <v>19</v>
      </c>
      <c r="Z250" t="n">
        <v>44.18</v>
      </c>
      <c r="AA250" t="n">
        <v>4.49</v>
      </c>
      <c r="AB250" t="n">
        <v>48.67</v>
      </c>
      <c r="AC250" t="n">
        <v>8.76</v>
      </c>
      <c r="AD250" t="n">
        <v>0</v>
      </c>
      <c r="AE250" t="n">
        <v>232.5</v>
      </c>
      <c r="AF250" t="n">
        <v>0</v>
      </c>
      <c r="AG250" t="n">
        <v>0</v>
      </c>
      <c r="AH250" t="n">
        <v>0.23</v>
      </c>
      <c r="AI250" t="n">
        <v>11.63</v>
      </c>
      <c r="AJ250" t="n">
        <v>0</v>
      </c>
      <c r="AK250" t="n">
        <v>20.62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69.29000000000001</v>
      </c>
      <c r="AV250" t="n">
        <v>0</v>
      </c>
      <c r="AW250" t="n">
        <v>174.84</v>
      </c>
      <c r="AX250" t="inlineStr">
        <is>
          <t>settled</t>
        </is>
      </c>
      <c r="AY250" t="inlineStr">
        <is>
          <t>2026-01-28 05:30:00</t>
        </is>
      </c>
      <c r="AZ250" t="inlineStr">
        <is>
          <t>CITIN26611504159</t>
        </is>
      </c>
      <c r="BA250" t="n">
        <v>0</v>
      </c>
      <c r="BB250" t="inlineStr">
        <is>
          <t>ebe6e4b12c450766fc91605c0885f917aad76e8569befa6d5d3d7d6f97421d15</t>
        </is>
      </c>
    </row>
    <row r="251">
      <c r="A251" t="inlineStr">
        <is>
          <t>246</t>
        </is>
      </c>
      <c r="B251" t="inlineStr">
        <is>
          <t>7724021329</t>
        </is>
      </c>
      <c r="C251" t="inlineStr">
        <is>
          <t>2026-01-24 21:05:33</t>
        </is>
      </c>
      <c r="D251" t="inlineStr">
        <is>
          <t>4</t>
        </is>
      </c>
      <c r="E251" t="inlineStr">
        <is>
          <t>Sha Sha - Shandaar Shawarma</t>
        </is>
      </c>
      <c r="F251" t="inlineStr">
        <is>
          <t>18557902</t>
        </is>
      </c>
      <c r="G251" t="inlineStr">
        <is>
          <t>NA</t>
        </is>
      </c>
      <c r="H251" t="inlineStr">
        <is>
          <t>ONLINE</t>
        </is>
      </c>
      <c r="I251" t="inlineStr">
        <is>
          <t>DELIVERED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O2</t>
        </is>
      </c>
      <c r="N251" t="inlineStr">
        <is>
          <t>36</t>
        </is>
      </c>
      <c r="O251" t="n">
        <v>229</v>
      </c>
      <c r="P251" t="n">
        <v>3.5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11.63</v>
      </c>
      <c r="W251" t="n">
        <v>244.13</v>
      </c>
      <c r="X251" t="n">
        <v>232.5</v>
      </c>
      <c r="Y251" t="n">
        <v>19</v>
      </c>
      <c r="Z251" t="n">
        <v>44.18</v>
      </c>
      <c r="AA251" t="n">
        <v>4.49</v>
      </c>
      <c r="AB251" t="n">
        <v>48.67</v>
      </c>
      <c r="AC251" t="n">
        <v>8.76</v>
      </c>
      <c r="AD251" t="n">
        <v>0</v>
      </c>
      <c r="AE251" t="n">
        <v>232.5</v>
      </c>
      <c r="AF251" t="n">
        <v>0</v>
      </c>
      <c r="AG251" t="n">
        <v>0</v>
      </c>
      <c r="AH251" t="n">
        <v>0.23</v>
      </c>
      <c r="AI251" t="n">
        <v>11.63</v>
      </c>
      <c r="AJ251" t="n">
        <v>0</v>
      </c>
      <c r="AK251" t="n">
        <v>20.62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69.29000000000001</v>
      </c>
      <c r="AV251" t="n">
        <v>0</v>
      </c>
      <c r="AW251" t="n">
        <v>174.84</v>
      </c>
      <c r="AX251" t="inlineStr">
        <is>
          <t>settled</t>
        </is>
      </c>
      <c r="AY251" t="inlineStr">
        <is>
          <t>2026-01-28 05:30:00</t>
        </is>
      </c>
      <c r="AZ251" t="inlineStr">
        <is>
          <t>CITIN26611504159</t>
        </is>
      </c>
      <c r="BA251" t="n">
        <v>0</v>
      </c>
      <c r="BB251" t="inlineStr">
        <is>
          <t>005638561b4da02c6b7b4d1368aa6bb0cbd26bf79217b82a23d4920d73c815bb</t>
        </is>
      </c>
    </row>
    <row r="252">
      <c r="A252" t="inlineStr">
        <is>
          <t>247</t>
        </is>
      </c>
      <c r="B252" t="inlineStr">
        <is>
          <t>7713926752</t>
        </is>
      </c>
      <c r="C252" t="inlineStr">
        <is>
          <t>2026-01-24 21:15:50</t>
        </is>
      </c>
      <c r="D252" t="inlineStr">
        <is>
          <t>4</t>
        </is>
      </c>
      <c r="E252" t="inlineStr">
        <is>
          <t>Sha Sha - Shandaar Shawarma</t>
        </is>
      </c>
      <c r="F252" t="inlineStr">
        <is>
          <t>18557902</t>
        </is>
      </c>
      <c r="G252" t="inlineStr">
        <is>
          <t>30% off upto ₹75 (2025-06-25 - 2031-01-01)</t>
        </is>
      </c>
      <c r="H252" t="inlineStr">
        <is>
          <t>ONLINE</t>
        </is>
      </c>
      <c r="I252" t="inlineStr">
        <is>
          <t>DELIVERED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O2</t>
        </is>
      </c>
      <c r="N252" t="inlineStr">
        <is>
          <t>36</t>
        </is>
      </c>
      <c r="O252" t="n">
        <v>377</v>
      </c>
      <c r="P252" t="n">
        <v>3.5</v>
      </c>
      <c r="Q252" t="n">
        <v>0</v>
      </c>
      <c r="R252" t="n">
        <v>75</v>
      </c>
      <c r="S252" t="n">
        <v>0</v>
      </c>
      <c r="T252" t="n">
        <v>0</v>
      </c>
      <c r="U252" t="n">
        <v>0</v>
      </c>
      <c r="V252" t="n">
        <v>15.28</v>
      </c>
      <c r="W252" t="n">
        <v>320.78</v>
      </c>
      <c r="X252" t="n">
        <v>305.5</v>
      </c>
      <c r="Y252" t="n">
        <v>19</v>
      </c>
      <c r="Z252" t="n">
        <v>58.04</v>
      </c>
      <c r="AA252" t="n">
        <v>5.9</v>
      </c>
      <c r="AB252" t="n">
        <v>63.94</v>
      </c>
      <c r="AC252" t="n">
        <v>11.51</v>
      </c>
      <c r="AD252" t="n">
        <v>0</v>
      </c>
      <c r="AE252" t="n">
        <v>305.5</v>
      </c>
      <c r="AF252" t="n">
        <v>0</v>
      </c>
      <c r="AG252" t="n">
        <v>0</v>
      </c>
      <c r="AH252" t="n">
        <v>0.31</v>
      </c>
      <c r="AI252" t="n">
        <v>15.28</v>
      </c>
      <c r="AJ252" t="n">
        <v>0</v>
      </c>
      <c r="AK252" t="n">
        <v>27.1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91.04000000000001</v>
      </c>
      <c r="AV252" t="n">
        <v>0</v>
      </c>
      <c r="AW252" t="n">
        <v>229.74</v>
      </c>
      <c r="AX252" t="inlineStr">
        <is>
          <t>settled</t>
        </is>
      </c>
      <c r="AY252" t="inlineStr">
        <is>
          <t>2026-01-28 05:30:00</t>
        </is>
      </c>
      <c r="AZ252" t="inlineStr">
        <is>
          <t>CITIN26611504159</t>
        </is>
      </c>
      <c r="BA252" t="n">
        <v>0</v>
      </c>
      <c r="BB252" t="inlineStr">
        <is>
          <t>9b2f56aea249da9108802a0c118bbfa41b73ad03969f7e2018ace1b5f3d26e9a</t>
        </is>
      </c>
    </row>
    <row r="253">
      <c r="A253" t="inlineStr">
        <is>
          <t>248</t>
        </is>
      </c>
      <c r="B253" t="inlineStr">
        <is>
          <t>7722196002</t>
        </is>
      </c>
      <c r="C253" t="inlineStr">
        <is>
          <t>2026-01-24 21:32:55</t>
        </is>
      </c>
      <c r="D253" t="inlineStr">
        <is>
          <t>4</t>
        </is>
      </c>
      <c r="E253" t="inlineStr">
        <is>
          <t>Sha Sha - Shandaar Shawarma</t>
        </is>
      </c>
      <c r="F253" t="inlineStr">
        <is>
          <t>18557902</t>
        </is>
      </c>
      <c r="G253" t="inlineStr">
        <is>
          <t>30% off upto ₹75 (2025-06-25 - 2031-01-01)</t>
        </is>
      </c>
      <c r="H253" t="inlineStr">
        <is>
          <t>ONLINE</t>
        </is>
      </c>
      <c r="I253" t="inlineStr">
        <is>
          <t>DELIVERED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O2</t>
        </is>
      </c>
      <c r="N253" t="inlineStr">
        <is>
          <t>36</t>
        </is>
      </c>
      <c r="O253" t="n">
        <v>289</v>
      </c>
      <c r="P253" t="n">
        <v>3.5</v>
      </c>
      <c r="Q253" t="n">
        <v>0</v>
      </c>
      <c r="R253" t="n">
        <v>75</v>
      </c>
      <c r="S253" t="n">
        <v>0</v>
      </c>
      <c r="T253" t="n">
        <v>0</v>
      </c>
      <c r="U253" t="n">
        <v>0</v>
      </c>
      <c r="V253" t="n">
        <v>10.88</v>
      </c>
      <c r="W253" t="n">
        <v>228.38</v>
      </c>
      <c r="X253" t="n">
        <v>217.5</v>
      </c>
      <c r="Y253" t="n">
        <v>19</v>
      </c>
      <c r="Z253" t="n">
        <v>41.32</v>
      </c>
      <c r="AA253" t="n">
        <v>4.2</v>
      </c>
      <c r="AB253" t="n">
        <v>45.52</v>
      </c>
      <c r="AC253" t="n">
        <v>8.199999999999999</v>
      </c>
      <c r="AD253" t="n">
        <v>0</v>
      </c>
      <c r="AE253" t="n">
        <v>217.5</v>
      </c>
      <c r="AF253" t="n">
        <v>0</v>
      </c>
      <c r="AG253" t="n">
        <v>0</v>
      </c>
      <c r="AH253" t="n">
        <v>0.22</v>
      </c>
      <c r="AI253" t="n">
        <v>10.88</v>
      </c>
      <c r="AJ253" t="n">
        <v>0</v>
      </c>
      <c r="AK253" t="n">
        <v>19.3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64.81999999999999</v>
      </c>
      <c r="AV253" t="n">
        <v>0</v>
      </c>
      <c r="AW253" t="n">
        <v>163.56</v>
      </c>
      <c r="AX253" t="inlineStr">
        <is>
          <t>settled</t>
        </is>
      </c>
      <c r="AY253" t="inlineStr">
        <is>
          <t>2026-01-28 05:30:00</t>
        </is>
      </c>
      <c r="AZ253" t="inlineStr">
        <is>
          <t>CITIN26611504159</t>
        </is>
      </c>
      <c r="BA253" t="n">
        <v>0</v>
      </c>
      <c r="BB253" t="inlineStr">
        <is>
          <t>4a17aab99b7a2b93e21eafeca7ae88535ce47d6e14535a1532383c913d681c48</t>
        </is>
      </c>
    </row>
    <row r="254">
      <c r="A254" t="inlineStr">
        <is>
          <t>249</t>
        </is>
      </c>
      <c r="B254" t="inlineStr">
        <is>
          <t>7724429431</t>
        </is>
      </c>
      <c r="C254" t="inlineStr">
        <is>
          <t>2026-01-24 21:41:21</t>
        </is>
      </c>
      <c r="D254" t="inlineStr">
        <is>
          <t>4</t>
        </is>
      </c>
      <c r="E254" t="inlineStr">
        <is>
          <t>Sha Sha - Shandaar Shawarma</t>
        </is>
      </c>
      <c r="F254" t="inlineStr">
        <is>
          <t>18557902</t>
        </is>
      </c>
      <c r="G254" t="inlineStr">
        <is>
          <t>NA</t>
        </is>
      </c>
      <c r="H254" t="inlineStr">
        <is>
          <t>ONLINE</t>
        </is>
      </c>
      <c r="I254" t="inlineStr">
        <is>
          <t>DELIVERED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O2</t>
        </is>
      </c>
      <c r="N254" t="inlineStr">
        <is>
          <t>36</t>
        </is>
      </c>
      <c r="O254" t="n">
        <v>355</v>
      </c>
      <c r="P254" t="n">
        <v>3.5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17.93</v>
      </c>
      <c r="W254" t="n">
        <v>376.43</v>
      </c>
      <c r="X254" t="n">
        <v>358.5</v>
      </c>
      <c r="Y254" t="n">
        <v>19</v>
      </c>
      <c r="Z254" t="n">
        <v>68.12</v>
      </c>
      <c r="AA254" t="n">
        <v>6.93</v>
      </c>
      <c r="AB254" t="n">
        <v>75.05</v>
      </c>
      <c r="AC254" t="n">
        <v>13.51</v>
      </c>
      <c r="AD254" t="n">
        <v>0</v>
      </c>
      <c r="AE254" t="n">
        <v>358.5</v>
      </c>
      <c r="AF254" t="n">
        <v>0</v>
      </c>
      <c r="AG254" t="n">
        <v>0</v>
      </c>
      <c r="AH254" t="n">
        <v>0.36</v>
      </c>
      <c r="AI254" t="n">
        <v>17.93</v>
      </c>
      <c r="AJ254" t="n">
        <v>0</v>
      </c>
      <c r="AK254" t="n">
        <v>31.8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106.85</v>
      </c>
      <c r="AV254" t="n">
        <v>0</v>
      </c>
      <c r="AW254" t="n">
        <v>269.58</v>
      </c>
      <c r="AX254" t="inlineStr">
        <is>
          <t>settled</t>
        </is>
      </c>
      <c r="AY254" t="inlineStr">
        <is>
          <t>2026-01-28 05:30:00</t>
        </is>
      </c>
      <c r="AZ254" t="inlineStr">
        <is>
          <t>CITIN26611504159</t>
        </is>
      </c>
      <c r="BA254" t="n">
        <v>0</v>
      </c>
      <c r="BB254" t="inlineStr">
        <is>
          <t>7aa3433ada1dd0620776175cb01281003d526a1271de15b55c370247535e2f94</t>
        </is>
      </c>
    </row>
    <row r="255">
      <c r="A255" t="inlineStr">
        <is>
          <t>250</t>
        </is>
      </c>
      <c r="B255" t="inlineStr">
        <is>
          <t>7724612575</t>
        </is>
      </c>
      <c r="C255" t="inlineStr">
        <is>
          <t>2026-01-24 22:02:39</t>
        </is>
      </c>
      <c r="D255" t="inlineStr">
        <is>
          <t>4</t>
        </is>
      </c>
      <c r="E255" t="inlineStr">
        <is>
          <t>Sha Sha - Shandaar Shawarma</t>
        </is>
      </c>
      <c r="F255" t="inlineStr">
        <is>
          <t>18557902</t>
        </is>
      </c>
      <c r="G255" t="inlineStr">
        <is>
          <t>30% off upto ₹75 (2025-06-25 - 2031-01-01)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O2</t>
        </is>
      </c>
      <c r="N255" t="inlineStr">
        <is>
          <t>36</t>
        </is>
      </c>
      <c r="O255" t="n">
        <v>229</v>
      </c>
      <c r="P255" t="n">
        <v>3.5</v>
      </c>
      <c r="Q255" t="n">
        <v>0</v>
      </c>
      <c r="R255" t="n">
        <v>68.7</v>
      </c>
      <c r="S255" t="n">
        <v>0</v>
      </c>
      <c r="T255" t="n">
        <v>0</v>
      </c>
      <c r="U255" t="n">
        <v>0</v>
      </c>
      <c r="V255" t="n">
        <v>8.19</v>
      </c>
      <c r="W255" t="n">
        <v>171.99</v>
      </c>
      <c r="X255" t="n">
        <v>163.8</v>
      </c>
      <c r="Y255" t="n">
        <v>19</v>
      </c>
      <c r="Z255" t="n">
        <v>31.12</v>
      </c>
      <c r="AA255" t="n">
        <v>3.16</v>
      </c>
      <c r="AB255" t="n">
        <v>34.28</v>
      </c>
      <c r="AC255" t="n">
        <v>6.17</v>
      </c>
      <c r="AD255" t="n">
        <v>0</v>
      </c>
      <c r="AE255" t="n">
        <v>163.8</v>
      </c>
      <c r="AF255" t="n">
        <v>0</v>
      </c>
      <c r="AG255" t="n">
        <v>0</v>
      </c>
      <c r="AH255" t="n">
        <v>0.16</v>
      </c>
      <c r="AI255" t="n">
        <v>8.199999999999999</v>
      </c>
      <c r="AJ255" t="n">
        <v>-0.01</v>
      </c>
      <c r="AK255" t="n">
        <v>14.53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48.81</v>
      </c>
      <c r="AV255" t="n">
        <v>0</v>
      </c>
      <c r="AW255" t="n">
        <v>123.18</v>
      </c>
      <c r="AX255" t="inlineStr">
        <is>
          <t>settled</t>
        </is>
      </c>
      <c r="AY255" t="inlineStr">
        <is>
          <t>2026-01-28 05:30:00</t>
        </is>
      </c>
      <c r="AZ255" t="inlineStr">
        <is>
          <t>CITIN26611504159</t>
        </is>
      </c>
      <c r="BA255" t="n">
        <v>0</v>
      </c>
      <c r="BB255" t="inlineStr">
        <is>
          <t>5bbf14df8938f95d3b7c17a99beb70d7782f65008db9840edde8a35ba5e8e65f</t>
        </is>
      </c>
    </row>
    <row r="256">
      <c r="A256" t="inlineStr">
        <is>
          <t>251</t>
        </is>
      </c>
      <c r="B256" t="inlineStr">
        <is>
          <t>7722290320</t>
        </is>
      </c>
      <c r="C256" t="inlineStr">
        <is>
          <t>2026-01-24 23:22:38</t>
        </is>
      </c>
      <c r="D256" t="inlineStr">
        <is>
          <t>4</t>
        </is>
      </c>
      <c r="E256" t="inlineStr">
        <is>
          <t>Sha Sha - Shandaar Shawarma</t>
        </is>
      </c>
      <c r="F256" t="inlineStr">
        <is>
          <t>18557902</t>
        </is>
      </c>
      <c r="G256" t="inlineStr">
        <is>
          <t>30% off upto ₹75 (2025-06-25 - 2031-01-01)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O2</t>
        </is>
      </c>
      <c r="N256" t="inlineStr">
        <is>
          <t>36</t>
        </is>
      </c>
      <c r="O256" t="n">
        <v>229</v>
      </c>
      <c r="P256" t="n">
        <v>3.5</v>
      </c>
      <c r="Q256" t="n">
        <v>0</v>
      </c>
      <c r="R256" t="n">
        <v>68.7</v>
      </c>
      <c r="S256" t="n">
        <v>0</v>
      </c>
      <c r="T256" t="n">
        <v>0</v>
      </c>
      <c r="U256" t="n">
        <v>0</v>
      </c>
      <c r="V256" t="n">
        <v>8.19</v>
      </c>
      <c r="W256" t="n">
        <v>171.99</v>
      </c>
      <c r="X256" t="n">
        <v>163.8</v>
      </c>
      <c r="Y256" t="n">
        <v>19</v>
      </c>
      <c r="Z256" t="n">
        <v>31.12</v>
      </c>
      <c r="AA256" t="n">
        <v>3.16</v>
      </c>
      <c r="AB256" t="n">
        <v>34.28</v>
      </c>
      <c r="AC256" t="n">
        <v>6.17</v>
      </c>
      <c r="AD256" t="n">
        <v>0</v>
      </c>
      <c r="AE256" t="n">
        <v>163.8</v>
      </c>
      <c r="AF256" t="n">
        <v>0</v>
      </c>
      <c r="AG256" t="n">
        <v>0</v>
      </c>
      <c r="AH256" t="n">
        <v>0.16</v>
      </c>
      <c r="AI256" t="n">
        <v>8.199999999999999</v>
      </c>
      <c r="AJ256" t="n">
        <v>-0.01</v>
      </c>
      <c r="AK256" t="n">
        <v>14.53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48.81</v>
      </c>
      <c r="AV256" t="n">
        <v>0</v>
      </c>
      <c r="AW256" t="n">
        <v>123.18</v>
      </c>
      <c r="AX256" t="inlineStr">
        <is>
          <t>settled</t>
        </is>
      </c>
      <c r="AY256" t="inlineStr">
        <is>
          <t>2026-01-28 05:30:00</t>
        </is>
      </c>
      <c r="AZ256" t="inlineStr">
        <is>
          <t>CITIN26611504159</t>
        </is>
      </c>
      <c r="BA256" t="n">
        <v>0</v>
      </c>
      <c r="BB256" t="inlineStr">
        <is>
          <t>8e48e1080a0a48249f1b01193b75bb0a38fafa092609bd465d2289f0ad953714</t>
        </is>
      </c>
    </row>
    <row r="257">
      <c r="A257" t="inlineStr">
        <is>
          <t>252</t>
        </is>
      </c>
      <c r="B257" t="inlineStr">
        <is>
          <t>7714405242</t>
        </is>
      </c>
      <c r="C257" t="inlineStr">
        <is>
          <t>2026-01-25 00:04:57</t>
        </is>
      </c>
      <c r="D257" t="inlineStr">
        <is>
          <t>4</t>
        </is>
      </c>
      <c r="E257" t="inlineStr">
        <is>
          <t>Sha Sha - Shandaar Shawarma</t>
        </is>
      </c>
      <c r="F257" t="inlineStr">
        <is>
          <t>18557902</t>
        </is>
      </c>
      <c r="G257" t="inlineStr">
        <is>
          <t>30% off upto ₹75 (2025-06-25 - 2031-01-01)</t>
        </is>
      </c>
      <c r="H257" t="inlineStr">
        <is>
          <t>ONLINE</t>
        </is>
      </c>
      <c r="I257" t="inlineStr">
        <is>
          <t>DELIVERED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O2</t>
        </is>
      </c>
      <c r="N257" t="inlineStr">
        <is>
          <t>36</t>
        </is>
      </c>
      <c r="O257" t="n">
        <v>229</v>
      </c>
      <c r="P257" t="n">
        <v>3.5</v>
      </c>
      <c r="Q257" t="n">
        <v>0</v>
      </c>
      <c r="R257" t="n">
        <v>68.7</v>
      </c>
      <c r="S257" t="n">
        <v>0</v>
      </c>
      <c r="T257" t="n">
        <v>0</v>
      </c>
      <c r="U257" t="n">
        <v>0</v>
      </c>
      <c r="V257" t="n">
        <v>8.19</v>
      </c>
      <c r="W257" t="n">
        <v>171.99</v>
      </c>
      <c r="X257" t="n">
        <v>163.8</v>
      </c>
      <c r="Y257" t="n">
        <v>19</v>
      </c>
      <c r="Z257" t="n">
        <v>31.12</v>
      </c>
      <c r="AA257" t="n">
        <v>3.16</v>
      </c>
      <c r="AB257" t="n">
        <v>34.28</v>
      </c>
      <c r="AC257" t="n">
        <v>6.17</v>
      </c>
      <c r="AD257" t="n">
        <v>0</v>
      </c>
      <c r="AE257" t="n">
        <v>163.8</v>
      </c>
      <c r="AF257" t="n">
        <v>0</v>
      </c>
      <c r="AG257" t="n">
        <v>0</v>
      </c>
      <c r="AH257" t="n">
        <v>0.16</v>
      </c>
      <c r="AI257" t="n">
        <v>8.199999999999999</v>
      </c>
      <c r="AJ257" t="n">
        <v>-0.01</v>
      </c>
      <c r="AK257" t="n">
        <v>14.53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48.81</v>
      </c>
      <c r="AV257" t="n">
        <v>0</v>
      </c>
      <c r="AW257" t="n">
        <v>123.18</v>
      </c>
      <c r="AX257" t="inlineStr">
        <is>
          <t>settled</t>
        </is>
      </c>
      <c r="AY257" t="inlineStr">
        <is>
          <t>2026-01-28 05:30:00</t>
        </is>
      </c>
      <c r="AZ257" t="inlineStr">
        <is>
          <t>CITIN26611504159</t>
        </is>
      </c>
      <c r="BA257" t="n">
        <v>0</v>
      </c>
      <c r="BB257" t="inlineStr">
        <is>
          <t>4bc59a7b91051bd45715d4c6c383b5635eed7ed966b586e2812e835cb647b359</t>
        </is>
      </c>
    </row>
    <row r="258">
      <c r="A258" t="inlineStr">
        <is>
          <t>253</t>
        </is>
      </c>
      <c r="B258" t="inlineStr">
        <is>
          <t>7719427913</t>
        </is>
      </c>
      <c r="C258" t="inlineStr">
        <is>
          <t>2026-01-25 00:07:34</t>
        </is>
      </c>
      <c r="D258" t="inlineStr">
        <is>
          <t>4</t>
        </is>
      </c>
      <c r="E258" t="inlineStr">
        <is>
          <t>Sha Sha - Shandaar Shawarma</t>
        </is>
      </c>
      <c r="F258" t="inlineStr">
        <is>
          <t>18557902</t>
        </is>
      </c>
      <c r="G258" t="inlineStr">
        <is>
          <t>30% off upto ₹75 (2025-06-25 - 2031-01-01)</t>
        </is>
      </c>
      <c r="H258" t="inlineStr">
        <is>
          <t>ONLINE</t>
        </is>
      </c>
      <c r="I258" t="inlineStr">
        <is>
          <t>DELIVERED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O2</t>
        </is>
      </c>
      <c r="N258" t="inlineStr">
        <is>
          <t>36</t>
        </is>
      </c>
      <c r="O258" t="n">
        <v>219</v>
      </c>
      <c r="P258" t="n">
        <v>3.5</v>
      </c>
      <c r="Q258" t="n">
        <v>0</v>
      </c>
      <c r="R258" t="n">
        <v>65.7</v>
      </c>
      <c r="S258" t="n">
        <v>0</v>
      </c>
      <c r="T258" t="n">
        <v>0</v>
      </c>
      <c r="U258" t="n">
        <v>0</v>
      </c>
      <c r="V258" t="n">
        <v>7.84</v>
      </c>
      <c r="W258" t="n">
        <v>164.64</v>
      </c>
      <c r="X258" t="n">
        <v>156.8</v>
      </c>
      <c r="Y258" t="n">
        <v>19</v>
      </c>
      <c r="Z258" t="n">
        <v>29.79</v>
      </c>
      <c r="AA258" t="n">
        <v>3.03</v>
      </c>
      <c r="AB258" t="n">
        <v>32.82</v>
      </c>
      <c r="AC258" t="n">
        <v>5.91</v>
      </c>
      <c r="AD258" t="n">
        <v>0</v>
      </c>
      <c r="AE258" t="n">
        <v>156.8</v>
      </c>
      <c r="AF258" t="n">
        <v>0</v>
      </c>
      <c r="AG258" t="n">
        <v>0</v>
      </c>
      <c r="AH258" t="n">
        <v>0.16</v>
      </c>
      <c r="AI258" t="n">
        <v>7.85</v>
      </c>
      <c r="AJ258" t="n">
        <v>-0.01</v>
      </c>
      <c r="AK258" t="n">
        <v>13.92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46.74</v>
      </c>
      <c r="AV258" t="n">
        <v>0</v>
      </c>
      <c r="AW258" t="n">
        <v>117.9</v>
      </c>
      <c r="AX258" t="inlineStr">
        <is>
          <t>settled</t>
        </is>
      </c>
      <c r="AY258" t="inlineStr">
        <is>
          <t>2026-01-28 05:30:00</t>
        </is>
      </c>
      <c r="AZ258" t="inlineStr">
        <is>
          <t>CITIN26611504159</t>
        </is>
      </c>
      <c r="BA258" t="n">
        <v>0</v>
      </c>
      <c r="BB258" t="inlineStr">
        <is>
          <t>cbc1fd93c38502d3f7c18bc3380334f54b939c6528269b3daf8d3953da292bca</t>
        </is>
      </c>
    </row>
    <row r="259">
      <c r="A259" t="inlineStr">
        <is>
          <t>254</t>
        </is>
      </c>
      <c r="B259" t="inlineStr">
        <is>
          <t>7718898164</t>
        </is>
      </c>
      <c r="C259" t="inlineStr">
        <is>
          <t>2026-01-25 00:33:40</t>
        </is>
      </c>
      <c r="D259" t="inlineStr">
        <is>
          <t>4</t>
        </is>
      </c>
      <c r="E259" t="inlineStr">
        <is>
          <t>Sha Sha - Shandaar Shawarma</t>
        </is>
      </c>
      <c r="F259" t="inlineStr">
        <is>
          <t>18557902</t>
        </is>
      </c>
      <c r="G259" t="inlineStr">
        <is>
          <t>30% off upto ₹75 (2025-06-25 - 2031-01-01)</t>
        </is>
      </c>
      <c r="H259" t="inlineStr">
        <is>
          <t>ONLINE</t>
        </is>
      </c>
      <c r="I259" t="inlineStr">
        <is>
          <t>DELIVERED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O2</t>
        </is>
      </c>
      <c r="N259" t="inlineStr">
        <is>
          <t>36</t>
        </is>
      </c>
      <c r="O259" t="n">
        <v>229</v>
      </c>
      <c r="P259" t="n">
        <v>3.5</v>
      </c>
      <c r="Q259" t="n">
        <v>0</v>
      </c>
      <c r="R259" t="n">
        <v>68.7</v>
      </c>
      <c r="S259" t="n">
        <v>0</v>
      </c>
      <c r="T259" t="n">
        <v>0</v>
      </c>
      <c r="U259" t="n">
        <v>0</v>
      </c>
      <c r="V259" t="n">
        <v>8.19</v>
      </c>
      <c r="W259" t="n">
        <v>171.99</v>
      </c>
      <c r="X259" t="n">
        <v>163.8</v>
      </c>
      <c r="Y259" t="n">
        <v>19</v>
      </c>
      <c r="Z259" t="n">
        <v>31.12</v>
      </c>
      <c r="AA259" t="n">
        <v>3.16</v>
      </c>
      <c r="AB259" t="n">
        <v>34.28</v>
      </c>
      <c r="AC259" t="n">
        <v>6.17</v>
      </c>
      <c r="AD259" t="n">
        <v>0</v>
      </c>
      <c r="AE259" t="n">
        <v>163.8</v>
      </c>
      <c r="AF259" t="n">
        <v>0</v>
      </c>
      <c r="AG259" t="n">
        <v>0</v>
      </c>
      <c r="AH259" t="n">
        <v>0.16</v>
      </c>
      <c r="AI259" t="n">
        <v>8.199999999999999</v>
      </c>
      <c r="AJ259" t="n">
        <v>-0.01</v>
      </c>
      <c r="AK259" t="n">
        <v>14.53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48.81</v>
      </c>
      <c r="AV259" t="n">
        <v>0</v>
      </c>
      <c r="AW259" t="n">
        <v>123.18</v>
      </c>
      <c r="AX259" t="inlineStr">
        <is>
          <t>settled</t>
        </is>
      </c>
      <c r="AY259" t="inlineStr">
        <is>
          <t>2026-01-28 05:30:00</t>
        </is>
      </c>
      <c r="AZ259" t="inlineStr">
        <is>
          <t>CITIN26611504159</t>
        </is>
      </c>
      <c r="BA259" t="n">
        <v>0</v>
      </c>
      <c r="BB259" t="inlineStr">
        <is>
          <t>25c62e69f5da02f0f97957371adcf2824c328799d0f1fd3b25d9639280ddfc8f</t>
        </is>
      </c>
    </row>
    <row r="260">
      <c r="A260" t="inlineStr">
        <is>
          <t>255</t>
        </is>
      </c>
      <c r="B260" t="inlineStr">
        <is>
          <t>7716270816</t>
        </is>
      </c>
      <c r="C260" t="inlineStr">
        <is>
          <t>2026-01-25 00:46:21</t>
        </is>
      </c>
      <c r="D260" t="inlineStr">
        <is>
          <t>4</t>
        </is>
      </c>
      <c r="E260" t="inlineStr">
        <is>
          <t>Sha Sha - Shandaar Shawarma</t>
        </is>
      </c>
      <c r="F260" t="inlineStr">
        <is>
          <t>18557902</t>
        </is>
      </c>
      <c r="G260" t="inlineStr">
        <is>
          <t>30% off upto ₹75 (2025-06-25 - 2031-01-01)</t>
        </is>
      </c>
      <c r="H260" t="inlineStr">
        <is>
          <t>ONLINE</t>
        </is>
      </c>
      <c r="I260" t="inlineStr">
        <is>
          <t>DELIVERED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O2</t>
        </is>
      </c>
      <c r="N260" t="inlineStr">
        <is>
          <t>36</t>
        </is>
      </c>
      <c r="O260" t="n">
        <v>584</v>
      </c>
      <c r="P260" t="n">
        <v>3.5</v>
      </c>
      <c r="Q260" t="n">
        <v>0</v>
      </c>
      <c r="R260" t="n">
        <v>75</v>
      </c>
      <c r="S260" t="n">
        <v>0</v>
      </c>
      <c r="T260" t="n">
        <v>0</v>
      </c>
      <c r="U260" t="n">
        <v>0</v>
      </c>
      <c r="V260" t="n">
        <v>25.63</v>
      </c>
      <c r="W260" t="n">
        <v>538.13</v>
      </c>
      <c r="X260" t="n">
        <v>512.5</v>
      </c>
      <c r="Y260" t="n">
        <v>19</v>
      </c>
      <c r="Z260" t="n">
        <v>97.38</v>
      </c>
      <c r="AA260" t="n">
        <v>9.9</v>
      </c>
      <c r="AB260" t="n">
        <v>107.28</v>
      </c>
      <c r="AC260" t="n">
        <v>19.31</v>
      </c>
      <c r="AD260" t="n">
        <v>0</v>
      </c>
      <c r="AE260" t="n">
        <v>512.5</v>
      </c>
      <c r="AF260" t="n">
        <v>0</v>
      </c>
      <c r="AG260" t="n">
        <v>0</v>
      </c>
      <c r="AH260" t="n">
        <v>0.51</v>
      </c>
      <c r="AI260" t="n">
        <v>25.63</v>
      </c>
      <c r="AJ260" t="n">
        <v>0</v>
      </c>
      <c r="AK260" t="n">
        <v>45.45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152.73</v>
      </c>
      <c r="AV260" t="n">
        <v>0</v>
      </c>
      <c r="AW260" t="n">
        <v>385.4</v>
      </c>
      <c r="AX260" t="inlineStr">
        <is>
          <t>settled</t>
        </is>
      </c>
      <c r="AY260" t="inlineStr">
        <is>
          <t>2026-01-28 05:30:00</t>
        </is>
      </c>
      <c r="AZ260" t="inlineStr">
        <is>
          <t>CITIN26611504159</t>
        </is>
      </c>
      <c r="BA260" t="n">
        <v>0</v>
      </c>
      <c r="BB260" t="inlineStr">
        <is>
          <t>c234766eb0b94f6ed6607bd12b69e5b2322b1ad4ec02614d904c242e1681169a</t>
        </is>
      </c>
    </row>
    <row r="261">
      <c r="A261" t="inlineStr">
        <is>
          <t>256</t>
        </is>
      </c>
      <c r="B261" t="inlineStr">
        <is>
          <t>7722056141</t>
        </is>
      </c>
      <c r="C261" t="inlineStr">
        <is>
          <t>2026-01-25 00:55:38</t>
        </is>
      </c>
      <c r="D261" t="inlineStr">
        <is>
          <t>4</t>
        </is>
      </c>
      <c r="E261" t="inlineStr">
        <is>
          <t>Sha Sha - Shandaar Shawarma</t>
        </is>
      </c>
      <c r="F261" t="inlineStr">
        <is>
          <t>18557902</t>
        </is>
      </c>
      <c r="G261" t="inlineStr">
        <is>
          <t>NA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O2</t>
        </is>
      </c>
      <c r="N261" t="inlineStr">
        <is>
          <t>36</t>
        </is>
      </c>
      <c r="O261" t="n">
        <v>229</v>
      </c>
      <c r="P261" t="n">
        <v>3.5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11.63</v>
      </c>
      <c r="W261" t="n">
        <v>244.13</v>
      </c>
      <c r="X261" t="n">
        <v>232.5</v>
      </c>
      <c r="Y261" t="n">
        <v>19</v>
      </c>
      <c r="Z261" t="n">
        <v>44.18</v>
      </c>
      <c r="AA261" t="n">
        <v>4.49</v>
      </c>
      <c r="AB261" t="n">
        <v>48.67</v>
      </c>
      <c r="AC261" t="n">
        <v>8.76</v>
      </c>
      <c r="AD261" t="n">
        <v>0</v>
      </c>
      <c r="AE261" t="n">
        <v>232.5</v>
      </c>
      <c r="AF261" t="n">
        <v>0</v>
      </c>
      <c r="AG261" t="n">
        <v>0</v>
      </c>
      <c r="AH261" t="n">
        <v>0.23</v>
      </c>
      <c r="AI261" t="n">
        <v>11.63</v>
      </c>
      <c r="AJ261" t="n">
        <v>0</v>
      </c>
      <c r="AK261" t="n">
        <v>20.62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69.29000000000001</v>
      </c>
      <c r="AV261" t="n">
        <v>0</v>
      </c>
      <c r="AW261" t="n">
        <v>174.84</v>
      </c>
      <c r="AX261" t="inlineStr">
        <is>
          <t>settled</t>
        </is>
      </c>
      <c r="AY261" t="inlineStr">
        <is>
          <t>2026-01-28 05:30:00</t>
        </is>
      </c>
      <c r="AZ261" t="inlineStr">
        <is>
          <t>CITIN26611504159</t>
        </is>
      </c>
      <c r="BA261" t="n">
        <v>0</v>
      </c>
      <c r="BB261" t="inlineStr">
        <is>
          <t>474ed3bbfc94aeb71b958d21cbf20e16ab1d7fcf006a23d5098fe803879e3f7a</t>
        </is>
      </c>
    </row>
    <row r="262">
      <c r="A262" t="inlineStr">
        <is>
          <t>257</t>
        </is>
      </c>
      <c r="B262" t="inlineStr">
        <is>
          <t>7724085681</t>
        </is>
      </c>
      <c r="C262" t="inlineStr">
        <is>
          <t>2026-01-25 00:57:16</t>
        </is>
      </c>
      <c r="D262" t="inlineStr">
        <is>
          <t>4</t>
        </is>
      </c>
      <c r="E262" t="inlineStr">
        <is>
          <t>Sha Sha - Shandaar Shawarma</t>
        </is>
      </c>
      <c r="F262" t="inlineStr">
        <is>
          <t>18557902</t>
        </is>
      </c>
      <c r="G262" t="inlineStr">
        <is>
          <t>30% off upto ₹75 (2025-06-25 - 2031-01-01)</t>
        </is>
      </c>
      <c r="H262" t="inlineStr">
        <is>
          <t>ONLINE</t>
        </is>
      </c>
      <c r="I262" t="inlineStr">
        <is>
          <t>DELIVERED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O2</t>
        </is>
      </c>
      <c r="N262" t="inlineStr">
        <is>
          <t>36</t>
        </is>
      </c>
      <c r="O262" t="n">
        <v>229</v>
      </c>
      <c r="P262" t="n">
        <v>3.5</v>
      </c>
      <c r="Q262" t="n">
        <v>0</v>
      </c>
      <c r="R262" t="n">
        <v>68.7</v>
      </c>
      <c r="S262" t="n">
        <v>0</v>
      </c>
      <c r="T262" t="n">
        <v>0</v>
      </c>
      <c r="U262" t="n">
        <v>0</v>
      </c>
      <c r="V262" t="n">
        <v>8.19</v>
      </c>
      <c r="W262" t="n">
        <v>171.99</v>
      </c>
      <c r="X262" t="n">
        <v>163.8</v>
      </c>
      <c r="Y262" t="n">
        <v>19</v>
      </c>
      <c r="Z262" t="n">
        <v>31.12</v>
      </c>
      <c r="AA262" t="n">
        <v>3.16</v>
      </c>
      <c r="AB262" t="n">
        <v>34.28</v>
      </c>
      <c r="AC262" t="n">
        <v>6.17</v>
      </c>
      <c r="AD262" t="n">
        <v>0</v>
      </c>
      <c r="AE262" t="n">
        <v>163.8</v>
      </c>
      <c r="AF262" t="n">
        <v>0</v>
      </c>
      <c r="AG262" t="n">
        <v>0</v>
      </c>
      <c r="AH262" t="n">
        <v>0.16</v>
      </c>
      <c r="AI262" t="n">
        <v>8.199999999999999</v>
      </c>
      <c r="AJ262" t="n">
        <v>-0.01</v>
      </c>
      <c r="AK262" t="n">
        <v>14.53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48.81</v>
      </c>
      <c r="AV262" t="n">
        <v>0</v>
      </c>
      <c r="AW262" t="n">
        <v>123.18</v>
      </c>
      <c r="AX262" t="inlineStr">
        <is>
          <t>settled</t>
        </is>
      </c>
      <c r="AY262" t="inlineStr">
        <is>
          <t>2026-01-28 05:30:00</t>
        </is>
      </c>
      <c r="AZ262" t="inlineStr">
        <is>
          <t>CITIN26611504159</t>
        </is>
      </c>
      <c r="BA262" t="n">
        <v>0</v>
      </c>
      <c r="BB262" t="inlineStr">
        <is>
          <t>f965c705b5c4cac429aaa12fa644d2d6b611f69f55ef841ad3fea42d208be5e0</t>
        </is>
      </c>
    </row>
    <row r="263">
      <c r="A263" t="inlineStr">
        <is>
          <t>258</t>
        </is>
      </c>
      <c r="B263" t="inlineStr">
        <is>
          <t>7723620761</t>
        </is>
      </c>
      <c r="C263" t="inlineStr">
        <is>
          <t>2026-01-25 12:33:22</t>
        </is>
      </c>
      <c r="D263" t="inlineStr">
        <is>
          <t>4</t>
        </is>
      </c>
      <c r="E263" t="inlineStr">
        <is>
          <t>Sha Sha - Shandaar Shawarma</t>
        </is>
      </c>
      <c r="F263" t="inlineStr">
        <is>
          <t>18557902</t>
        </is>
      </c>
      <c r="G263" t="inlineStr">
        <is>
          <t>30% off upto ₹75 (2025-06-25 - 2031-01-01)</t>
        </is>
      </c>
      <c r="H263" t="inlineStr">
        <is>
          <t>ONLINE</t>
        </is>
      </c>
      <c r="I263" t="inlineStr">
        <is>
          <t>DELIVERED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O2</t>
        </is>
      </c>
      <c r="N263" t="inlineStr">
        <is>
          <t>36</t>
        </is>
      </c>
      <c r="O263" t="n">
        <v>229</v>
      </c>
      <c r="P263" t="n">
        <v>3.5</v>
      </c>
      <c r="Q263" t="n">
        <v>0</v>
      </c>
      <c r="R263" t="n">
        <v>68.7</v>
      </c>
      <c r="S263" t="n">
        <v>0</v>
      </c>
      <c r="T263" t="n">
        <v>0</v>
      </c>
      <c r="U263" t="n">
        <v>0</v>
      </c>
      <c r="V263" t="n">
        <v>8.19</v>
      </c>
      <c r="W263" t="n">
        <v>171.99</v>
      </c>
      <c r="X263" t="n">
        <v>163.8</v>
      </c>
      <c r="Y263" t="n">
        <v>19</v>
      </c>
      <c r="Z263" t="n">
        <v>31.12</v>
      </c>
      <c r="AA263" t="n">
        <v>3.16</v>
      </c>
      <c r="AB263" t="n">
        <v>34.28</v>
      </c>
      <c r="AC263" t="n">
        <v>6.17</v>
      </c>
      <c r="AD263" t="n">
        <v>0</v>
      </c>
      <c r="AE263" t="n">
        <v>163.8</v>
      </c>
      <c r="AF263" t="n">
        <v>0</v>
      </c>
      <c r="AG263" t="n">
        <v>0</v>
      </c>
      <c r="AH263" t="n">
        <v>0.16</v>
      </c>
      <c r="AI263" t="n">
        <v>8.199999999999999</v>
      </c>
      <c r="AJ263" t="n">
        <v>-0.01</v>
      </c>
      <c r="AK263" t="n">
        <v>14.53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48.81</v>
      </c>
      <c r="AV263" t="n">
        <v>0</v>
      </c>
      <c r="AW263" t="n">
        <v>123.18</v>
      </c>
      <c r="AX263" t="inlineStr">
        <is>
          <t>settled</t>
        </is>
      </c>
      <c r="AY263" t="inlineStr">
        <is>
          <t>2026-01-28 05:30:00</t>
        </is>
      </c>
      <c r="AZ263" t="inlineStr">
        <is>
          <t>CITIN26611504159</t>
        </is>
      </c>
      <c r="BA263" t="n">
        <v>0</v>
      </c>
      <c r="BB263" t="inlineStr">
        <is>
          <t>eb446abdfe0a8d32ccfa1794a75686996c0c55a44edeee294941c98649651896</t>
        </is>
      </c>
    </row>
    <row r="264">
      <c r="A264" t="inlineStr">
        <is>
          <t>259</t>
        </is>
      </c>
      <c r="B264" t="inlineStr">
        <is>
          <t>7726624597</t>
        </is>
      </c>
      <c r="C264" t="inlineStr">
        <is>
          <t>2026-01-25 13:31:18</t>
        </is>
      </c>
      <c r="D264" t="inlineStr">
        <is>
          <t>4</t>
        </is>
      </c>
      <c r="E264" t="inlineStr">
        <is>
          <t>Sha Sha - Shandaar Shawarma</t>
        </is>
      </c>
      <c r="F264" t="inlineStr">
        <is>
          <t>18557902</t>
        </is>
      </c>
      <c r="G264" t="inlineStr">
        <is>
          <t>NA</t>
        </is>
      </c>
      <c r="H264" t="inlineStr">
        <is>
          <t>ONLINE</t>
        </is>
      </c>
      <c r="I264" t="inlineStr">
        <is>
          <t>DELIVERED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O2</t>
        </is>
      </c>
      <c r="N264" t="inlineStr">
        <is>
          <t>36</t>
        </is>
      </c>
      <c r="O264" t="n">
        <v>268</v>
      </c>
      <c r="P264" t="n">
        <v>3.5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13.58</v>
      </c>
      <c r="W264" t="n">
        <v>285.08</v>
      </c>
      <c r="X264" t="n">
        <v>271.5</v>
      </c>
      <c r="Y264" t="n">
        <v>19</v>
      </c>
      <c r="Z264" t="n">
        <v>51.58</v>
      </c>
      <c r="AA264" t="n">
        <v>5.25</v>
      </c>
      <c r="AB264" t="n">
        <v>56.83</v>
      </c>
      <c r="AC264" t="n">
        <v>10.22</v>
      </c>
      <c r="AD264" t="n">
        <v>0</v>
      </c>
      <c r="AE264" t="n">
        <v>271.5</v>
      </c>
      <c r="AF264" t="n">
        <v>0</v>
      </c>
      <c r="AG264" t="n">
        <v>0</v>
      </c>
      <c r="AH264" t="n">
        <v>0.27</v>
      </c>
      <c r="AI264" t="n">
        <v>13.58</v>
      </c>
      <c r="AJ264" t="n">
        <v>0</v>
      </c>
      <c r="AK264" t="n">
        <v>24.07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80.90000000000001</v>
      </c>
      <c r="AV264" t="n">
        <v>0</v>
      </c>
      <c r="AW264" t="n">
        <v>204.18</v>
      </c>
      <c r="AX264" t="inlineStr">
        <is>
          <t>settled</t>
        </is>
      </c>
      <c r="AY264" t="inlineStr">
        <is>
          <t>2026-01-28 05:30:00</t>
        </is>
      </c>
      <c r="AZ264" t="inlineStr">
        <is>
          <t>CITIN26611504159</t>
        </is>
      </c>
      <c r="BA264" t="n">
        <v>0</v>
      </c>
      <c r="BB264" t="inlineStr">
        <is>
          <t>169e194b666a844586496ce212385b1c48a788e87f285622564e913cb8c46be4</t>
        </is>
      </c>
    </row>
    <row r="265">
      <c r="A265" t="inlineStr">
        <is>
          <t>260</t>
        </is>
      </c>
      <c r="B265" t="inlineStr">
        <is>
          <t>7726141602</t>
        </is>
      </c>
      <c r="C265" t="inlineStr">
        <is>
          <t>2026-01-25 14:20:07</t>
        </is>
      </c>
      <c r="D265" t="inlineStr">
        <is>
          <t>4</t>
        </is>
      </c>
      <c r="E265" t="inlineStr">
        <is>
          <t>Sha Sha - Shandaar Shawarma</t>
        </is>
      </c>
      <c r="F265" t="inlineStr">
        <is>
          <t>18557902</t>
        </is>
      </c>
      <c r="G265" t="inlineStr">
        <is>
          <t>NA</t>
        </is>
      </c>
      <c r="H265" t="inlineStr">
        <is>
          <t>ONLINE</t>
        </is>
      </c>
      <c r="I265" t="inlineStr">
        <is>
          <t>DELIVERED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O2</t>
        </is>
      </c>
      <c r="N265" t="inlineStr">
        <is>
          <t>36</t>
        </is>
      </c>
      <c r="O265" t="n">
        <v>219</v>
      </c>
      <c r="P265" t="n">
        <v>3.5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11.13</v>
      </c>
      <c r="W265" t="n">
        <v>233.63</v>
      </c>
      <c r="X265" t="n">
        <v>222.5</v>
      </c>
      <c r="Y265" t="n">
        <v>19</v>
      </c>
      <c r="Z265" t="n">
        <v>42.28</v>
      </c>
      <c r="AA265" t="n">
        <v>4.3</v>
      </c>
      <c r="AB265" t="n">
        <v>46.58</v>
      </c>
      <c r="AC265" t="n">
        <v>8.380000000000001</v>
      </c>
      <c r="AD265" t="n">
        <v>0</v>
      </c>
      <c r="AE265" t="n">
        <v>222.5</v>
      </c>
      <c r="AF265" t="n">
        <v>0</v>
      </c>
      <c r="AG265" t="n">
        <v>0</v>
      </c>
      <c r="AH265" t="n">
        <v>0.22</v>
      </c>
      <c r="AI265" t="n">
        <v>11.13</v>
      </c>
      <c r="AJ265" t="n">
        <v>0</v>
      </c>
      <c r="AK265" t="n">
        <v>19.73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66.31</v>
      </c>
      <c r="AV265" t="n">
        <v>0</v>
      </c>
      <c r="AW265" t="n">
        <v>167.32</v>
      </c>
      <c r="AX265" t="inlineStr">
        <is>
          <t>settled</t>
        </is>
      </c>
      <c r="AY265" t="inlineStr">
        <is>
          <t>2026-01-28 05:30:00</t>
        </is>
      </c>
      <c r="AZ265" t="inlineStr">
        <is>
          <t>CITIN26611504159</t>
        </is>
      </c>
      <c r="BA265" t="n">
        <v>0</v>
      </c>
      <c r="BB265" t="inlineStr">
        <is>
          <t>e62e634c87baa97b15393d92152f096f0e7e85b6fe1e9f205f69669fe159a98e</t>
        </is>
      </c>
    </row>
    <row r="266">
      <c r="A266" t="inlineStr">
        <is>
          <t>261</t>
        </is>
      </c>
      <c r="B266" t="inlineStr">
        <is>
          <t>7726013807</t>
        </is>
      </c>
      <c r="C266" t="inlineStr">
        <is>
          <t>2026-01-25 14:20:57</t>
        </is>
      </c>
      <c r="D266" t="inlineStr">
        <is>
          <t>4</t>
        </is>
      </c>
      <c r="E266" t="inlineStr">
        <is>
          <t>Sha Sha - Shandaar Shawarma</t>
        </is>
      </c>
      <c r="F266" t="inlineStr">
        <is>
          <t>18557902</t>
        </is>
      </c>
      <c r="G266" t="inlineStr">
        <is>
          <t>NA</t>
        </is>
      </c>
      <c r="H266" t="inlineStr">
        <is>
          <t>ONLINE</t>
        </is>
      </c>
      <c r="I266" t="inlineStr">
        <is>
          <t>DELIVERED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O2</t>
        </is>
      </c>
      <c r="N266" t="inlineStr">
        <is>
          <t>36</t>
        </is>
      </c>
      <c r="O266" t="n">
        <v>458</v>
      </c>
      <c r="P266" t="n">
        <v>3.5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23.08</v>
      </c>
      <c r="W266" t="n">
        <v>484.58</v>
      </c>
      <c r="X266" t="n">
        <v>461.5</v>
      </c>
      <c r="Y266" t="n">
        <v>19</v>
      </c>
      <c r="Z266" t="n">
        <v>87.68000000000001</v>
      </c>
      <c r="AA266" t="n">
        <v>8.92</v>
      </c>
      <c r="AB266" t="n">
        <v>96.59999999999999</v>
      </c>
      <c r="AC266" t="n">
        <v>17.39</v>
      </c>
      <c r="AD266" t="n">
        <v>0</v>
      </c>
      <c r="AE266" t="n">
        <v>461.5</v>
      </c>
      <c r="AF266" t="n">
        <v>0</v>
      </c>
      <c r="AG266" t="n">
        <v>0</v>
      </c>
      <c r="AH266" t="n">
        <v>0.46</v>
      </c>
      <c r="AI266" t="n">
        <v>23.08</v>
      </c>
      <c r="AJ266" t="n">
        <v>0</v>
      </c>
      <c r="AK266" t="n">
        <v>40.93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137.53</v>
      </c>
      <c r="AV266" t="n">
        <v>0</v>
      </c>
      <c r="AW266" t="n">
        <v>347.05</v>
      </c>
      <c r="AX266" t="inlineStr">
        <is>
          <t>settled</t>
        </is>
      </c>
      <c r="AY266" t="inlineStr">
        <is>
          <t>2026-01-28 05:30:00</t>
        </is>
      </c>
      <c r="AZ266" t="inlineStr">
        <is>
          <t>CITIN26611504159</t>
        </is>
      </c>
      <c r="BA266" t="n">
        <v>0</v>
      </c>
      <c r="BB266" t="inlineStr">
        <is>
          <t>40f21fb034a29107b680a2853dd99bc29b0c272c0fbb6d4c4112de2168f2112a</t>
        </is>
      </c>
    </row>
    <row r="267">
      <c r="A267" t="inlineStr">
        <is>
          <t>262</t>
        </is>
      </c>
      <c r="B267" t="inlineStr">
        <is>
          <t>7727425117</t>
        </is>
      </c>
      <c r="C267" t="inlineStr">
        <is>
          <t>2026-01-25 14:38:35</t>
        </is>
      </c>
      <c r="D267" t="inlineStr">
        <is>
          <t>4</t>
        </is>
      </c>
      <c r="E267" t="inlineStr">
        <is>
          <t>Sha Sha - Shandaar Shawarma</t>
        </is>
      </c>
      <c r="F267" t="inlineStr">
        <is>
          <t>18557902</t>
        </is>
      </c>
      <c r="G267" t="inlineStr">
        <is>
          <t>30% off upto ₹75 (2025-06-25 - 2031-01-01)</t>
        </is>
      </c>
      <c r="H267" t="inlineStr">
        <is>
          <t>ONLINE</t>
        </is>
      </c>
      <c r="I267" t="inlineStr">
        <is>
          <t>DELIVERED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O2</t>
        </is>
      </c>
      <c r="N267" t="inlineStr">
        <is>
          <t>36</t>
        </is>
      </c>
      <c r="O267" t="n">
        <v>229</v>
      </c>
      <c r="P267" t="n">
        <v>3.5</v>
      </c>
      <c r="Q267" t="n">
        <v>0</v>
      </c>
      <c r="R267" t="n">
        <v>68.7</v>
      </c>
      <c r="S267" t="n">
        <v>0</v>
      </c>
      <c r="T267" t="n">
        <v>0</v>
      </c>
      <c r="U267" t="n">
        <v>0</v>
      </c>
      <c r="V267" t="n">
        <v>8.19</v>
      </c>
      <c r="W267" t="n">
        <v>171.99</v>
      </c>
      <c r="X267" t="n">
        <v>163.8</v>
      </c>
      <c r="Y267" t="n">
        <v>19</v>
      </c>
      <c r="Z267" t="n">
        <v>31.12</v>
      </c>
      <c r="AA267" t="n">
        <v>3.16</v>
      </c>
      <c r="AB267" t="n">
        <v>34.28</v>
      </c>
      <c r="AC267" t="n">
        <v>6.17</v>
      </c>
      <c r="AD267" t="n">
        <v>0</v>
      </c>
      <c r="AE267" t="n">
        <v>163.8</v>
      </c>
      <c r="AF267" t="n">
        <v>0</v>
      </c>
      <c r="AG267" t="n">
        <v>0</v>
      </c>
      <c r="AH267" t="n">
        <v>0.16</v>
      </c>
      <c r="AI267" t="n">
        <v>8.199999999999999</v>
      </c>
      <c r="AJ267" t="n">
        <v>-0.01</v>
      </c>
      <c r="AK267" t="n">
        <v>14.53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48.81</v>
      </c>
      <c r="AV267" t="n">
        <v>0</v>
      </c>
      <c r="AW267" t="n">
        <v>123.18</v>
      </c>
      <c r="AX267" t="inlineStr">
        <is>
          <t>settled</t>
        </is>
      </c>
      <c r="AY267" t="inlineStr">
        <is>
          <t>2026-01-28 05:30:00</t>
        </is>
      </c>
      <c r="AZ267" t="inlineStr">
        <is>
          <t>CITIN26611504159</t>
        </is>
      </c>
      <c r="BA267" t="n">
        <v>0</v>
      </c>
      <c r="BB267" t="inlineStr">
        <is>
          <t>c0888b920e351241eea73402272df7c68cad40dc820efca8f743da4a54f30e07</t>
        </is>
      </c>
    </row>
    <row r="268">
      <c r="A268" t="inlineStr">
        <is>
          <t>263</t>
        </is>
      </c>
      <c r="B268" t="inlineStr">
        <is>
          <t>7720866497</t>
        </is>
      </c>
      <c r="C268" t="inlineStr">
        <is>
          <t>2026-01-25 14:56:37</t>
        </is>
      </c>
      <c r="D268" t="inlineStr">
        <is>
          <t>4</t>
        </is>
      </c>
      <c r="E268" t="inlineStr">
        <is>
          <t>Sha Sha - Shandaar Shawarma</t>
        </is>
      </c>
      <c r="F268" t="inlineStr">
        <is>
          <t>18557902</t>
        </is>
      </c>
      <c r="G268" t="inlineStr">
        <is>
          <t>30% off upto ₹75 (2025-06-25 - 2031-01-01)</t>
        </is>
      </c>
      <c r="H268" t="inlineStr">
        <is>
          <t>ONLINE</t>
        </is>
      </c>
      <c r="I268" t="inlineStr">
        <is>
          <t>DELIVERED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O2</t>
        </is>
      </c>
      <c r="N268" t="inlineStr">
        <is>
          <t>36</t>
        </is>
      </c>
      <c r="O268" t="n">
        <v>219</v>
      </c>
      <c r="P268" t="n">
        <v>3.5</v>
      </c>
      <c r="Q268" t="n">
        <v>0</v>
      </c>
      <c r="R268" t="n">
        <v>65.7</v>
      </c>
      <c r="S268" t="n">
        <v>0</v>
      </c>
      <c r="T268" t="n">
        <v>0</v>
      </c>
      <c r="U268" t="n">
        <v>0</v>
      </c>
      <c r="V268" t="n">
        <v>7.84</v>
      </c>
      <c r="W268" t="n">
        <v>164.64</v>
      </c>
      <c r="X268" t="n">
        <v>156.8</v>
      </c>
      <c r="Y268" t="n">
        <v>19</v>
      </c>
      <c r="Z268" t="n">
        <v>29.79</v>
      </c>
      <c r="AA268" t="n">
        <v>3.03</v>
      </c>
      <c r="AB268" t="n">
        <v>32.82</v>
      </c>
      <c r="AC268" t="n">
        <v>5.91</v>
      </c>
      <c r="AD268" t="n">
        <v>0</v>
      </c>
      <c r="AE268" t="n">
        <v>156.8</v>
      </c>
      <c r="AF268" t="n">
        <v>0</v>
      </c>
      <c r="AG268" t="n">
        <v>0</v>
      </c>
      <c r="AH268" t="n">
        <v>0.16</v>
      </c>
      <c r="AI268" t="n">
        <v>7.85</v>
      </c>
      <c r="AJ268" t="n">
        <v>-0.01</v>
      </c>
      <c r="AK268" t="n">
        <v>13.92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46.74</v>
      </c>
      <c r="AV268" t="n">
        <v>0</v>
      </c>
      <c r="AW268" t="n">
        <v>117.9</v>
      </c>
      <c r="AX268" t="inlineStr">
        <is>
          <t>settled</t>
        </is>
      </c>
      <c r="AY268" t="inlineStr">
        <is>
          <t>2026-01-28 05:30:00</t>
        </is>
      </c>
      <c r="AZ268" t="inlineStr">
        <is>
          <t>CITIN26611504159</t>
        </is>
      </c>
      <c r="BA268" t="n">
        <v>0</v>
      </c>
      <c r="BB268" t="inlineStr">
        <is>
          <t>45851e894dc61d6992b9aded42560561f5c7ea294e2b13c7cfdce244fe5d3783</t>
        </is>
      </c>
    </row>
    <row r="269">
      <c r="A269" t="inlineStr">
        <is>
          <t>264</t>
        </is>
      </c>
      <c r="B269" t="inlineStr">
        <is>
          <t>7726127404</t>
        </is>
      </c>
      <c r="C269" t="inlineStr">
        <is>
          <t>2026-01-25 14:58:02</t>
        </is>
      </c>
      <c r="D269" t="inlineStr">
        <is>
          <t>4</t>
        </is>
      </c>
      <c r="E269" t="inlineStr">
        <is>
          <t>Sha Sha - Shandaar Shawarma</t>
        </is>
      </c>
      <c r="F269" t="inlineStr">
        <is>
          <t>18557902</t>
        </is>
      </c>
      <c r="G269" t="inlineStr">
        <is>
          <t>30% off upto ₹75 (2025-06-25 - 2031-01-01)</t>
        </is>
      </c>
      <c r="H269" t="inlineStr">
        <is>
          <t>ONLINE</t>
        </is>
      </c>
      <c r="I269" t="inlineStr">
        <is>
          <t>DELIVERED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O2</t>
        </is>
      </c>
      <c r="N269" t="inlineStr">
        <is>
          <t>36</t>
        </is>
      </c>
      <c r="O269" t="n">
        <v>345</v>
      </c>
      <c r="P269" t="n">
        <v>3.5</v>
      </c>
      <c r="Q269" t="n">
        <v>0</v>
      </c>
      <c r="R269" t="n">
        <v>75</v>
      </c>
      <c r="S269" t="n">
        <v>0</v>
      </c>
      <c r="T269" t="n">
        <v>0</v>
      </c>
      <c r="U269" t="n">
        <v>0</v>
      </c>
      <c r="V269" t="n">
        <v>13.68</v>
      </c>
      <c r="W269" t="n">
        <v>287.18</v>
      </c>
      <c r="X269" t="n">
        <v>273.5</v>
      </c>
      <c r="Y269" t="n">
        <v>19</v>
      </c>
      <c r="Z269" t="n">
        <v>51.96</v>
      </c>
      <c r="AA269" t="n">
        <v>5.28</v>
      </c>
      <c r="AB269" t="n">
        <v>57.24</v>
      </c>
      <c r="AC269" t="n">
        <v>10.3</v>
      </c>
      <c r="AD269" t="n">
        <v>0</v>
      </c>
      <c r="AE269" t="n">
        <v>273.5</v>
      </c>
      <c r="AF269" t="n">
        <v>0</v>
      </c>
      <c r="AG269" t="n">
        <v>0</v>
      </c>
      <c r="AH269" t="n">
        <v>0.27</v>
      </c>
      <c r="AI269" t="n">
        <v>13.68</v>
      </c>
      <c r="AJ269" t="n">
        <v>0</v>
      </c>
      <c r="AK269" t="n">
        <v>24.25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81.48999999999999</v>
      </c>
      <c r="AV269" t="n">
        <v>0</v>
      </c>
      <c r="AW269" t="n">
        <v>205.69</v>
      </c>
      <c r="AX269" t="inlineStr">
        <is>
          <t>settled</t>
        </is>
      </c>
      <c r="AY269" t="inlineStr">
        <is>
          <t>2026-01-28 05:30:00</t>
        </is>
      </c>
      <c r="AZ269" t="inlineStr">
        <is>
          <t>CITIN26611504159</t>
        </is>
      </c>
      <c r="BA269" t="n">
        <v>0</v>
      </c>
      <c r="BB269" t="inlineStr">
        <is>
          <t>ac543ba41a080beff5bef84130ac8dcdba8647958842df7580ac03b3072ee2df</t>
        </is>
      </c>
    </row>
    <row r="270">
      <c r="A270" t="inlineStr">
        <is>
          <t>265</t>
        </is>
      </c>
      <c r="B270" t="inlineStr">
        <is>
          <t>7723849398</t>
        </is>
      </c>
      <c r="C270" t="inlineStr">
        <is>
          <t>2026-01-25 15:27:17</t>
        </is>
      </c>
      <c r="D270" t="inlineStr">
        <is>
          <t>4</t>
        </is>
      </c>
      <c r="E270" t="inlineStr">
        <is>
          <t>Sha Sha - Shandaar Shawarma</t>
        </is>
      </c>
      <c r="F270" t="inlineStr">
        <is>
          <t>18557902</t>
        </is>
      </c>
      <c r="G270" t="inlineStr">
        <is>
          <t>30% off upto ₹75 (2025-06-25 - 2031-01-01)</t>
        </is>
      </c>
      <c r="H270" t="inlineStr">
        <is>
          <t>ONLINE</t>
        </is>
      </c>
      <c r="I270" t="inlineStr">
        <is>
          <t>DELIVERED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O2</t>
        </is>
      </c>
      <c r="N270" t="inlineStr">
        <is>
          <t>36</t>
        </is>
      </c>
      <c r="O270" t="n">
        <v>229</v>
      </c>
      <c r="P270" t="n">
        <v>3.5</v>
      </c>
      <c r="Q270" t="n">
        <v>0</v>
      </c>
      <c r="R270" t="n">
        <v>68.7</v>
      </c>
      <c r="S270" t="n">
        <v>0</v>
      </c>
      <c r="T270" t="n">
        <v>0</v>
      </c>
      <c r="U270" t="n">
        <v>0</v>
      </c>
      <c r="V270" t="n">
        <v>8.19</v>
      </c>
      <c r="W270" t="n">
        <v>171.99</v>
      </c>
      <c r="X270" t="n">
        <v>163.8</v>
      </c>
      <c r="Y270" t="n">
        <v>19</v>
      </c>
      <c r="Z270" t="n">
        <v>31.12</v>
      </c>
      <c r="AA270" t="n">
        <v>3.16</v>
      </c>
      <c r="AB270" t="n">
        <v>34.28</v>
      </c>
      <c r="AC270" t="n">
        <v>6.17</v>
      </c>
      <c r="AD270" t="n">
        <v>0</v>
      </c>
      <c r="AE270" t="n">
        <v>163.8</v>
      </c>
      <c r="AF270" t="n">
        <v>0</v>
      </c>
      <c r="AG270" t="n">
        <v>0</v>
      </c>
      <c r="AH270" t="n">
        <v>0.16</v>
      </c>
      <c r="AI270" t="n">
        <v>8.199999999999999</v>
      </c>
      <c r="AJ270" t="n">
        <v>-0.01</v>
      </c>
      <c r="AK270" t="n">
        <v>14.53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48.81</v>
      </c>
      <c r="AV270" t="n">
        <v>0</v>
      </c>
      <c r="AW270" t="n">
        <v>123.18</v>
      </c>
      <c r="AX270" t="inlineStr">
        <is>
          <t>settled</t>
        </is>
      </c>
      <c r="AY270" t="inlineStr">
        <is>
          <t>2026-01-28 05:30:00</t>
        </is>
      </c>
      <c r="AZ270" t="inlineStr">
        <is>
          <t>CITIN26611504159</t>
        </is>
      </c>
      <c r="BA270" t="n">
        <v>0</v>
      </c>
      <c r="BB270" t="inlineStr">
        <is>
          <t>81fbff1598d7d8fe61f727591caebbca84641f79d6d5d6f1cc179374af51e686</t>
        </is>
      </c>
    </row>
    <row r="271">
      <c r="A271" t="inlineStr">
        <is>
          <t>266</t>
        </is>
      </c>
      <c r="B271" t="inlineStr">
        <is>
          <t>7722392108</t>
        </is>
      </c>
      <c r="C271" t="inlineStr">
        <is>
          <t>2026-01-25 17:13:40</t>
        </is>
      </c>
      <c r="D271" t="inlineStr">
        <is>
          <t>4</t>
        </is>
      </c>
      <c r="E271" t="inlineStr">
        <is>
          <t>Sha Sha - Shandaar Shawarma</t>
        </is>
      </c>
      <c r="F271" t="inlineStr">
        <is>
          <t>18557902</t>
        </is>
      </c>
      <c r="G271" t="inlineStr">
        <is>
          <t>30% off upto ₹75 (2025-06-25 - 2031-01-01)</t>
        </is>
      </c>
      <c r="H271" t="inlineStr">
        <is>
          <t>ONLINE</t>
        </is>
      </c>
      <c r="I271" t="inlineStr">
        <is>
          <t>DELIVERED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O2</t>
        </is>
      </c>
      <c r="N271" t="inlineStr">
        <is>
          <t>36</t>
        </is>
      </c>
      <c r="O271" t="n">
        <v>394</v>
      </c>
      <c r="P271" t="n">
        <v>3.5</v>
      </c>
      <c r="Q271" t="n">
        <v>0</v>
      </c>
      <c r="R271" t="n">
        <v>75</v>
      </c>
      <c r="S271" t="n">
        <v>0</v>
      </c>
      <c r="T271" t="n">
        <v>0</v>
      </c>
      <c r="U271" t="n">
        <v>0</v>
      </c>
      <c r="V271" t="n">
        <v>16.13</v>
      </c>
      <c r="W271" t="n">
        <v>338.63</v>
      </c>
      <c r="X271" t="n">
        <v>322.5</v>
      </c>
      <c r="Y271" t="n">
        <v>19</v>
      </c>
      <c r="Z271" t="n">
        <v>61.28</v>
      </c>
      <c r="AA271" t="n">
        <v>6.23</v>
      </c>
      <c r="AB271" t="n">
        <v>67.51000000000001</v>
      </c>
      <c r="AC271" t="n">
        <v>12.15</v>
      </c>
      <c r="AD271" t="n">
        <v>0</v>
      </c>
      <c r="AE271" t="n">
        <v>322.5</v>
      </c>
      <c r="AF271" t="n">
        <v>0</v>
      </c>
      <c r="AG271" t="n">
        <v>0</v>
      </c>
      <c r="AH271" t="n">
        <v>0.32</v>
      </c>
      <c r="AI271" t="n">
        <v>16.13</v>
      </c>
      <c r="AJ271" t="n">
        <v>0</v>
      </c>
      <c r="AK271" t="n">
        <v>28.6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96.11</v>
      </c>
      <c r="AV271" t="n">
        <v>0</v>
      </c>
      <c r="AW271" t="n">
        <v>242.52</v>
      </c>
      <c r="AX271" t="inlineStr">
        <is>
          <t>settled</t>
        </is>
      </c>
      <c r="AY271" t="inlineStr">
        <is>
          <t>2026-01-28 05:30:00</t>
        </is>
      </c>
      <c r="AZ271" t="inlineStr">
        <is>
          <t>CITIN26611504159</t>
        </is>
      </c>
      <c r="BA271" t="n">
        <v>0</v>
      </c>
      <c r="BB271" t="inlineStr">
        <is>
          <t>5d0e631c4b587e4fa16bc5ff14578b81e939b1e606620b97beca8ff9b8f0b117</t>
        </is>
      </c>
    </row>
    <row r="272">
      <c r="A272" t="inlineStr">
        <is>
          <t>267</t>
        </is>
      </c>
      <c r="B272" t="inlineStr">
        <is>
          <t>7721467653</t>
        </is>
      </c>
      <c r="C272" t="inlineStr">
        <is>
          <t>2026-01-25 17:24:05</t>
        </is>
      </c>
      <c r="D272" t="inlineStr">
        <is>
          <t>4</t>
        </is>
      </c>
      <c r="E272" t="inlineStr">
        <is>
          <t>Sha Sha - Shandaar Shawarma</t>
        </is>
      </c>
      <c r="F272" t="inlineStr">
        <is>
          <t>18557902</t>
        </is>
      </c>
      <c r="G272" t="inlineStr">
        <is>
          <t>NA</t>
        </is>
      </c>
      <c r="H272" t="inlineStr">
        <is>
          <t>ONLINE</t>
        </is>
      </c>
      <c r="I272" t="inlineStr">
        <is>
          <t>DELIVERED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O2</t>
        </is>
      </c>
      <c r="N272" t="inlineStr">
        <is>
          <t>36</t>
        </is>
      </c>
      <c r="O272" t="n">
        <v>229</v>
      </c>
      <c r="P272" t="n">
        <v>3.5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11.63</v>
      </c>
      <c r="W272" t="n">
        <v>244.13</v>
      </c>
      <c r="X272" t="n">
        <v>232.5</v>
      </c>
      <c r="Y272" t="n">
        <v>19</v>
      </c>
      <c r="Z272" t="n">
        <v>44.18</v>
      </c>
      <c r="AA272" t="n">
        <v>4.49</v>
      </c>
      <c r="AB272" t="n">
        <v>48.67</v>
      </c>
      <c r="AC272" t="n">
        <v>8.76</v>
      </c>
      <c r="AD272" t="n">
        <v>0</v>
      </c>
      <c r="AE272" t="n">
        <v>232.5</v>
      </c>
      <c r="AF272" t="n">
        <v>0</v>
      </c>
      <c r="AG272" t="n">
        <v>0</v>
      </c>
      <c r="AH272" t="n">
        <v>0.23</v>
      </c>
      <c r="AI272" t="n">
        <v>11.63</v>
      </c>
      <c r="AJ272" t="n">
        <v>0</v>
      </c>
      <c r="AK272" t="n">
        <v>20.62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69.29000000000001</v>
      </c>
      <c r="AV272" t="n">
        <v>0</v>
      </c>
      <c r="AW272" t="n">
        <v>174.84</v>
      </c>
      <c r="AX272" t="inlineStr">
        <is>
          <t>settled</t>
        </is>
      </c>
      <c r="AY272" t="inlineStr">
        <is>
          <t>2026-01-28 05:30:00</t>
        </is>
      </c>
      <c r="AZ272" t="inlineStr">
        <is>
          <t>CITIN26611504159</t>
        </is>
      </c>
      <c r="BA272" t="n">
        <v>0</v>
      </c>
      <c r="BB272" t="inlineStr">
        <is>
          <t>fb82f74873c6233b5e54b4b7b5b2d2ff7ba48e70683ff62317c3a5b3bf45cad8</t>
        </is>
      </c>
    </row>
    <row r="273">
      <c r="A273" t="inlineStr">
        <is>
          <t>268</t>
        </is>
      </c>
      <c r="B273" t="inlineStr">
        <is>
          <t>7722313387</t>
        </is>
      </c>
      <c r="C273" t="inlineStr">
        <is>
          <t>2026-01-25 17:29:07</t>
        </is>
      </c>
      <c r="D273" t="inlineStr">
        <is>
          <t>4</t>
        </is>
      </c>
      <c r="E273" t="inlineStr">
        <is>
          <t>Sha Sha - Shandaar Shawarma</t>
        </is>
      </c>
      <c r="F273" t="inlineStr">
        <is>
          <t>18557902</t>
        </is>
      </c>
      <c r="G273" t="inlineStr">
        <is>
          <t>30% off upto ₹75 (2025-06-25 - 2031-01-01)</t>
        </is>
      </c>
      <c r="H273" t="inlineStr">
        <is>
          <t>ONLINE</t>
        </is>
      </c>
      <c r="I273" t="inlineStr">
        <is>
          <t>DELIVERED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O2</t>
        </is>
      </c>
      <c r="N273" t="inlineStr">
        <is>
          <t>36</t>
        </is>
      </c>
      <c r="O273" t="n">
        <v>229</v>
      </c>
      <c r="P273" t="n">
        <v>3.5</v>
      </c>
      <c r="Q273" t="n">
        <v>0</v>
      </c>
      <c r="R273" t="n">
        <v>68.7</v>
      </c>
      <c r="S273" t="n">
        <v>0</v>
      </c>
      <c r="T273" t="n">
        <v>0</v>
      </c>
      <c r="U273" t="n">
        <v>0</v>
      </c>
      <c r="V273" t="n">
        <v>8.19</v>
      </c>
      <c r="W273" t="n">
        <v>171.99</v>
      </c>
      <c r="X273" t="n">
        <v>163.8</v>
      </c>
      <c r="Y273" t="n">
        <v>19</v>
      </c>
      <c r="Z273" t="n">
        <v>31.12</v>
      </c>
      <c r="AA273" t="n">
        <v>3.16</v>
      </c>
      <c r="AB273" t="n">
        <v>34.28</v>
      </c>
      <c r="AC273" t="n">
        <v>6.17</v>
      </c>
      <c r="AD273" t="n">
        <v>0</v>
      </c>
      <c r="AE273" t="n">
        <v>163.8</v>
      </c>
      <c r="AF273" t="n">
        <v>0</v>
      </c>
      <c r="AG273" t="n">
        <v>0</v>
      </c>
      <c r="AH273" t="n">
        <v>0.16</v>
      </c>
      <c r="AI273" t="n">
        <v>8.199999999999999</v>
      </c>
      <c r="AJ273" t="n">
        <v>-0.01</v>
      </c>
      <c r="AK273" t="n">
        <v>14.53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48.81</v>
      </c>
      <c r="AV273" t="n">
        <v>0</v>
      </c>
      <c r="AW273" t="n">
        <v>123.18</v>
      </c>
      <c r="AX273" t="inlineStr">
        <is>
          <t>settled</t>
        </is>
      </c>
      <c r="AY273" t="inlineStr">
        <is>
          <t>2026-01-28 05:30:00</t>
        </is>
      </c>
      <c r="AZ273" t="inlineStr">
        <is>
          <t>CITIN26611504159</t>
        </is>
      </c>
      <c r="BA273" t="n">
        <v>0</v>
      </c>
      <c r="BB273" t="inlineStr">
        <is>
          <t>c8a2d241c715d8960818b058c0c43e91c5b3821b27306be9d15a5a8556c7f174</t>
        </is>
      </c>
    </row>
    <row r="274">
      <c r="A274" t="inlineStr">
        <is>
          <t>269</t>
        </is>
      </c>
      <c r="B274" t="inlineStr">
        <is>
          <t>7722964189</t>
        </is>
      </c>
      <c r="C274" t="inlineStr">
        <is>
          <t>2026-01-25 18:12:49</t>
        </is>
      </c>
      <c r="D274" t="inlineStr">
        <is>
          <t>4</t>
        </is>
      </c>
      <c r="E274" t="inlineStr">
        <is>
          <t>Sha Sha - Shandaar Shawarma</t>
        </is>
      </c>
      <c r="F274" t="inlineStr">
        <is>
          <t>18557902</t>
        </is>
      </c>
      <c r="G274" t="inlineStr">
        <is>
          <t>NA</t>
        </is>
      </c>
      <c r="H274" t="inlineStr">
        <is>
          <t>ONLINE</t>
        </is>
      </c>
      <c r="I274" t="inlineStr">
        <is>
          <t>DELIVERED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O2</t>
        </is>
      </c>
      <c r="N274" t="inlineStr">
        <is>
          <t>36</t>
        </is>
      </c>
      <c r="O274" t="n">
        <v>229</v>
      </c>
      <c r="P274" t="n">
        <v>3.5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11.63</v>
      </c>
      <c r="W274" t="n">
        <v>244.13</v>
      </c>
      <c r="X274" t="n">
        <v>232.5</v>
      </c>
      <c r="Y274" t="n">
        <v>19</v>
      </c>
      <c r="Z274" t="n">
        <v>44.18</v>
      </c>
      <c r="AA274" t="n">
        <v>4.49</v>
      </c>
      <c r="AB274" t="n">
        <v>48.67</v>
      </c>
      <c r="AC274" t="n">
        <v>8.76</v>
      </c>
      <c r="AD274" t="n">
        <v>0</v>
      </c>
      <c r="AE274" t="n">
        <v>232.5</v>
      </c>
      <c r="AF274" t="n">
        <v>0</v>
      </c>
      <c r="AG274" t="n">
        <v>0</v>
      </c>
      <c r="AH274" t="n">
        <v>0.23</v>
      </c>
      <c r="AI274" t="n">
        <v>11.63</v>
      </c>
      <c r="AJ274" t="n">
        <v>0</v>
      </c>
      <c r="AK274" t="n">
        <v>20.62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69.29000000000001</v>
      </c>
      <c r="AV274" t="n">
        <v>0</v>
      </c>
      <c r="AW274" t="n">
        <v>174.84</v>
      </c>
      <c r="AX274" t="inlineStr">
        <is>
          <t>settled</t>
        </is>
      </c>
      <c r="AY274" t="inlineStr">
        <is>
          <t>2026-01-28 05:30:00</t>
        </is>
      </c>
      <c r="AZ274" t="inlineStr">
        <is>
          <t>CITIN26611504159</t>
        </is>
      </c>
      <c r="BA274" t="n">
        <v>0</v>
      </c>
      <c r="BB274" t="inlineStr">
        <is>
          <t>f75b3607bd6d405f5d48874bc8dd1ff14987f89207364058f05b0541b67c7476</t>
        </is>
      </c>
    </row>
    <row r="275">
      <c r="A275" t="inlineStr">
        <is>
          <t>270</t>
        </is>
      </c>
      <c r="B275" t="inlineStr">
        <is>
          <t>7724194759</t>
        </is>
      </c>
      <c r="C275" t="inlineStr">
        <is>
          <t>2026-01-25 18:24:54</t>
        </is>
      </c>
      <c r="D275" t="inlineStr">
        <is>
          <t>4</t>
        </is>
      </c>
      <c r="E275" t="inlineStr">
        <is>
          <t>Sha Sha - Shandaar Shawarma</t>
        </is>
      </c>
      <c r="F275" t="inlineStr">
        <is>
          <t>18557902</t>
        </is>
      </c>
      <c r="G275" t="inlineStr">
        <is>
          <t>NA</t>
        </is>
      </c>
      <c r="H275" t="inlineStr">
        <is>
          <t>ONLINE</t>
        </is>
      </c>
      <c r="I275" t="inlineStr">
        <is>
          <t>DELIVERED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O2</t>
        </is>
      </c>
      <c r="N275" t="inlineStr">
        <is>
          <t>36</t>
        </is>
      </c>
      <c r="O275" t="n">
        <v>338</v>
      </c>
      <c r="P275" t="n">
        <v>3.5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17.08</v>
      </c>
      <c r="W275" t="n">
        <v>358.58</v>
      </c>
      <c r="X275" t="n">
        <v>341.5</v>
      </c>
      <c r="Y275" t="n">
        <v>19</v>
      </c>
      <c r="Z275" t="n">
        <v>64.88</v>
      </c>
      <c r="AA275" t="n">
        <v>6.6</v>
      </c>
      <c r="AB275" t="n">
        <v>71.48</v>
      </c>
      <c r="AC275" t="n">
        <v>12.87</v>
      </c>
      <c r="AD275" t="n">
        <v>0</v>
      </c>
      <c r="AE275" t="n">
        <v>341.5</v>
      </c>
      <c r="AF275" t="n">
        <v>0</v>
      </c>
      <c r="AG275" t="n">
        <v>0</v>
      </c>
      <c r="AH275" t="n">
        <v>0.34</v>
      </c>
      <c r="AI275" t="n">
        <v>17.08</v>
      </c>
      <c r="AJ275" t="n">
        <v>0</v>
      </c>
      <c r="AK275" t="n">
        <v>30.29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101.77</v>
      </c>
      <c r="AV275" t="n">
        <v>0</v>
      </c>
      <c r="AW275" t="n">
        <v>256.81</v>
      </c>
      <c r="AX275" t="inlineStr">
        <is>
          <t>settled</t>
        </is>
      </c>
      <c r="AY275" t="inlineStr">
        <is>
          <t>2026-01-28 05:30:00</t>
        </is>
      </c>
      <c r="AZ275" t="inlineStr">
        <is>
          <t>CITIN26611504159</t>
        </is>
      </c>
      <c r="BA275" t="n">
        <v>0</v>
      </c>
      <c r="BB275" t="inlineStr">
        <is>
          <t>c3a3ef7884945de202b010d3027fe1b875590e9e37c8f17bbbdca8af5bd379cc</t>
        </is>
      </c>
    </row>
    <row r="276">
      <c r="A276" t="inlineStr">
        <is>
          <t>271</t>
        </is>
      </c>
      <c r="B276" t="inlineStr">
        <is>
          <t>7726249549</t>
        </is>
      </c>
      <c r="C276" t="inlineStr">
        <is>
          <t>2026-01-25 18:25:23</t>
        </is>
      </c>
      <c r="D276" t="inlineStr">
        <is>
          <t>4</t>
        </is>
      </c>
      <c r="E276" t="inlineStr">
        <is>
          <t>Sha Sha - Shandaar Shawarma</t>
        </is>
      </c>
      <c r="F276" t="inlineStr">
        <is>
          <t>18557902</t>
        </is>
      </c>
      <c r="G276" t="inlineStr">
        <is>
          <t>NA</t>
        </is>
      </c>
      <c r="H276" t="inlineStr">
        <is>
          <t>ONLINE</t>
        </is>
      </c>
      <c r="I276" t="inlineStr">
        <is>
          <t>DELIVERED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O2</t>
        </is>
      </c>
      <c r="N276" t="inlineStr">
        <is>
          <t>36</t>
        </is>
      </c>
      <c r="O276" t="n">
        <v>229</v>
      </c>
      <c r="P276" t="n">
        <v>3.5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11.63</v>
      </c>
      <c r="W276" t="n">
        <v>244.13</v>
      </c>
      <c r="X276" t="n">
        <v>232.5</v>
      </c>
      <c r="Y276" t="n">
        <v>19</v>
      </c>
      <c r="Z276" t="n">
        <v>44.18</v>
      </c>
      <c r="AA276" t="n">
        <v>4.49</v>
      </c>
      <c r="AB276" t="n">
        <v>48.67</v>
      </c>
      <c r="AC276" t="n">
        <v>8.76</v>
      </c>
      <c r="AD276" t="n">
        <v>0</v>
      </c>
      <c r="AE276" t="n">
        <v>232.5</v>
      </c>
      <c r="AF276" t="n">
        <v>0</v>
      </c>
      <c r="AG276" t="n">
        <v>0</v>
      </c>
      <c r="AH276" t="n">
        <v>0.23</v>
      </c>
      <c r="AI276" t="n">
        <v>11.63</v>
      </c>
      <c r="AJ276" t="n">
        <v>0</v>
      </c>
      <c r="AK276" t="n">
        <v>20.62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69.29000000000001</v>
      </c>
      <c r="AV276" t="n">
        <v>0</v>
      </c>
      <c r="AW276" t="n">
        <v>174.84</v>
      </c>
      <c r="AX276" t="inlineStr">
        <is>
          <t>settled</t>
        </is>
      </c>
      <c r="AY276" t="inlineStr">
        <is>
          <t>2026-01-28 05:30:00</t>
        </is>
      </c>
      <c r="AZ276" t="inlineStr">
        <is>
          <t>CITIN26611504159</t>
        </is>
      </c>
      <c r="BA276" t="n">
        <v>0</v>
      </c>
      <c r="BB276" t="inlineStr">
        <is>
          <t>f4eb1c09e50f993c7575e3fd4f1996317eba5346914297b7cc13804477b045c0</t>
        </is>
      </c>
    </row>
    <row r="277">
      <c r="A277" t="inlineStr">
        <is>
          <t>272</t>
        </is>
      </c>
      <c r="B277" t="inlineStr">
        <is>
          <t>7726902453</t>
        </is>
      </c>
      <c r="C277" t="inlineStr">
        <is>
          <t>2026-01-25 18:27:51</t>
        </is>
      </c>
      <c r="D277" t="inlineStr">
        <is>
          <t>4</t>
        </is>
      </c>
      <c r="E277" t="inlineStr">
        <is>
          <t>Sha Sha - Shandaar Shawarma</t>
        </is>
      </c>
      <c r="F277" t="inlineStr">
        <is>
          <t>18557902</t>
        </is>
      </c>
      <c r="G277" t="inlineStr">
        <is>
          <t>30% off upto ₹75 (2025-06-25 - 2031-01-01)</t>
        </is>
      </c>
      <c r="H277" t="inlineStr">
        <is>
          <t>ONLINE</t>
        </is>
      </c>
      <c r="I277" t="inlineStr">
        <is>
          <t>DELIVERED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O2</t>
        </is>
      </c>
      <c r="N277" t="inlineStr">
        <is>
          <t>36</t>
        </is>
      </c>
      <c r="O277" t="n">
        <v>219</v>
      </c>
      <c r="P277" t="n">
        <v>3.5</v>
      </c>
      <c r="Q277" t="n">
        <v>0</v>
      </c>
      <c r="R277" t="n">
        <v>65.7</v>
      </c>
      <c r="S277" t="n">
        <v>0</v>
      </c>
      <c r="T277" t="n">
        <v>0</v>
      </c>
      <c r="U277" t="n">
        <v>0</v>
      </c>
      <c r="V277" t="n">
        <v>7.84</v>
      </c>
      <c r="W277" t="n">
        <v>164.64</v>
      </c>
      <c r="X277" t="n">
        <v>156.8</v>
      </c>
      <c r="Y277" t="n">
        <v>19</v>
      </c>
      <c r="Z277" t="n">
        <v>29.79</v>
      </c>
      <c r="AA277" t="n">
        <v>3.03</v>
      </c>
      <c r="AB277" t="n">
        <v>32.82</v>
      </c>
      <c r="AC277" t="n">
        <v>5.91</v>
      </c>
      <c r="AD277" t="n">
        <v>0</v>
      </c>
      <c r="AE277" t="n">
        <v>156.8</v>
      </c>
      <c r="AF277" t="n">
        <v>0</v>
      </c>
      <c r="AG277" t="n">
        <v>0</v>
      </c>
      <c r="AH277" t="n">
        <v>0.16</v>
      </c>
      <c r="AI277" t="n">
        <v>7.85</v>
      </c>
      <c r="AJ277" t="n">
        <v>-0.01</v>
      </c>
      <c r="AK277" t="n">
        <v>13.92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46.74</v>
      </c>
      <c r="AV277" t="n">
        <v>0</v>
      </c>
      <c r="AW277" t="n">
        <v>117.9</v>
      </c>
      <c r="AX277" t="inlineStr">
        <is>
          <t>settled</t>
        </is>
      </c>
      <c r="AY277" t="inlineStr">
        <is>
          <t>2026-01-28 05:30:00</t>
        </is>
      </c>
      <c r="AZ277" t="inlineStr">
        <is>
          <t>CITIN26611504159</t>
        </is>
      </c>
      <c r="BA277" t="n">
        <v>0</v>
      </c>
      <c r="BB277" t="inlineStr">
        <is>
          <t>3c7b18817b075ea2002b7e560ced4dffa0f4e085ec4005bca773c48f7ecbde7a</t>
        </is>
      </c>
    </row>
    <row r="278">
      <c r="A278" t="inlineStr">
        <is>
          <t>273</t>
        </is>
      </c>
      <c r="B278" t="inlineStr">
        <is>
          <t>7722241174</t>
        </is>
      </c>
      <c r="C278" t="inlineStr">
        <is>
          <t>2026-01-25 18:28:22</t>
        </is>
      </c>
      <c r="D278" t="inlineStr">
        <is>
          <t>4</t>
        </is>
      </c>
      <c r="E278" t="inlineStr">
        <is>
          <t>Sha Sha - Shandaar Shawarma</t>
        </is>
      </c>
      <c r="F278" t="inlineStr">
        <is>
          <t>18557902</t>
        </is>
      </c>
      <c r="G278" t="inlineStr">
        <is>
          <t>NA</t>
        </is>
      </c>
      <c r="H278" t="inlineStr">
        <is>
          <t>ONLINE</t>
        </is>
      </c>
      <c r="I278" t="inlineStr">
        <is>
          <t>DELIVERED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O2</t>
        </is>
      </c>
      <c r="N278" t="inlineStr">
        <is>
          <t>36</t>
        </is>
      </c>
      <c r="O278" t="n">
        <v>338</v>
      </c>
      <c r="P278" t="n">
        <v>3.5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17.08</v>
      </c>
      <c r="W278" t="n">
        <v>358.58</v>
      </c>
      <c r="X278" t="n">
        <v>341.5</v>
      </c>
      <c r="Y278" t="n">
        <v>19</v>
      </c>
      <c r="Z278" t="n">
        <v>64.88</v>
      </c>
      <c r="AA278" t="n">
        <v>6.6</v>
      </c>
      <c r="AB278" t="n">
        <v>71.48</v>
      </c>
      <c r="AC278" t="n">
        <v>12.87</v>
      </c>
      <c r="AD278" t="n">
        <v>0</v>
      </c>
      <c r="AE278" t="n">
        <v>341.5</v>
      </c>
      <c r="AF278" t="n">
        <v>0</v>
      </c>
      <c r="AG278" t="n">
        <v>0</v>
      </c>
      <c r="AH278" t="n">
        <v>0.34</v>
      </c>
      <c r="AI278" t="n">
        <v>17.08</v>
      </c>
      <c r="AJ278" t="n">
        <v>0</v>
      </c>
      <c r="AK278" t="n">
        <v>30.29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101.77</v>
      </c>
      <c r="AV278" t="n">
        <v>0</v>
      </c>
      <c r="AW278" t="n">
        <v>256.81</v>
      </c>
      <c r="AX278" t="inlineStr">
        <is>
          <t>settled</t>
        </is>
      </c>
      <c r="AY278" t="inlineStr">
        <is>
          <t>2026-01-28 05:30:00</t>
        </is>
      </c>
      <c r="AZ278" t="inlineStr">
        <is>
          <t>CITIN26611504159</t>
        </is>
      </c>
      <c r="BA278" t="n">
        <v>0</v>
      </c>
      <c r="BB278" t="inlineStr">
        <is>
          <t>1e557b9d3e88a713fb6a3772e167b1fa67d97391d0f1fb06881512d52e81cf17</t>
        </is>
      </c>
    </row>
    <row r="279">
      <c r="A279" t="inlineStr">
        <is>
          <t>274</t>
        </is>
      </c>
      <c r="B279" t="inlineStr">
        <is>
          <t>7727665212</t>
        </is>
      </c>
      <c r="C279" t="inlineStr">
        <is>
          <t>2026-01-25 18:31:44</t>
        </is>
      </c>
      <c r="D279" t="inlineStr">
        <is>
          <t>4</t>
        </is>
      </c>
      <c r="E279" t="inlineStr">
        <is>
          <t>Sha Sha - Shandaar Shawarma</t>
        </is>
      </c>
      <c r="F279" t="inlineStr">
        <is>
          <t>18557902</t>
        </is>
      </c>
      <c r="G279" t="inlineStr">
        <is>
          <t>NA</t>
        </is>
      </c>
      <c r="H279" t="inlineStr">
        <is>
          <t>ONLINE</t>
        </is>
      </c>
      <c r="I279" t="inlineStr">
        <is>
          <t>DELIVERED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O2</t>
        </is>
      </c>
      <c r="N279" t="inlineStr">
        <is>
          <t>36</t>
        </is>
      </c>
      <c r="O279" t="n">
        <v>229</v>
      </c>
      <c r="P279" t="n">
        <v>3.5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11.63</v>
      </c>
      <c r="W279" t="n">
        <v>244.13</v>
      </c>
      <c r="X279" t="n">
        <v>232.5</v>
      </c>
      <c r="Y279" t="n">
        <v>19</v>
      </c>
      <c r="Z279" t="n">
        <v>44.18</v>
      </c>
      <c r="AA279" t="n">
        <v>4.49</v>
      </c>
      <c r="AB279" t="n">
        <v>48.67</v>
      </c>
      <c r="AC279" t="n">
        <v>8.76</v>
      </c>
      <c r="AD279" t="n">
        <v>0</v>
      </c>
      <c r="AE279" t="n">
        <v>232.5</v>
      </c>
      <c r="AF279" t="n">
        <v>0</v>
      </c>
      <c r="AG279" t="n">
        <v>0</v>
      </c>
      <c r="AH279" t="n">
        <v>0.23</v>
      </c>
      <c r="AI279" t="n">
        <v>11.63</v>
      </c>
      <c r="AJ279" t="n">
        <v>0</v>
      </c>
      <c r="AK279" t="n">
        <v>20.62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69.29000000000001</v>
      </c>
      <c r="AV279" t="n">
        <v>0</v>
      </c>
      <c r="AW279" t="n">
        <v>174.84</v>
      </c>
      <c r="AX279" t="inlineStr">
        <is>
          <t>settled</t>
        </is>
      </c>
      <c r="AY279" t="inlineStr">
        <is>
          <t>2026-01-28 05:30:00</t>
        </is>
      </c>
      <c r="AZ279" t="inlineStr">
        <is>
          <t>CITIN26611504159</t>
        </is>
      </c>
      <c r="BA279" t="n">
        <v>0</v>
      </c>
      <c r="BB279" t="inlineStr">
        <is>
          <t>b37b52864f412102fd5e99c35b46fb2ae56361f851d5752b1d2453b407518412</t>
        </is>
      </c>
    </row>
    <row r="280">
      <c r="A280" t="inlineStr">
        <is>
          <t>275</t>
        </is>
      </c>
      <c r="B280" t="inlineStr">
        <is>
          <t>7723628647</t>
        </is>
      </c>
      <c r="C280" t="inlineStr">
        <is>
          <t>2026-01-25 20:45:16</t>
        </is>
      </c>
      <c r="D280" t="inlineStr">
        <is>
          <t>4</t>
        </is>
      </c>
      <c r="E280" t="inlineStr">
        <is>
          <t>Sha Sha - Shandaar Shawarma</t>
        </is>
      </c>
      <c r="F280" t="inlineStr">
        <is>
          <t>18557902</t>
        </is>
      </c>
      <c r="G280" t="inlineStr">
        <is>
          <t>30% off upto ₹75 (2025-06-25 - 2031-01-01)</t>
        </is>
      </c>
      <c r="H280" t="inlineStr">
        <is>
          <t>ONLINE</t>
        </is>
      </c>
      <c r="I280" t="inlineStr">
        <is>
          <t>DELIVERED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O2</t>
        </is>
      </c>
      <c r="N280" t="inlineStr">
        <is>
          <t>36</t>
        </is>
      </c>
      <c r="O280" t="n">
        <v>219</v>
      </c>
      <c r="P280" t="n">
        <v>3.5</v>
      </c>
      <c r="Q280" t="n">
        <v>0</v>
      </c>
      <c r="R280" t="n">
        <v>65.7</v>
      </c>
      <c r="S280" t="n">
        <v>0</v>
      </c>
      <c r="T280" t="n">
        <v>0</v>
      </c>
      <c r="U280" t="n">
        <v>0</v>
      </c>
      <c r="V280" t="n">
        <v>7.84</v>
      </c>
      <c r="W280" t="n">
        <v>164.64</v>
      </c>
      <c r="X280" t="n">
        <v>156.8</v>
      </c>
      <c r="Y280" t="n">
        <v>19</v>
      </c>
      <c r="Z280" t="n">
        <v>29.79</v>
      </c>
      <c r="AA280" t="n">
        <v>3.03</v>
      </c>
      <c r="AB280" t="n">
        <v>32.82</v>
      </c>
      <c r="AC280" t="n">
        <v>5.91</v>
      </c>
      <c r="AD280" t="n">
        <v>0</v>
      </c>
      <c r="AE280" t="n">
        <v>156.8</v>
      </c>
      <c r="AF280" t="n">
        <v>0</v>
      </c>
      <c r="AG280" t="n">
        <v>0</v>
      </c>
      <c r="AH280" t="n">
        <v>0.16</v>
      </c>
      <c r="AI280" t="n">
        <v>7.85</v>
      </c>
      <c r="AJ280" t="n">
        <v>-0.01</v>
      </c>
      <c r="AK280" t="n">
        <v>13.92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46.74</v>
      </c>
      <c r="AV280" t="n">
        <v>0</v>
      </c>
      <c r="AW280" t="n">
        <v>117.9</v>
      </c>
      <c r="AX280" t="inlineStr">
        <is>
          <t>settled</t>
        </is>
      </c>
      <c r="AY280" t="inlineStr">
        <is>
          <t>2026-01-28 05:30:00</t>
        </is>
      </c>
      <c r="AZ280" t="inlineStr">
        <is>
          <t>CITIN26611504159</t>
        </is>
      </c>
      <c r="BA280" t="n">
        <v>0</v>
      </c>
      <c r="BB280" t="inlineStr">
        <is>
          <t>348910c0762f59fb3553bda816c37eb4cd0496f5938c897964702f4634d0c927</t>
        </is>
      </c>
    </row>
    <row r="281">
      <c r="A281" t="inlineStr">
        <is>
          <t>276</t>
        </is>
      </c>
      <c r="B281" t="inlineStr">
        <is>
          <t>7729557973</t>
        </is>
      </c>
      <c r="C281" t="inlineStr">
        <is>
          <t>2026-01-25 21:27:51</t>
        </is>
      </c>
      <c r="D281" t="inlineStr">
        <is>
          <t>4</t>
        </is>
      </c>
      <c r="E281" t="inlineStr">
        <is>
          <t>Sha Sha - Shandaar Shawarma</t>
        </is>
      </c>
      <c r="F281" t="inlineStr">
        <is>
          <t>18557902</t>
        </is>
      </c>
      <c r="G281" t="inlineStr">
        <is>
          <t>30% off upto ₹75 (2025-06-25 - 2031-01-01)</t>
        </is>
      </c>
      <c r="H281" t="inlineStr">
        <is>
          <t>ONLINE</t>
        </is>
      </c>
      <c r="I281" t="inlineStr">
        <is>
          <t>DELIVERED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O2</t>
        </is>
      </c>
      <c r="N281" t="inlineStr">
        <is>
          <t>36</t>
        </is>
      </c>
      <c r="O281" t="n">
        <v>687</v>
      </c>
      <c r="P281" t="n">
        <v>3.5</v>
      </c>
      <c r="Q281" t="n">
        <v>0</v>
      </c>
      <c r="R281" t="n">
        <v>75</v>
      </c>
      <c r="S281" t="n">
        <v>0</v>
      </c>
      <c r="T281" t="n">
        <v>0</v>
      </c>
      <c r="U281" t="n">
        <v>0</v>
      </c>
      <c r="V281" t="n">
        <v>30.78</v>
      </c>
      <c r="W281" t="n">
        <v>646.28</v>
      </c>
      <c r="X281" t="n">
        <v>615.5</v>
      </c>
      <c r="Y281" t="n">
        <v>19</v>
      </c>
      <c r="Z281" t="n">
        <v>116.94</v>
      </c>
      <c r="AA281" t="n">
        <v>11.89</v>
      </c>
      <c r="AB281" t="n">
        <v>128.83</v>
      </c>
      <c r="AC281" t="n">
        <v>23.19</v>
      </c>
      <c r="AD281" t="n">
        <v>0</v>
      </c>
      <c r="AE281" t="n">
        <v>615.5</v>
      </c>
      <c r="AF281" t="n">
        <v>0</v>
      </c>
      <c r="AG281" t="n">
        <v>0</v>
      </c>
      <c r="AH281" t="n">
        <v>0.62</v>
      </c>
      <c r="AI281" t="n">
        <v>30.78</v>
      </c>
      <c r="AJ281" t="n">
        <v>0</v>
      </c>
      <c r="AK281" t="n">
        <v>54.59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183.42</v>
      </c>
      <c r="AV281" t="n">
        <v>0</v>
      </c>
      <c r="AW281" t="n">
        <v>462.86</v>
      </c>
      <c r="AX281" t="inlineStr">
        <is>
          <t>settled</t>
        </is>
      </c>
      <c r="AY281" t="inlineStr">
        <is>
          <t>2026-01-28 05:30:00</t>
        </is>
      </c>
      <c r="AZ281" t="inlineStr">
        <is>
          <t>CITIN26611504159</t>
        </is>
      </c>
      <c r="BA281" t="n">
        <v>0</v>
      </c>
      <c r="BB281" t="inlineStr">
        <is>
          <t>61ef8c86c732083cf871c2ca3ba8964227de1aafd59014b34b0558661fba50db</t>
        </is>
      </c>
    </row>
    <row r="282">
      <c r="A282" t="inlineStr">
        <is>
          <t>277</t>
        </is>
      </c>
      <c r="B282" t="inlineStr">
        <is>
          <t>7706697968</t>
        </is>
      </c>
      <c r="C282" t="inlineStr">
        <is>
          <t>2026-01-25 21:30:19</t>
        </is>
      </c>
      <c r="D282" t="inlineStr">
        <is>
          <t>4</t>
        </is>
      </c>
      <c r="E282" t="inlineStr">
        <is>
          <t>Sha Sha - Shandaar Shawarma</t>
        </is>
      </c>
      <c r="F282" t="inlineStr">
        <is>
          <t>18557902</t>
        </is>
      </c>
      <c r="G282" t="inlineStr">
        <is>
          <t>30% off upto ₹75 (2025-06-25 - 2031-01-01)</t>
        </is>
      </c>
      <c r="H282" t="inlineStr">
        <is>
          <t>ONLINE</t>
        </is>
      </c>
      <c r="I282" t="inlineStr">
        <is>
          <t>DELIVERED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O2</t>
        </is>
      </c>
      <c r="N282" t="inlineStr">
        <is>
          <t>36</t>
        </is>
      </c>
      <c r="O282" t="n">
        <v>219</v>
      </c>
      <c r="P282" t="n">
        <v>3.5</v>
      </c>
      <c r="Q282" t="n">
        <v>0</v>
      </c>
      <c r="R282" t="n">
        <v>65.7</v>
      </c>
      <c r="S282" t="n">
        <v>0</v>
      </c>
      <c r="T282" t="n">
        <v>0</v>
      </c>
      <c r="U282" t="n">
        <v>0</v>
      </c>
      <c r="V282" t="n">
        <v>7.84</v>
      </c>
      <c r="W282" t="n">
        <v>164.64</v>
      </c>
      <c r="X282" t="n">
        <v>156.8</v>
      </c>
      <c r="Y282" t="n">
        <v>19</v>
      </c>
      <c r="Z282" t="n">
        <v>29.79</v>
      </c>
      <c r="AA282" t="n">
        <v>3.03</v>
      </c>
      <c r="AB282" t="n">
        <v>32.82</v>
      </c>
      <c r="AC282" t="n">
        <v>5.91</v>
      </c>
      <c r="AD282" t="n">
        <v>0</v>
      </c>
      <c r="AE282" t="n">
        <v>156.8</v>
      </c>
      <c r="AF282" t="n">
        <v>0</v>
      </c>
      <c r="AG282" t="n">
        <v>0</v>
      </c>
      <c r="AH282" t="n">
        <v>0.16</v>
      </c>
      <c r="AI282" t="n">
        <v>7.85</v>
      </c>
      <c r="AJ282" t="n">
        <v>-0.01</v>
      </c>
      <c r="AK282" t="n">
        <v>13.92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46.74</v>
      </c>
      <c r="AV282" t="n">
        <v>0</v>
      </c>
      <c r="AW282" t="n">
        <v>117.9</v>
      </c>
      <c r="AX282" t="inlineStr">
        <is>
          <t>settled</t>
        </is>
      </c>
      <c r="AY282" t="inlineStr">
        <is>
          <t>2026-01-28 05:30:00</t>
        </is>
      </c>
      <c r="AZ282" t="inlineStr">
        <is>
          <t>CITIN26611504159</t>
        </is>
      </c>
      <c r="BA282" t="n">
        <v>0</v>
      </c>
      <c r="BB282" t="inlineStr">
        <is>
          <t>ad925fa2275c9ed03efe114320d7a28548a34bdaadee511c8e9f422948e38790</t>
        </is>
      </c>
    </row>
    <row r="283">
      <c r="A283" t="inlineStr">
        <is>
          <t>278</t>
        </is>
      </c>
      <c r="B283" t="inlineStr">
        <is>
          <t>7728610922</t>
        </is>
      </c>
      <c r="C283" t="inlineStr">
        <is>
          <t>2026-01-25 22:38:46</t>
        </is>
      </c>
      <c r="D283" t="inlineStr">
        <is>
          <t>4</t>
        </is>
      </c>
      <c r="E283" t="inlineStr">
        <is>
          <t>Sha Sha - Shandaar Shawarma</t>
        </is>
      </c>
      <c r="F283" t="inlineStr">
        <is>
          <t>18557902</t>
        </is>
      </c>
      <c r="G283" t="inlineStr">
        <is>
          <t>30% off upto ₹75 (2025-06-25 - 2031-01-01)</t>
        </is>
      </c>
      <c r="H283" t="inlineStr">
        <is>
          <t>ONLINE</t>
        </is>
      </c>
      <c r="I283" t="inlineStr">
        <is>
          <t>DELIVERED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O2</t>
        </is>
      </c>
      <c r="N283" t="inlineStr">
        <is>
          <t>36</t>
        </is>
      </c>
      <c r="O283" t="n">
        <v>229</v>
      </c>
      <c r="P283" t="n">
        <v>3.5</v>
      </c>
      <c r="Q283" t="n">
        <v>0</v>
      </c>
      <c r="R283" t="n">
        <v>68.7</v>
      </c>
      <c r="S283" t="n">
        <v>0</v>
      </c>
      <c r="T283" t="n">
        <v>0</v>
      </c>
      <c r="U283" t="n">
        <v>0</v>
      </c>
      <c r="V283" t="n">
        <v>8.19</v>
      </c>
      <c r="W283" t="n">
        <v>171.99</v>
      </c>
      <c r="X283" t="n">
        <v>163.8</v>
      </c>
      <c r="Y283" t="n">
        <v>19</v>
      </c>
      <c r="Z283" t="n">
        <v>31.12</v>
      </c>
      <c r="AA283" t="n">
        <v>3.16</v>
      </c>
      <c r="AB283" t="n">
        <v>34.28</v>
      </c>
      <c r="AC283" t="n">
        <v>6.17</v>
      </c>
      <c r="AD283" t="n">
        <v>0</v>
      </c>
      <c r="AE283" t="n">
        <v>163.8</v>
      </c>
      <c r="AF283" t="n">
        <v>0</v>
      </c>
      <c r="AG283" t="n">
        <v>0</v>
      </c>
      <c r="AH283" t="n">
        <v>0.16</v>
      </c>
      <c r="AI283" t="n">
        <v>8.199999999999999</v>
      </c>
      <c r="AJ283" t="n">
        <v>-0.01</v>
      </c>
      <c r="AK283" t="n">
        <v>14.53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48.81</v>
      </c>
      <c r="AV283" t="n">
        <v>0</v>
      </c>
      <c r="AW283" t="n">
        <v>123.18</v>
      </c>
      <c r="AX283" t="inlineStr">
        <is>
          <t>settled</t>
        </is>
      </c>
      <c r="AY283" t="inlineStr">
        <is>
          <t>2026-01-28 05:30:00</t>
        </is>
      </c>
      <c r="AZ283" t="inlineStr">
        <is>
          <t>CITIN26611504159</t>
        </is>
      </c>
      <c r="BA283" t="n">
        <v>0</v>
      </c>
      <c r="BB283" t="inlineStr">
        <is>
          <t>42810a732fe856d8bbf970f1298f3e379ec8477c88383278c20a9e8adb464bca</t>
        </is>
      </c>
    </row>
    <row r="284">
      <c r="A284" t="inlineStr">
        <is>
          <t>279</t>
        </is>
      </c>
      <c r="B284" t="inlineStr">
        <is>
          <t>7714007182</t>
        </is>
      </c>
      <c r="C284" t="inlineStr">
        <is>
          <t>2026-01-25 22:50:31</t>
        </is>
      </c>
      <c r="D284" t="inlineStr">
        <is>
          <t>4</t>
        </is>
      </c>
      <c r="E284" t="inlineStr">
        <is>
          <t>Sha Sha - Shandaar Shawarma</t>
        </is>
      </c>
      <c r="F284" t="inlineStr">
        <is>
          <t>18557902</t>
        </is>
      </c>
      <c r="G284" t="inlineStr">
        <is>
          <t>30% off upto ₹75 (2025-06-25 - 2031-01-01)</t>
        </is>
      </c>
      <c r="H284" t="inlineStr">
        <is>
          <t>ONLINE</t>
        </is>
      </c>
      <c r="I284" t="inlineStr">
        <is>
          <t>DELIVERED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O2</t>
        </is>
      </c>
      <c r="N284" t="inlineStr">
        <is>
          <t>36</t>
        </is>
      </c>
      <c r="O284" t="n">
        <v>687</v>
      </c>
      <c r="P284" t="n">
        <v>3.5</v>
      </c>
      <c r="Q284" t="n">
        <v>0</v>
      </c>
      <c r="R284" t="n">
        <v>75</v>
      </c>
      <c r="S284" t="n">
        <v>0</v>
      </c>
      <c r="T284" t="n">
        <v>0</v>
      </c>
      <c r="U284" t="n">
        <v>0</v>
      </c>
      <c r="V284" t="n">
        <v>30.78</v>
      </c>
      <c r="W284" t="n">
        <v>646.28</v>
      </c>
      <c r="X284" t="n">
        <v>615.5</v>
      </c>
      <c r="Y284" t="n">
        <v>19</v>
      </c>
      <c r="Z284" t="n">
        <v>116.94</v>
      </c>
      <c r="AA284" t="n">
        <v>11.89</v>
      </c>
      <c r="AB284" t="n">
        <v>128.83</v>
      </c>
      <c r="AC284" t="n">
        <v>23.19</v>
      </c>
      <c r="AD284" t="n">
        <v>0</v>
      </c>
      <c r="AE284" t="n">
        <v>615.5</v>
      </c>
      <c r="AF284" t="n">
        <v>0</v>
      </c>
      <c r="AG284" t="n">
        <v>0</v>
      </c>
      <c r="AH284" t="n">
        <v>0.62</v>
      </c>
      <c r="AI284" t="n">
        <v>30.78</v>
      </c>
      <c r="AJ284" t="n">
        <v>0</v>
      </c>
      <c r="AK284" t="n">
        <v>54.59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183.42</v>
      </c>
      <c r="AV284" t="n">
        <v>0</v>
      </c>
      <c r="AW284" t="n">
        <v>462.86</v>
      </c>
      <c r="AX284" t="inlineStr">
        <is>
          <t>settled</t>
        </is>
      </c>
      <c r="AY284" t="inlineStr">
        <is>
          <t>2026-01-28 05:30:00</t>
        </is>
      </c>
      <c r="AZ284" t="inlineStr">
        <is>
          <t>CITIN26611504159</t>
        </is>
      </c>
      <c r="BA284" t="n">
        <v>0</v>
      </c>
      <c r="BB284" t="inlineStr">
        <is>
          <t>a95689d4930a8f17d1d2e043ac68c93a3fa6900ead92f6687dfb1255d8e5a5f0</t>
        </is>
      </c>
    </row>
    <row r="285">
      <c r="A285" t="inlineStr">
        <is>
          <t>280</t>
        </is>
      </c>
      <c r="B285" t="inlineStr">
        <is>
          <t>7729426278</t>
        </is>
      </c>
      <c r="C285" t="inlineStr">
        <is>
          <t>2026-01-25 22:56:34</t>
        </is>
      </c>
      <c r="D285" t="inlineStr">
        <is>
          <t>4</t>
        </is>
      </c>
      <c r="E285" t="inlineStr">
        <is>
          <t>Sha Sha - Shandaar Shawarma</t>
        </is>
      </c>
      <c r="F285" t="inlineStr">
        <is>
          <t>18557902</t>
        </is>
      </c>
      <c r="G285" t="inlineStr">
        <is>
          <t>30% off upto ₹75 (2025-06-25 - 2031-01-01)</t>
        </is>
      </c>
      <c r="H285" t="inlineStr">
        <is>
          <t>ONLINE</t>
        </is>
      </c>
      <c r="I285" t="inlineStr">
        <is>
          <t>DELIVERED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O2</t>
        </is>
      </c>
      <c r="N285" t="inlineStr">
        <is>
          <t>36</t>
        </is>
      </c>
      <c r="O285" t="n">
        <v>219</v>
      </c>
      <c r="P285" t="n">
        <v>3.5</v>
      </c>
      <c r="Q285" t="n">
        <v>0</v>
      </c>
      <c r="R285" t="n">
        <v>65.7</v>
      </c>
      <c r="S285" t="n">
        <v>0</v>
      </c>
      <c r="T285" t="n">
        <v>0</v>
      </c>
      <c r="U285" t="n">
        <v>0</v>
      </c>
      <c r="V285" t="n">
        <v>7.84</v>
      </c>
      <c r="W285" t="n">
        <v>164.64</v>
      </c>
      <c r="X285" t="n">
        <v>156.8</v>
      </c>
      <c r="Y285" t="n">
        <v>19</v>
      </c>
      <c r="Z285" t="n">
        <v>29.79</v>
      </c>
      <c r="AA285" t="n">
        <v>3.03</v>
      </c>
      <c r="AB285" t="n">
        <v>32.82</v>
      </c>
      <c r="AC285" t="n">
        <v>5.91</v>
      </c>
      <c r="AD285" t="n">
        <v>0</v>
      </c>
      <c r="AE285" t="n">
        <v>156.8</v>
      </c>
      <c r="AF285" t="n">
        <v>0</v>
      </c>
      <c r="AG285" t="n">
        <v>0</v>
      </c>
      <c r="AH285" t="n">
        <v>0.16</v>
      </c>
      <c r="AI285" t="n">
        <v>7.85</v>
      </c>
      <c r="AJ285" t="n">
        <v>-0.01</v>
      </c>
      <c r="AK285" t="n">
        <v>13.92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46.74</v>
      </c>
      <c r="AV285" t="n">
        <v>0</v>
      </c>
      <c r="AW285" t="n">
        <v>117.9</v>
      </c>
      <c r="AX285" t="inlineStr">
        <is>
          <t>settled</t>
        </is>
      </c>
      <c r="AY285" t="inlineStr">
        <is>
          <t>2026-01-28 05:30:00</t>
        </is>
      </c>
      <c r="AZ285" t="inlineStr">
        <is>
          <t>CITIN26611504159</t>
        </is>
      </c>
      <c r="BA285" t="n">
        <v>0</v>
      </c>
      <c r="BB285" t="inlineStr">
        <is>
          <t>0e8739f06ff056fe5302433a73699b8bfc9d35e69b41024cb450e5aaee6b52e6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33485878</t>
        </is>
      </c>
      <c r="E13" t="inlineStr">
        <is>
          <t>21 January 26 - 25 January 26</t>
        </is>
      </c>
      <c r="F13" t="inlineStr">
        <is>
          <t>settled</t>
        </is>
      </c>
      <c r="G13" t="n">
        <v>3874.18</v>
      </c>
      <c r="H13" t="n">
        <v>3874.18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33318977</t>
        </is>
      </c>
      <c r="E14" t="inlineStr">
        <is>
          <t>19 January 26 - 20 January 26</t>
        </is>
      </c>
      <c r="F14" t="inlineStr">
        <is>
          <t>settled</t>
        </is>
      </c>
      <c r="G14" t="n">
        <v>943.0599999999999</v>
      </c>
      <c r="H14" t="n">
        <v>943.0599999999999</v>
      </c>
      <c r="I14" t="n">
        <v>0</v>
      </c>
    </row>
    <row r="15">
      <c r="B15" t="inlineStr">
        <is>
          <t>Total Ads &amp; miscellaneous services</t>
        </is>
      </c>
      <c r="G15" t="n">
        <v>4817.24</v>
      </c>
      <c r="H15" t="n">
        <v>4817.24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4817.24</v>
      </c>
      <c r="H23" t="n">
        <v>4817.24</v>
      </c>
      <c r="I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B236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69070</v>
      </c>
      <c r="P2" t="n">
        <v>808.5</v>
      </c>
      <c r="Q2" t="n">
        <v>0</v>
      </c>
      <c r="R2" t="n">
        <v>12207.00000000002</v>
      </c>
      <c r="S2" t="n">
        <v>102</v>
      </c>
      <c r="T2" t="n">
        <v>0</v>
      </c>
      <c r="U2" t="n">
        <v>0</v>
      </c>
      <c r="V2" t="n">
        <v>2879.040000000006</v>
      </c>
      <c r="W2" t="n">
        <v>60448.53999999994</v>
      </c>
      <c r="X2" t="n">
        <v>57569.50000000011</v>
      </c>
      <c r="Y2" t="n">
        <v>4389</v>
      </c>
      <c r="Z2" t="n">
        <v>10938.26000000002</v>
      </c>
      <c r="AA2" t="n">
        <v>1111.909999999999</v>
      </c>
      <c r="AB2" t="n">
        <v>12050.17</v>
      </c>
      <c r="AC2" t="n">
        <v>2168.930000000004</v>
      </c>
      <c r="AD2" t="n">
        <v>0</v>
      </c>
      <c r="AE2" t="n">
        <v>57569.50000000011</v>
      </c>
      <c r="AF2" t="n">
        <v>0</v>
      </c>
      <c r="AG2" t="n">
        <v>0</v>
      </c>
      <c r="AH2" t="n">
        <v>57.30999999999981</v>
      </c>
      <c r="AI2" t="n">
        <v>2880.209999999998</v>
      </c>
      <c r="AJ2" t="n">
        <v>-1.170000000000001</v>
      </c>
      <c r="AK2" t="n">
        <v>5106.449999999999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17156.62</v>
      </c>
      <c r="AV2" t="n">
        <v>0</v>
      </c>
      <c r="AW2" t="n">
        <v>43291.92000000002</v>
      </c>
      <c r="AX2" t="n">
        <v>0</v>
      </c>
      <c r="AY2" t="n">
        <v>0</v>
      </c>
      <c r="AZ2" t="n">
        <v>0</v>
      </c>
      <c r="BA2" t="n">
        <v>43291.92000000002</v>
      </c>
      <c r="BB2" t="n">
        <v>0</v>
      </c>
    </row>
    <row r="3">
      <c r="O3" t="n">
        <v>81502.59999999999</v>
      </c>
      <c r="P3" t="n">
        <v>954.03</v>
      </c>
      <c r="Q3" t="n">
        <v>0</v>
      </c>
      <c r="R3" t="n">
        <v>14404.26000000002</v>
      </c>
      <c r="S3" t="n">
        <v>120.36</v>
      </c>
      <c r="T3" t="n">
        <v>0</v>
      </c>
      <c r="U3" t="n">
        <v>0</v>
      </c>
      <c r="V3" t="n">
        <v>3397.267200000008</v>
      </c>
      <c r="W3" t="n">
        <v>71329.27719999992</v>
      </c>
      <c r="X3" t="n">
        <v>67932.01000000013</v>
      </c>
      <c r="Y3" t="n">
        <v>5179.02</v>
      </c>
      <c r="Z3" t="n">
        <v>12907.14680000003</v>
      </c>
      <c r="AA3" t="n">
        <v>1312.053799999999</v>
      </c>
      <c r="AB3" t="n">
        <v>14219.2006</v>
      </c>
      <c r="AC3" t="n">
        <v>2559.337400000004</v>
      </c>
      <c r="AD3" t="n">
        <v>0</v>
      </c>
      <c r="AE3" t="n">
        <v>67932.01000000013</v>
      </c>
      <c r="AF3" t="n">
        <v>0</v>
      </c>
      <c r="AG3" t="n">
        <v>0</v>
      </c>
      <c r="AH3" t="n">
        <v>67.62579999999977</v>
      </c>
      <c r="AI3" t="n">
        <v>3398.647799999998</v>
      </c>
      <c r="AJ3" t="n">
        <v>-1.380600000000001</v>
      </c>
      <c r="AK3" t="n">
        <v>6025.610999999998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20244.8116</v>
      </c>
      <c r="AV3" t="n">
        <v>0</v>
      </c>
      <c r="AW3" t="n">
        <v>51084.46560000002</v>
      </c>
      <c r="AX3" t="n">
        <v>0</v>
      </c>
      <c r="AY3" t="n">
        <v>0</v>
      </c>
      <c r="AZ3" t="n">
        <v>0</v>
      </c>
      <c r="BA3" t="n">
        <v>51084.46560000002</v>
      </c>
      <c r="BB3" t="n">
        <v>0</v>
      </c>
    </row>
    <row r="4">
      <c r="O4" t="n">
        <v>69070</v>
      </c>
      <c r="P4" t="n">
        <v>808.5</v>
      </c>
      <c r="Q4" t="n">
        <v>0</v>
      </c>
      <c r="R4" t="n">
        <v>12207.00000000002</v>
      </c>
      <c r="S4" t="n">
        <v>102</v>
      </c>
      <c r="T4" t="n">
        <v>0</v>
      </c>
      <c r="U4" t="n">
        <v>0</v>
      </c>
      <c r="V4" t="n">
        <v>2879.040000000006</v>
      </c>
      <c r="W4" t="n">
        <v>60448.53999999994</v>
      </c>
      <c r="X4" t="n">
        <v>57569.50000000011</v>
      </c>
      <c r="Y4" t="n">
        <v>4389</v>
      </c>
      <c r="Z4" t="n">
        <v>10938.26000000002</v>
      </c>
      <c r="AA4" t="n">
        <v>1111.909999999999</v>
      </c>
      <c r="AB4" t="n">
        <v>12050.17</v>
      </c>
      <c r="AC4" t="n">
        <v>2168.930000000004</v>
      </c>
      <c r="AD4" t="n">
        <v>0</v>
      </c>
      <c r="AE4" t="n">
        <v>57569.50000000011</v>
      </c>
      <c r="AF4" t="n">
        <v>0</v>
      </c>
      <c r="AG4" t="n">
        <v>0</v>
      </c>
      <c r="AH4" t="n">
        <v>57.30999999999981</v>
      </c>
      <c r="AI4" t="n">
        <v>2880.209999999998</v>
      </c>
      <c r="AJ4" t="n">
        <v>-1.170000000000001</v>
      </c>
      <c r="AK4" t="n">
        <v>5106.449999999999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17156.62</v>
      </c>
      <c r="AV4" t="n">
        <v>0</v>
      </c>
      <c r="AW4" t="n">
        <v>43291.92000000002</v>
      </c>
      <c r="AX4" t="n">
        <v>0</v>
      </c>
      <c r="AY4" t="n">
        <v>0</v>
      </c>
      <c r="AZ4" t="n">
        <v>0</v>
      </c>
      <c r="BA4" t="n">
        <v>43291.92000000002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</t>
        </is>
      </c>
      <c r="B6" t="inlineStr">
        <is>
          <t>7729924492</t>
        </is>
      </c>
      <c r="C6" t="inlineStr">
        <is>
          <t>2026-01-26 00:05:46</t>
        </is>
      </c>
      <c r="D6" t="inlineStr">
        <is>
          <t>5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229</v>
      </c>
      <c r="P6" t="n">
        <v>3.5</v>
      </c>
      <c r="Q6" t="n">
        <v>0</v>
      </c>
      <c r="R6" t="n">
        <v>68.7</v>
      </c>
      <c r="S6" t="n">
        <v>0</v>
      </c>
      <c r="T6" t="n">
        <v>0</v>
      </c>
      <c r="U6" t="n">
        <v>0</v>
      </c>
      <c r="V6" t="n">
        <v>8.19</v>
      </c>
      <c r="W6" t="n">
        <v>171.99</v>
      </c>
      <c r="X6" t="n">
        <v>163.8</v>
      </c>
      <c r="Y6" t="n">
        <v>19</v>
      </c>
      <c r="Z6" t="n">
        <v>31.12</v>
      </c>
      <c r="AA6" t="n">
        <v>3.16</v>
      </c>
      <c r="AB6" t="n">
        <v>34.28</v>
      </c>
      <c r="AC6" t="n">
        <v>6.17</v>
      </c>
      <c r="AD6" t="n">
        <v>0</v>
      </c>
      <c r="AE6" t="n">
        <v>163.8</v>
      </c>
      <c r="AF6" t="n">
        <v>0</v>
      </c>
      <c r="AG6" t="n">
        <v>0</v>
      </c>
      <c r="AH6" t="n">
        <v>0.16</v>
      </c>
      <c r="AI6" t="n">
        <v>8.199999999999999</v>
      </c>
      <c r="AJ6" t="n">
        <v>-0.01</v>
      </c>
      <c r="AK6" t="n">
        <v>14.53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48.81</v>
      </c>
      <c r="AV6" t="n">
        <v>0</v>
      </c>
      <c r="AW6" t="n">
        <v>123.18</v>
      </c>
      <c r="AX6" t="inlineStr">
        <is>
          <t>pending</t>
        </is>
      </c>
      <c r="AY6" t="inlineStr">
        <is>
          <t>NA</t>
        </is>
      </c>
      <c r="AZ6" t="inlineStr">
        <is>
          <t>NA</t>
        </is>
      </c>
      <c r="BA6" t="n">
        <v>123.18</v>
      </c>
      <c r="BB6" t="inlineStr">
        <is>
          <t>4e2dfbaa693c07f369152bc908ec467f3288067122dcc63b6f683c508a31358e</t>
        </is>
      </c>
    </row>
    <row r="7">
      <c r="A7" t="inlineStr">
        <is>
          <t>2</t>
        </is>
      </c>
      <c r="B7" t="inlineStr">
        <is>
          <t>7726181448</t>
        </is>
      </c>
      <c r="C7" t="inlineStr">
        <is>
          <t>2026-01-26 00:39:11</t>
        </is>
      </c>
      <c r="D7" t="inlineStr">
        <is>
          <t>5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30% off upto ₹75 (2025-06-25 - 2031-01-01)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219</v>
      </c>
      <c r="P7" t="n">
        <v>3.5</v>
      </c>
      <c r="Q7" t="n">
        <v>0</v>
      </c>
      <c r="R7" t="n">
        <v>65.7</v>
      </c>
      <c r="S7" t="n">
        <v>0</v>
      </c>
      <c r="T7" t="n">
        <v>0</v>
      </c>
      <c r="U7" t="n">
        <v>0</v>
      </c>
      <c r="V7" t="n">
        <v>7.84</v>
      </c>
      <c r="W7" t="n">
        <v>164.64</v>
      </c>
      <c r="X7" t="n">
        <v>156.8</v>
      </c>
      <c r="Y7" t="n">
        <v>19</v>
      </c>
      <c r="Z7" t="n">
        <v>29.79</v>
      </c>
      <c r="AA7" t="n">
        <v>3.03</v>
      </c>
      <c r="AB7" t="n">
        <v>32.82</v>
      </c>
      <c r="AC7" t="n">
        <v>5.91</v>
      </c>
      <c r="AD7" t="n">
        <v>0</v>
      </c>
      <c r="AE7" t="n">
        <v>156.8</v>
      </c>
      <c r="AF7" t="n">
        <v>0</v>
      </c>
      <c r="AG7" t="n">
        <v>0</v>
      </c>
      <c r="AH7" t="n">
        <v>0.16</v>
      </c>
      <c r="AI7" t="n">
        <v>7.85</v>
      </c>
      <c r="AJ7" t="n">
        <v>-0.01</v>
      </c>
      <c r="AK7" t="n">
        <v>13.92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46.74</v>
      </c>
      <c r="AV7" t="n">
        <v>0</v>
      </c>
      <c r="AW7" t="n">
        <v>117.9</v>
      </c>
      <c r="AX7" t="inlineStr">
        <is>
          <t>pending</t>
        </is>
      </c>
      <c r="AY7" t="inlineStr">
        <is>
          <t>NA</t>
        </is>
      </c>
      <c r="AZ7" t="inlineStr">
        <is>
          <t>NA</t>
        </is>
      </c>
      <c r="BA7" t="n">
        <v>117.9</v>
      </c>
      <c r="BB7" t="inlineStr">
        <is>
          <t>88486abe53140386a47bed6ee1771219e7bcbfab2d421525ff39ee6c2a91bca6</t>
        </is>
      </c>
    </row>
    <row r="8">
      <c r="A8" t="inlineStr">
        <is>
          <t>3</t>
        </is>
      </c>
      <c r="B8" t="inlineStr">
        <is>
          <t>7727686638</t>
        </is>
      </c>
      <c r="C8" t="inlineStr">
        <is>
          <t>2026-01-26 00:47:47</t>
        </is>
      </c>
      <c r="D8" t="inlineStr">
        <is>
          <t>5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30% off upto ₹75 (2025-06-25 - 2031-01-01)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219</v>
      </c>
      <c r="P8" t="n">
        <v>3.5</v>
      </c>
      <c r="Q8" t="n">
        <v>0</v>
      </c>
      <c r="R8" t="n">
        <v>65.7</v>
      </c>
      <c r="S8" t="n">
        <v>0</v>
      </c>
      <c r="T8" t="n">
        <v>0</v>
      </c>
      <c r="U8" t="n">
        <v>0</v>
      </c>
      <c r="V8" t="n">
        <v>7.84</v>
      </c>
      <c r="W8" t="n">
        <v>164.64</v>
      </c>
      <c r="X8" t="n">
        <v>156.8</v>
      </c>
      <c r="Y8" t="n">
        <v>19</v>
      </c>
      <c r="Z8" t="n">
        <v>29.79</v>
      </c>
      <c r="AA8" t="n">
        <v>3.03</v>
      </c>
      <c r="AB8" t="n">
        <v>32.82</v>
      </c>
      <c r="AC8" t="n">
        <v>5.91</v>
      </c>
      <c r="AD8" t="n">
        <v>0</v>
      </c>
      <c r="AE8" t="n">
        <v>156.8</v>
      </c>
      <c r="AF8" t="n">
        <v>0</v>
      </c>
      <c r="AG8" t="n">
        <v>0</v>
      </c>
      <c r="AH8" t="n">
        <v>0.16</v>
      </c>
      <c r="AI8" t="n">
        <v>7.85</v>
      </c>
      <c r="AJ8" t="n">
        <v>-0.01</v>
      </c>
      <c r="AK8" t="n">
        <v>13.92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46.74</v>
      </c>
      <c r="AV8" t="n">
        <v>0</v>
      </c>
      <c r="AW8" t="n">
        <v>117.9</v>
      </c>
      <c r="AX8" t="inlineStr">
        <is>
          <t>pending</t>
        </is>
      </c>
      <c r="AY8" t="inlineStr">
        <is>
          <t>NA</t>
        </is>
      </c>
      <c r="AZ8" t="inlineStr">
        <is>
          <t>NA</t>
        </is>
      </c>
      <c r="BA8" t="n">
        <v>117.9</v>
      </c>
      <c r="BB8" t="inlineStr">
        <is>
          <t>76debc6cf420f1ebca71401cf057e0b03dcc5b2ec802d400fa3dd9277f80956b</t>
        </is>
      </c>
    </row>
    <row r="9">
      <c r="A9" t="inlineStr">
        <is>
          <t>4</t>
        </is>
      </c>
      <c r="B9" t="inlineStr">
        <is>
          <t>7725816670</t>
        </is>
      </c>
      <c r="C9" t="inlineStr">
        <is>
          <t>2026-01-26 00:59:18</t>
        </is>
      </c>
      <c r="D9" t="inlineStr">
        <is>
          <t>5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229</v>
      </c>
      <c r="P9" t="n">
        <v>3.5</v>
      </c>
      <c r="Q9" t="n">
        <v>0</v>
      </c>
      <c r="R9" t="n">
        <v>68.7</v>
      </c>
      <c r="S9" t="n">
        <v>0</v>
      </c>
      <c r="T9" t="n">
        <v>0</v>
      </c>
      <c r="U9" t="n">
        <v>0</v>
      </c>
      <c r="V9" t="n">
        <v>8.19</v>
      </c>
      <c r="W9" t="n">
        <v>171.99</v>
      </c>
      <c r="X9" t="n">
        <v>163.8</v>
      </c>
      <c r="Y9" t="n">
        <v>19</v>
      </c>
      <c r="Z9" t="n">
        <v>31.12</v>
      </c>
      <c r="AA9" t="n">
        <v>3.16</v>
      </c>
      <c r="AB9" t="n">
        <v>34.28</v>
      </c>
      <c r="AC9" t="n">
        <v>6.17</v>
      </c>
      <c r="AD9" t="n">
        <v>0</v>
      </c>
      <c r="AE9" t="n">
        <v>163.8</v>
      </c>
      <c r="AF9" t="n">
        <v>0</v>
      </c>
      <c r="AG9" t="n">
        <v>0</v>
      </c>
      <c r="AH9" t="n">
        <v>0.16</v>
      </c>
      <c r="AI9" t="n">
        <v>8.199999999999999</v>
      </c>
      <c r="AJ9" t="n">
        <v>-0.01</v>
      </c>
      <c r="AK9" t="n">
        <v>14.53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48.81</v>
      </c>
      <c r="AV9" t="n">
        <v>0</v>
      </c>
      <c r="AW9" t="n">
        <v>123.18</v>
      </c>
      <c r="AX9" t="inlineStr">
        <is>
          <t>pending</t>
        </is>
      </c>
      <c r="AY9" t="inlineStr">
        <is>
          <t>NA</t>
        </is>
      </c>
      <c r="AZ9" t="inlineStr">
        <is>
          <t>NA</t>
        </is>
      </c>
      <c r="BA9" t="n">
        <v>123.18</v>
      </c>
      <c r="BB9" t="inlineStr">
        <is>
          <t>1532ebdd369eff927409786a8d3aa8d7f26d9c2240e0db8fabed1c71af05f435</t>
        </is>
      </c>
    </row>
    <row r="10">
      <c r="A10" t="inlineStr">
        <is>
          <t>5</t>
        </is>
      </c>
      <c r="B10" t="inlineStr">
        <is>
          <t>7729574234</t>
        </is>
      </c>
      <c r="C10" t="inlineStr">
        <is>
          <t>2026-01-26 09:26:30</t>
        </is>
      </c>
      <c r="D10" t="inlineStr">
        <is>
          <t>5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229</v>
      </c>
      <c r="P10" t="n">
        <v>3.5</v>
      </c>
      <c r="Q10" t="n">
        <v>0</v>
      </c>
      <c r="R10" t="n">
        <v>68.7</v>
      </c>
      <c r="S10" t="n">
        <v>0</v>
      </c>
      <c r="T10" t="n">
        <v>0</v>
      </c>
      <c r="U10" t="n">
        <v>0</v>
      </c>
      <c r="V10" t="n">
        <v>8.19</v>
      </c>
      <c r="W10" t="n">
        <v>171.99</v>
      </c>
      <c r="X10" t="n">
        <v>163.8</v>
      </c>
      <c r="Y10" t="n">
        <v>19</v>
      </c>
      <c r="Z10" t="n">
        <v>31.12</v>
      </c>
      <c r="AA10" t="n">
        <v>3.16</v>
      </c>
      <c r="AB10" t="n">
        <v>34.28</v>
      </c>
      <c r="AC10" t="n">
        <v>6.17</v>
      </c>
      <c r="AD10" t="n">
        <v>0</v>
      </c>
      <c r="AE10" t="n">
        <v>163.8</v>
      </c>
      <c r="AF10" t="n">
        <v>0</v>
      </c>
      <c r="AG10" t="n">
        <v>0</v>
      </c>
      <c r="AH10" t="n">
        <v>0.16</v>
      </c>
      <c r="AI10" t="n">
        <v>8.199999999999999</v>
      </c>
      <c r="AJ10" t="n">
        <v>-0.01</v>
      </c>
      <c r="AK10" t="n">
        <v>14.53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48.81</v>
      </c>
      <c r="AV10" t="n">
        <v>0</v>
      </c>
      <c r="AW10" t="n">
        <v>123.18</v>
      </c>
      <c r="AX10" t="inlineStr">
        <is>
          <t>pending</t>
        </is>
      </c>
      <c r="AY10" t="inlineStr">
        <is>
          <t>NA</t>
        </is>
      </c>
      <c r="AZ10" t="inlineStr">
        <is>
          <t>NA</t>
        </is>
      </c>
      <c r="BA10" t="n">
        <v>123.18</v>
      </c>
      <c r="BB10" t="inlineStr">
        <is>
          <t>0501e6dd9b449a5f3abf6df980174973848458552a64c05cce2f3cfa65391b75</t>
        </is>
      </c>
    </row>
    <row r="11">
      <c r="A11" t="inlineStr">
        <is>
          <t>6</t>
        </is>
      </c>
      <c r="B11" t="inlineStr">
        <is>
          <t>7730530396</t>
        </is>
      </c>
      <c r="C11" t="inlineStr">
        <is>
          <t>2026-01-26 11:18:12</t>
        </is>
      </c>
      <c r="D11" t="inlineStr">
        <is>
          <t>5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30% off upto ₹75 (2025-06-25 - 2031-01-01)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229</v>
      </c>
      <c r="P11" t="n">
        <v>3.5</v>
      </c>
      <c r="Q11" t="n">
        <v>0</v>
      </c>
      <c r="R11" t="n">
        <v>68.7</v>
      </c>
      <c r="S11" t="n">
        <v>0</v>
      </c>
      <c r="T11" t="n">
        <v>0</v>
      </c>
      <c r="U11" t="n">
        <v>0</v>
      </c>
      <c r="V11" t="n">
        <v>8.19</v>
      </c>
      <c r="W11" t="n">
        <v>171.99</v>
      </c>
      <c r="X11" t="n">
        <v>163.8</v>
      </c>
      <c r="Y11" t="n">
        <v>19</v>
      </c>
      <c r="Z11" t="n">
        <v>31.12</v>
      </c>
      <c r="AA11" t="n">
        <v>3.16</v>
      </c>
      <c r="AB11" t="n">
        <v>34.28</v>
      </c>
      <c r="AC11" t="n">
        <v>6.17</v>
      </c>
      <c r="AD11" t="n">
        <v>0</v>
      </c>
      <c r="AE11" t="n">
        <v>163.8</v>
      </c>
      <c r="AF11" t="n">
        <v>0</v>
      </c>
      <c r="AG11" t="n">
        <v>0</v>
      </c>
      <c r="AH11" t="n">
        <v>0.16</v>
      </c>
      <c r="AI11" t="n">
        <v>8.199999999999999</v>
      </c>
      <c r="AJ11" t="n">
        <v>-0.01</v>
      </c>
      <c r="AK11" t="n">
        <v>14.53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48.81</v>
      </c>
      <c r="AV11" t="n">
        <v>0</v>
      </c>
      <c r="AW11" t="n">
        <v>123.18</v>
      </c>
      <c r="AX11" t="inlineStr">
        <is>
          <t>pending</t>
        </is>
      </c>
      <c r="AY11" t="inlineStr">
        <is>
          <t>NA</t>
        </is>
      </c>
      <c r="AZ11" t="inlineStr">
        <is>
          <t>NA</t>
        </is>
      </c>
      <c r="BA11" t="n">
        <v>123.18</v>
      </c>
      <c r="BB11" t="inlineStr">
        <is>
          <t>019510b195e5619c98690c0fba51eb86eb62737b2dd98ae26275f8cf2db7f669</t>
        </is>
      </c>
    </row>
    <row r="12">
      <c r="A12" t="inlineStr">
        <is>
          <t>7</t>
        </is>
      </c>
      <c r="B12" t="inlineStr">
        <is>
          <t>7730728621</t>
        </is>
      </c>
      <c r="C12" t="inlineStr">
        <is>
          <t>2026-01-26 12:52:15</t>
        </is>
      </c>
      <c r="D12" t="inlineStr">
        <is>
          <t>5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229</v>
      </c>
      <c r="P12" t="n">
        <v>3.5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11.63</v>
      </c>
      <c r="W12" t="n">
        <v>244.13</v>
      </c>
      <c r="X12" t="n">
        <v>232.5</v>
      </c>
      <c r="Y12" t="n">
        <v>19</v>
      </c>
      <c r="Z12" t="n">
        <v>44.18</v>
      </c>
      <c r="AA12" t="n">
        <v>4.49</v>
      </c>
      <c r="AB12" t="n">
        <v>48.67</v>
      </c>
      <c r="AC12" t="n">
        <v>8.76</v>
      </c>
      <c r="AD12" t="n">
        <v>0</v>
      </c>
      <c r="AE12" t="n">
        <v>232.5</v>
      </c>
      <c r="AF12" t="n">
        <v>0</v>
      </c>
      <c r="AG12" t="n">
        <v>0</v>
      </c>
      <c r="AH12" t="n">
        <v>0.23</v>
      </c>
      <c r="AI12" t="n">
        <v>11.63</v>
      </c>
      <c r="AJ12" t="n">
        <v>0</v>
      </c>
      <c r="AK12" t="n">
        <v>20.62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69.29000000000001</v>
      </c>
      <c r="AV12" t="n">
        <v>0</v>
      </c>
      <c r="AW12" t="n">
        <v>174.84</v>
      </c>
      <c r="AX12" t="inlineStr">
        <is>
          <t>pending</t>
        </is>
      </c>
      <c r="AY12" t="inlineStr">
        <is>
          <t>NA</t>
        </is>
      </c>
      <c r="AZ12" t="inlineStr">
        <is>
          <t>NA</t>
        </is>
      </c>
      <c r="BA12" t="n">
        <v>174.84</v>
      </c>
      <c r="BB12" t="inlineStr">
        <is>
          <t>3d0eafc8fce626d458136385e21e262f9d46f814268d91120c14606ae6729f56</t>
        </is>
      </c>
    </row>
    <row r="13">
      <c r="A13" t="inlineStr">
        <is>
          <t>8</t>
        </is>
      </c>
      <c r="B13" t="inlineStr">
        <is>
          <t>7721719855</t>
        </is>
      </c>
      <c r="C13" t="inlineStr">
        <is>
          <t>2026-01-26 12:59:49</t>
        </is>
      </c>
      <c r="D13" t="inlineStr">
        <is>
          <t>5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564</v>
      </c>
      <c r="P13" t="n">
        <v>3.5</v>
      </c>
      <c r="Q13" t="n">
        <v>0</v>
      </c>
      <c r="R13" t="n">
        <v>75</v>
      </c>
      <c r="S13" t="n">
        <v>0</v>
      </c>
      <c r="T13" t="n">
        <v>0</v>
      </c>
      <c r="U13" t="n">
        <v>0</v>
      </c>
      <c r="V13" t="n">
        <v>24.63</v>
      </c>
      <c r="W13" t="n">
        <v>517.13</v>
      </c>
      <c r="X13" t="n">
        <v>492.5</v>
      </c>
      <c r="Y13" t="n">
        <v>19</v>
      </c>
      <c r="Z13" t="n">
        <v>93.58</v>
      </c>
      <c r="AA13" t="n">
        <v>9.52</v>
      </c>
      <c r="AB13" t="n">
        <v>103.1</v>
      </c>
      <c r="AC13" t="n">
        <v>18.55</v>
      </c>
      <c r="AD13" t="n">
        <v>0</v>
      </c>
      <c r="AE13" t="n">
        <v>492.5</v>
      </c>
      <c r="AF13" t="n">
        <v>0</v>
      </c>
      <c r="AG13" t="n">
        <v>0</v>
      </c>
      <c r="AH13" t="n">
        <v>0.49</v>
      </c>
      <c r="AI13" t="n">
        <v>24.63</v>
      </c>
      <c r="AJ13" t="n">
        <v>0</v>
      </c>
      <c r="AK13" t="n">
        <v>43.67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146.77</v>
      </c>
      <c r="AV13" t="n">
        <v>0</v>
      </c>
      <c r="AW13" t="n">
        <v>370.36</v>
      </c>
      <c r="AX13" t="inlineStr">
        <is>
          <t>pending</t>
        </is>
      </c>
      <c r="AY13" t="inlineStr">
        <is>
          <t>NA</t>
        </is>
      </c>
      <c r="AZ13" t="inlineStr">
        <is>
          <t>NA</t>
        </is>
      </c>
      <c r="BA13" t="n">
        <v>370.36</v>
      </c>
      <c r="BB13" t="inlineStr">
        <is>
          <t>2e15fdb153832adb1c5f385320b22df40e0de8478eaf4603529aee27454b6da1</t>
        </is>
      </c>
    </row>
    <row r="14">
      <c r="A14" t="inlineStr">
        <is>
          <t>9</t>
        </is>
      </c>
      <c r="B14" t="inlineStr">
        <is>
          <t>7730310430</t>
        </is>
      </c>
      <c r="C14" t="inlineStr">
        <is>
          <t>2026-01-26 13:50:51</t>
        </is>
      </c>
      <c r="D14" t="inlineStr">
        <is>
          <t>5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pending</t>
        </is>
      </c>
      <c r="AY14" t="inlineStr">
        <is>
          <t>NA</t>
        </is>
      </c>
      <c r="AZ14" t="inlineStr">
        <is>
          <t>NA</t>
        </is>
      </c>
      <c r="BA14" t="n">
        <v>123.18</v>
      </c>
      <c r="BB14" t="inlineStr">
        <is>
          <t>5dca26c2f754326dee1e1d6fa611256071bb47af694db057a0c702c2bfa79089</t>
        </is>
      </c>
    </row>
    <row r="15">
      <c r="A15" t="inlineStr">
        <is>
          <t>10</t>
        </is>
      </c>
      <c r="B15" t="inlineStr">
        <is>
          <t>7726884302</t>
        </is>
      </c>
      <c r="C15" t="inlineStr">
        <is>
          <t>2026-01-26 14:20:26</t>
        </is>
      </c>
      <c r="D15" t="inlineStr">
        <is>
          <t>5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NA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229</v>
      </c>
      <c r="P15" t="n">
        <v>3.5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11.63</v>
      </c>
      <c r="W15" t="n">
        <v>244.13</v>
      </c>
      <c r="X15" t="n">
        <v>232.5</v>
      </c>
      <c r="Y15" t="n">
        <v>19</v>
      </c>
      <c r="Z15" t="n">
        <v>44.18</v>
      </c>
      <c r="AA15" t="n">
        <v>4.49</v>
      </c>
      <c r="AB15" t="n">
        <v>48.67</v>
      </c>
      <c r="AC15" t="n">
        <v>8.76</v>
      </c>
      <c r="AD15" t="n">
        <v>0</v>
      </c>
      <c r="AE15" t="n">
        <v>232.5</v>
      </c>
      <c r="AF15" t="n">
        <v>0</v>
      </c>
      <c r="AG15" t="n">
        <v>0</v>
      </c>
      <c r="AH15" t="n">
        <v>0.23</v>
      </c>
      <c r="AI15" t="n">
        <v>11.63</v>
      </c>
      <c r="AJ15" t="n">
        <v>0</v>
      </c>
      <c r="AK15" t="n">
        <v>20.62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69.29000000000001</v>
      </c>
      <c r="AV15" t="n">
        <v>0</v>
      </c>
      <c r="AW15" t="n">
        <v>174.84</v>
      </c>
      <c r="AX15" t="inlineStr">
        <is>
          <t>pending</t>
        </is>
      </c>
      <c r="AY15" t="inlineStr">
        <is>
          <t>NA</t>
        </is>
      </c>
      <c r="AZ15" t="inlineStr">
        <is>
          <t>NA</t>
        </is>
      </c>
      <c r="BA15" t="n">
        <v>174.84</v>
      </c>
      <c r="BB15" t="inlineStr">
        <is>
          <t>b3a4df4efa55e29074ecb20eb5b1172e619aeedf6491b6c1eae6101ffe33c8b3</t>
        </is>
      </c>
    </row>
    <row r="16">
      <c r="A16" t="inlineStr">
        <is>
          <t>11</t>
        </is>
      </c>
      <c r="B16" t="inlineStr">
        <is>
          <t>7729418601</t>
        </is>
      </c>
      <c r="C16" t="inlineStr">
        <is>
          <t>2026-01-26 14:40:08</t>
        </is>
      </c>
      <c r="D16" t="inlineStr">
        <is>
          <t>5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229</v>
      </c>
      <c r="P16" t="n">
        <v>3.5</v>
      </c>
      <c r="Q16" t="n">
        <v>0</v>
      </c>
      <c r="R16" t="n">
        <v>68.7</v>
      </c>
      <c r="S16" t="n">
        <v>0</v>
      </c>
      <c r="T16" t="n">
        <v>0</v>
      </c>
      <c r="U16" t="n">
        <v>0</v>
      </c>
      <c r="V16" t="n">
        <v>8.19</v>
      </c>
      <c r="W16" t="n">
        <v>171.99</v>
      </c>
      <c r="X16" t="n">
        <v>163.8</v>
      </c>
      <c r="Y16" t="n">
        <v>19</v>
      </c>
      <c r="Z16" t="n">
        <v>31.12</v>
      </c>
      <c r="AA16" t="n">
        <v>3.16</v>
      </c>
      <c r="AB16" t="n">
        <v>34.28</v>
      </c>
      <c r="AC16" t="n">
        <v>6.17</v>
      </c>
      <c r="AD16" t="n">
        <v>0</v>
      </c>
      <c r="AE16" t="n">
        <v>163.8</v>
      </c>
      <c r="AF16" t="n">
        <v>0</v>
      </c>
      <c r="AG16" t="n">
        <v>0</v>
      </c>
      <c r="AH16" t="n">
        <v>0.16</v>
      </c>
      <c r="AI16" t="n">
        <v>8.199999999999999</v>
      </c>
      <c r="AJ16" t="n">
        <v>-0.01</v>
      </c>
      <c r="AK16" t="n">
        <v>14.53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48.81</v>
      </c>
      <c r="AV16" t="n">
        <v>0</v>
      </c>
      <c r="AW16" t="n">
        <v>123.18</v>
      </c>
      <c r="AX16" t="inlineStr">
        <is>
          <t>pending</t>
        </is>
      </c>
      <c r="AY16" t="inlineStr">
        <is>
          <t>NA</t>
        </is>
      </c>
      <c r="AZ16" t="inlineStr">
        <is>
          <t>NA</t>
        </is>
      </c>
      <c r="BA16" t="n">
        <v>123.18</v>
      </c>
      <c r="BB16" t="inlineStr">
        <is>
          <t>bef03bbe09d025cb3350864c4d6d6b07baaaaabf8c7ac4b0abdbdc186d160592</t>
        </is>
      </c>
    </row>
    <row r="17">
      <c r="A17" t="inlineStr">
        <is>
          <t>12</t>
        </is>
      </c>
      <c r="B17" t="inlineStr">
        <is>
          <t>7721736467</t>
        </is>
      </c>
      <c r="C17" t="inlineStr">
        <is>
          <t>2026-01-26 14:44:03</t>
        </is>
      </c>
      <c r="D17" t="inlineStr">
        <is>
          <t>5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229</v>
      </c>
      <c r="P17" t="n">
        <v>3.5</v>
      </c>
      <c r="Q17" t="n">
        <v>0</v>
      </c>
      <c r="R17" t="n">
        <v>68.7</v>
      </c>
      <c r="S17" t="n">
        <v>0</v>
      </c>
      <c r="T17" t="n">
        <v>0</v>
      </c>
      <c r="U17" t="n">
        <v>0</v>
      </c>
      <c r="V17" t="n">
        <v>8.19</v>
      </c>
      <c r="W17" t="n">
        <v>171.99</v>
      </c>
      <c r="X17" t="n">
        <v>163.8</v>
      </c>
      <c r="Y17" t="n">
        <v>19</v>
      </c>
      <c r="Z17" t="n">
        <v>31.12</v>
      </c>
      <c r="AA17" t="n">
        <v>3.16</v>
      </c>
      <c r="AB17" t="n">
        <v>34.28</v>
      </c>
      <c r="AC17" t="n">
        <v>6.17</v>
      </c>
      <c r="AD17" t="n">
        <v>0</v>
      </c>
      <c r="AE17" t="n">
        <v>163.8</v>
      </c>
      <c r="AF17" t="n">
        <v>0</v>
      </c>
      <c r="AG17" t="n">
        <v>0</v>
      </c>
      <c r="AH17" t="n">
        <v>0.16</v>
      </c>
      <c r="AI17" t="n">
        <v>8.199999999999999</v>
      </c>
      <c r="AJ17" t="n">
        <v>-0.01</v>
      </c>
      <c r="AK17" t="n">
        <v>14.53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48.81</v>
      </c>
      <c r="AV17" t="n">
        <v>0</v>
      </c>
      <c r="AW17" t="n">
        <v>123.18</v>
      </c>
      <c r="AX17" t="inlineStr">
        <is>
          <t>pending</t>
        </is>
      </c>
      <c r="AY17" t="inlineStr">
        <is>
          <t>NA</t>
        </is>
      </c>
      <c r="AZ17" t="inlineStr">
        <is>
          <t>NA</t>
        </is>
      </c>
      <c r="BA17" t="n">
        <v>123.18</v>
      </c>
      <c r="BB17" t="inlineStr">
        <is>
          <t>5c9a917ceee87e24908faac922b817beae5fcef9b862879e65925656c1ab7125</t>
        </is>
      </c>
    </row>
    <row r="18">
      <c r="A18" t="inlineStr">
        <is>
          <t>13</t>
        </is>
      </c>
      <c r="B18" t="inlineStr">
        <is>
          <t>7730426323</t>
        </is>
      </c>
      <c r="C18" t="inlineStr">
        <is>
          <t>2026-01-26 14:44:18</t>
        </is>
      </c>
      <c r="D18" t="inlineStr">
        <is>
          <t>5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219</v>
      </c>
      <c r="P18" t="n">
        <v>3.5</v>
      </c>
      <c r="Q18" t="n">
        <v>0</v>
      </c>
      <c r="R18" t="n">
        <v>65.7</v>
      </c>
      <c r="S18" t="n">
        <v>0</v>
      </c>
      <c r="T18" t="n">
        <v>0</v>
      </c>
      <c r="U18" t="n">
        <v>0</v>
      </c>
      <c r="V18" t="n">
        <v>7.84</v>
      </c>
      <c r="W18" t="n">
        <v>164.64</v>
      </c>
      <c r="X18" t="n">
        <v>156.8</v>
      </c>
      <c r="Y18" t="n">
        <v>19</v>
      </c>
      <c r="Z18" t="n">
        <v>29.79</v>
      </c>
      <c r="AA18" t="n">
        <v>3.03</v>
      </c>
      <c r="AB18" t="n">
        <v>32.82</v>
      </c>
      <c r="AC18" t="n">
        <v>5.91</v>
      </c>
      <c r="AD18" t="n">
        <v>0</v>
      </c>
      <c r="AE18" t="n">
        <v>156.8</v>
      </c>
      <c r="AF18" t="n">
        <v>0</v>
      </c>
      <c r="AG18" t="n">
        <v>0</v>
      </c>
      <c r="AH18" t="n">
        <v>0.16</v>
      </c>
      <c r="AI18" t="n">
        <v>7.85</v>
      </c>
      <c r="AJ18" t="n">
        <v>-0.01</v>
      </c>
      <c r="AK18" t="n">
        <v>13.92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46.74</v>
      </c>
      <c r="AV18" t="n">
        <v>0</v>
      </c>
      <c r="AW18" t="n">
        <v>117.9</v>
      </c>
      <c r="AX18" t="inlineStr">
        <is>
          <t>pending</t>
        </is>
      </c>
      <c r="AY18" t="inlineStr">
        <is>
          <t>NA</t>
        </is>
      </c>
      <c r="AZ18" t="inlineStr">
        <is>
          <t>NA</t>
        </is>
      </c>
      <c r="BA18" t="n">
        <v>117.9</v>
      </c>
      <c r="BB18" t="inlineStr">
        <is>
          <t>daa04af0cebcab8848a2d816fdd79038b7e181e971f49fe06756355fb97e1cc4</t>
        </is>
      </c>
    </row>
    <row r="19">
      <c r="A19" t="inlineStr">
        <is>
          <t>14</t>
        </is>
      </c>
      <c r="B19" t="inlineStr">
        <is>
          <t>7724540797</t>
        </is>
      </c>
      <c r="C19" t="inlineStr">
        <is>
          <t>2026-01-26 15:06:11</t>
        </is>
      </c>
      <c r="D19" t="inlineStr">
        <is>
          <t>5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NA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229</v>
      </c>
      <c r="P19" t="n">
        <v>3.5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11.63</v>
      </c>
      <c r="W19" t="n">
        <v>244.13</v>
      </c>
      <c r="X19" t="n">
        <v>232.5</v>
      </c>
      <c r="Y19" t="n">
        <v>19</v>
      </c>
      <c r="Z19" t="n">
        <v>44.18</v>
      </c>
      <c r="AA19" t="n">
        <v>4.49</v>
      </c>
      <c r="AB19" t="n">
        <v>48.67</v>
      </c>
      <c r="AC19" t="n">
        <v>8.76</v>
      </c>
      <c r="AD19" t="n">
        <v>0</v>
      </c>
      <c r="AE19" t="n">
        <v>232.5</v>
      </c>
      <c r="AF19" t="n">
        <v>0</v>
      </c>
      <c r="AG19" t="n">
        <v>0</v>
      </c>
      <c r="AH19" t="n">
        <v>0.23</v>
      </c>
      <c r="AI19" t="n">
        <v>11.63</v>
      </c>
      <c r="AJ19" t="n">
        <v>0</v>
      </c>
      <c r="AK19" t="n">
        <v>20.62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69.29000000000001</v>
      </c>
      <c r="AV19" t="n">
        <v>0</v>
      </c>
      <c r="AW19" t="n">
        <v>174.84</v>
      </c>
      <c r="AX19" t="inlineStr">
        <is>
          <t>pending</t>
        </is>
      </c>
      <c r="AY19" t="inlineStr">
        <is>
          <t>NA</t>
        </is>
      </c>
      <c r="AZ19" t="inlineStr">
        <is>
          <t>NA</t>
        </is>
      </c>
      <c r="BA19" t="n">
        <v>174.84</v>
      </c>
      <c r="BB19" t="inlineStr">
        <is>
          <t>2c70419a9d9960052c1c4d4810f742b6b79843c037f15b92e84c72262de7934b</t>
        </is>
      </c>
    </row>
    <row r="20">
      <c r="A20" t="inlineStr">
        <is>
          <t>15</t>
        </is>
      </c>
      <c r="B20" t="inlineStr">
        <is>
          <t>7731052942</t>
        </is>
      </c>
      <c r="C20" t="inlineStr">
        <is>
          <t>2026-01-26 15:21:17</t>
        </is>
      </c>
      <c r="D20" t="inlineStr">
        <is>
          <t>5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229</v>
      </c>
      <c r="P20" t="n">
        <v>3.5</v>
      </c>
      <c r="Q20" t="n">
        <v>0</v>
      </c>
      <c r="R20" t="n">
        <v>68.7</v>
      </c>
      <c r="S20" t="n">
        <v>0</v>
      </c>
      <c r="T20" t="n">
        <v>0</v>
      </c>
      <c r="U20" t="n">
        <v>0</v>
      </c>
      <c r="V20" t="n">
        <v>8.19</v>
      </c>
      <c r="W20" t="n">
        <v>171.99</v>
      </c>
      <c r="X20" t="n">
        <v>163.8</v>
      </c>
      <c r="Y20" t="n">
        <v>19</v>
      </c>
      <c r="Z20" t="n">
        <v>31.12</v>
      </c>
      <c r="AA20" t="n">
        <v>3.16</v>
      </c>
      <c r="AB20" t="n">
        <v>34.28</v>
      </c>
      <c r="AC20" t="n">
        <v>6.17</v>
      </c>
      <c r="AD20" t="n">
        <v>0</v>
      </c>
      <c r="AE20" t="n">
        <v>163.8</v>
      </c>
      <c r="AF20" t="n">
        <v>0</v>
      </c>
      <c r="AG20" t="n">
        <v>0</v>
      </c>
      <c r="AH20" t="n">
        <v>0.16</v>
      </c>
      <c r="AI20" t="n">
        <v>8.199999999999999</v>
      </c>
      <c r="AJ20" t="n">
        <v>-0.01</v>
      </c>
      <c r="AK20" t="n">
        <v>14.53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48.81</v>
      </c>
      <c r="AV20" t="n">
        <v>0</v>
      </c>
      <c r="AW20" t="n">
        <v>123.18</v>
      </c>
      <c r="AX20" t="inlineStr">
        <is>
          <t>pending</t>
        </is>
      </c>
      <c r="AY20" t="inlineStr">
        <is>
          <t>NA</t>
        </is>
      </c>
      <c r="AZ20" t="inlineStr">
        <is>
          <t>NA</t>
        </is>
      </c>
      <c r="BA20" t="n">
        <v>123.18</v>
      </c>
      <c r="BB20" t="inlineStr">
        <is>
          <t>b3a4df4efa55e29074ecb20eb5b1172e619aeedf6491b6c1eae6101ffe33c8b3</t>
        </is>
      </c>
    </row>
    <row r="21">
      <c r="A21" t="inlineStr">
        <is>
          <t>16</t>
        </is>
      </c>
      <c r="B21" t="inlineStr">
        <is>
          <t>7728623602</t>
        </is>
      </c>
      <c r="C21" t="inlineStr">
        <is>
          <t>2026-01-26 16:03:37</t>
        </is>
      </c>
      <c r="D21" t="inlineStr">
        <is>
          <t>5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NA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219</v>
      </c>
      <c r="P21" t="n">
        <v>3.5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11.13</v>
      </c>
      <c r="W21" t="n">
        <v>233.63</v>
      </c>
      <c r="X21" t="n">
        <v>222.5</v>
      </c>
      <c r="Y21" t="n">
        <v>19</v>
      </c>
      <c r="Z21" t="n">
        <v>42.28</v>
      </c>
      <c r="AA21" t="n">
        <v>4.3</v>
      </c>
      <c r="AB21" t="n">
        <v>46.58</v>
      </c>
      <c r="AC21" t="n">
        <v>8.380000000000001</v>
      </c>
      <c r="AD21" t="n">
        <v>0</v>
      </c>
      <c r="AE21" t="n">
        <v>222.5</v>
      </c>
      <c r="AF21" t="n">
        <v>0</v>
      </c>
      <c r="AG21" t="n">
        <v>0</v>
      </c>
      <c r="AH21" t="n">
        <v>0.22</v>
      </c>
      <c r="AI21" t="n">
        <v>11.13</v>
      </c>
      <c r="AJ21" t="n">
        <v>0</v>
      </c>
      <c r="AK21" t="n">
        <v>19.73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66.31</v>
      </c>
      <c r="AV21" t="n">
        <v>0</v>
      </c>
      <c r="AW21" t="n">
        <v>167.32</v>
      </c>
      <c r="AX21" t="inlineStr">
        <is>
          <t>pending</t>
        </is>
      </c>
      <c r="AY21" t="inlineStr">
        <is>
          <t>NA</t>
        </is>
      </c>
      <c r="AZ21" t="inlineStr">
        <is>
          <t>NA</t>
        </is>
      </c>
      <c r="BA21" t="n">
        <v>167.32</v>
      </c>
      <c r="BB21" t="inlineStr">
        <is>
          <t>2179f5e123493a5b1da1fee4274493d283d1c947cd1cc436564e37c4acb55114</t>
        </is>
      </c>
    </row>
    <row r="22">
      <c r="A22" t="inlineStr">
        <is>
          <t>17</t>
        </is>
      </c>
      <c r="B22" t="inlineStr">
        <is>
          <t>7730895103</t>
        </is>
      </c>
      <c r="C22" t="inlineStr">
        <is>
          <t>2026-01-26 16:04:32</t>
        </is>
      </c>
      <c r="D22" t="inlineStr">
        <is>
          <t>5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229</v>
      </c>
      <c r="P22" t="n">
        <v>3.5</v>
      </c>
      <c r="Q22" t="n">
        <v>0</v>
      </c>
      <c r="R22" t="n">
        <v>68.7</v>
      </c>
      <c r="S22" t="n">
        <v>0</v>
      </c>
      <c r="T22" t="n">
        <v>0</v>
      </c>
      <c r="U22" t="n">
        <v>0</v>
      </c>
      <c r="V22" t="n">
        <v>8.19</v>
      </c>
      <c r="W22" t="n">
        <v>171.99</v>
      </c>
      <c r="X22" t="n">
        <v>163.8</v>
      </c>
      <c r="Y22" t="n">
        <v>19</v>
      </c>
      <c r="Z22" t="n">
        <v>31.12</v>
      </c>
      <c r="AA22" t="n">
        <v>3.16</v>
      </c>
      <c r="AB22" t="n">
        <v>34.28</v>
      </c>
      <c r="AC22" t="n">
        <v>6.17</v>
      </c>
      <c r="AD22" t="n">
        <v>0</v>
      </c>
      <c r="AE22" t="n">
        <v>163.8</v>
      </c>
      <c r="AF22" t="n">
        <v>0</v>
      </c>
      <c r="AG22" t="n">
        <v>0</v>
      </c>
      <c r="AH22" t="n">
        <v>0.16</v>
      </c>
      <c r="AI22" t="n">
        <v>8.199999999999999</v>
      </c>
      <c r="AJ22" t="n">
        <v>-0.01</v>
      </c>
      <c r="AK22" t="n">
        <v>14.53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48.81</v>
      </c>
      <c r="AV22" t="n">
        <v>0</v>
      </c>
      <c r="AW22" t="n">
        <v>123.18</v>
      </c>
      <c r="AX22" t="inlineStr">
        <is>
          <t>pending</t>
        </is>
      </c>
      <c r="AY22" t="inlineStr">
        <is>
          <t>NA</t>
        </is>
      </c>
      <c r="AZ22" t="inlineStr">
        <is>
          <t>NA</t>
        </is>
      </c>
      <c r="BA22" t="n">
        <v>123.18</v>
      </c>
      <c r="BB22" t="inlineStr">
        <is>
          <t>d4bd5301bcd8ffac728817ba793c9c63ecb3ae8801d3a68ff0461d793b403b11</t>
        </is>
      </c>
    </row>
    <row r="23">
      <c r="A23" t="inlineStr">
        <is>
          <t>18</t>
        </is>
      </c>
      <c r="B23" t="inlineStr">
        <is>
          <t>7729657494</t>
        </is>
      </c>
      <c r="C23" t="inlineStr">
        <is>
          <t>2026-01-26 16:08:43</t>
        </is>
      </c>
      <c r="D23" t="inlineStr">
        <is>
          <t>5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229</v>
      </c>
      <c r="P23" t="n">
        <v>3.5</v>
      </c>
      <c r="Q23" t="n">
        <v>0</v>
      </c>
      <c r="R23" t="n">
        <v>68.7</v>
      </c>
      <c r="S23" t="n">
        <v>0</v>
      </c>
      <c r="T23" t="n">
        <v>0</v>
      </c>
      <c r="U23" t="n">
        <v>0</v>
      </c>
      <c r="V23" t="n">
        <v>8.19</v>
      </c>
      <c r="W23" t="n">
        <v>171.99</v>
      </c>
      <c r="X23" t="n">
        <v>163.8</v>
      </c>
      <c r="Y23" t="n">
        <v>19</v>
      </c>
      <c r="Z23" t="n">
        <v>31.12</v>
      </c>
      <c r="AA23" t="n">
        <v>3.16</v>
      </c>
      <c r="AB23" t="n">
        <v>34.28</v>
      </c>
      <c r="AC23" t="n">
        <v>6.17</v>
      </c>
      <c r="AD23" t="n">
        <v>0</v>
      </c>
      <c r="AE23" t="n">
        <v>163.8</v>
      </c>
      <c r="AF23" t="n">
        <v>0</v>
      </c>
      <c r="AG23" t="n">
        <v>0</v>
      </c>
      <c r="AH23" t="n">
        <v>0.16</v>
      </c>
      <c r="AI23" t="n">
        <v>8.199999999999999</v>
      </c>
      <c r="AJ23" t="n">
        <v>-0.01</v>
      </c>
      <c r="AK23" t="n">
        <v>14.53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48.81</v>
      </c>
      <c r="AV23" t="n">
        <v>0</v>
      </c>
      <c r="AW23" t="n">
        <v>123.18</v>
      </c>
      <c r="AX23" t="inlineStr">
        <is>
          <t>pending</t>
        </is>
      </c>
      <c r="AY23" t="inlineStr">
        <is>
          <t>NA</t>
        </is>
      </c>
      <c r="AZ23" t="inlineStr">
        <is>
          <t>NA</t>
        </is>
      </c>
      <c r="BA23" t="n">
        <v>123.18</v>
      </c>
      <c r="BB23" t="inlineStr">
        <is>
          <t>a19eb390271a91009b378fad0a791d17cc2552bba5bea54cee58957a0258cae1</t>
        </is>
      </c>
    </row>
    <row r="24">
      <c r="A24" t="inlineStr">
        <is>
          <t>19</t>
        </is>
      </c>
      <c r="B24" t="inlineStr">
        <is>
          <t>7728669272</t>
        </is>
      </c>
      <c r="C24" t="inlineStr">
        <is>
          <t>2026-01-26 16:54:00</t>
        </is>
      </c>
      <c r="D24" t="inlineStr">
        <is>
          <t>5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219</v>
      </c>
      <c r="P24" t="n">
        <v>3.5</v>
      </c>
      <c r="Q24" t="n">
        <v>0</v>
      </c>
      <c r="R24" t="n">
        <v>65.7</v>
      </c>
      <c r="S24" t="n">
        <v>0</v>
      </c>
      <c r="T24" t="n">
        <v>0</v>
      </c>
      <c r="U24" t="n">
        <v>0</v>
      </c>
      <c r="V24" t="n">
        <v>7.84</v>
      </c>
      <c r="W24" t="n">
        <v>164.64</v>
      </c>
      <c r="X24" t="n">
        <v>156.8</v>
      </c>
      <c r="Y24" t="n">
        <v>19</v>
      </c>
      <c r="Z24" t="n">
        <v>29.79</v>
      </c>
      <c r="AA24" t="n">
        <v>3.03</v>
      </c>
      <c r="AB24" t="n">
        <v>32.82</v>
      </c>
      <c r="AC24" t="n">
        <v>5.91</v>
      </c>
      <c r="AD24" t="n">
        <v>0</v>
      </c>
      <c r="AE24" t="n">
        <v>156.8</v>
      </c>
      <c r="AF24" t="n">
        <v>0</v>
      </c>
      <c r="AG24" t="n">
        <v>0</v>
      </c>
      <c r="AH24" t="n">
        <v>0.16</v>
      </c>
      <c r="AI24" t="n">
        <v>7.85</v>
      </c>
      <c r="AJ24" t="n">
        <v>-0.01</v>
      </c>
      <c r="AK24" t="n">
        <v>13.92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46.74</v>
      </c>
      <c r="AV24" t="n">
        <v>0</v>
      </c>
      <c r="AW24" t="n">
        <v>117.9</v>
      </c>
      <c r="AX24" t="inlineStr">
        <is>
          <t>pending</t>
        </is>
      </c>
      <c r="AY24" t="inlineStr">
        <is>
          <t>NA</t>
        </is>
      </c>
      <c r="AZ24" t="inlineStr">
        <is>
          <t>NA</t>
        </is>
      </c>
      <c r="BA24" t="n">
        <v>117.9</v>
      </c>
      <c r="BB24" t="inlineStr">
        <is>
          <t>f7dbf577722f7d64c5dea31c1adfff61f75e25129d34a30a8b22e8ffe07b7eb6</t>
        </is>
      </c>
    </row>
    <row r="25">
      <c r="A25" t="inlineStr">
        <is>
          <t>20</t>
        </is>
      </c>
      <c r="B25" t="inlineStr">
        <is>
          <t>7720635914</t>
        </is>
      </c>
      <c r="C25" t="inlineStr">
        <is>
          <t>2026-01-26 17:42:29</t>
        </is>
      </c>
      <c r="D25" t="inlineStr">
        <is>
          <t>5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507</v>
      </c>
      <c r="P25" t="n">
        <v>3.5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25.53</v>
      </c>
      <c r="W25" t="n">
        <v>536.03</v>
      </c>
      <c r="X25" t="n">
        <v>510.5</v>
      </c>
      <c r="Y25" t="n">
        <v>19</v>
      </c>
      <c r="Z25" t="n">
        <v>97</v>
      </c>
      <c r="AA25" t="n">
        <v>9.859999999999999</v>
      </c>
      <c r="AB25" t="n">
        <v>106.86</v>
      </c>
      <c r="AC25" t="n">
        <v>19.23</v>
      </c>
      <c r="AD25" t="n">
        <v>0</v>
      </c>
      <c r="AE25" t="n">
        <v>510.5</v>
      </c>
      <c r="AF25" t="n">
        <v>0</v>
      </c>
      <c r="AG25" t="n">
        <v>0</v>
      </c>
      <c r="AH25" t="n">
        <v>0.51</v>
      </c>
      <c r="AI25" t="n">
        <v>25.53</v>
      </c>
      <c r="AJ25" t="n">
        <v>0</v>
      </c>
      <c r="AK25" t="n">
        <v>45.27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152.13</v>
      </c>
      <c r="AV25" t="n">
        <v>0</v>
      </c>
      <c r="AW25" t="n">
        <v>383.9</v>
      </c>
      <c r="AX25" t="inlineStr">
        <is>
          <t>pending</t>
        </is>
      </c>
      <c r="AY25" t="inlineStr">
        <is>
          <t>NA</t>
        </is>
      </c>
      <c r="AZ25" t="inlineStr">
        <is>
          <t>NA</t>
        </is>
      </c>
      <c r="BA25" t="n">
        <v>383.9</v>
      </c>
      <c r="BB25" t="inlineStr">
        <is>
          <t>e353af31381dccc3125230701a66480453a2c1b2c86b2e75f0aa1c367844ecf4</t>
        </is>
      </c>
    </row>
    <row r="26">
      <c r="A26" t="inlineStr">
        <is>
          <t>21</t>
        </is>
      </c>
      <c r="B26" t="inlineStr">
        <is>
          <t>7711149552</t>
        </is>
      </c>
      <c r="C26" t="inlineStr">
        <is>
          <t>2026-01-26 18:59:37</t>
        </is>
      </c>
      <c r="D26" t="inlineStr">
        <is>
          <t>5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229</v>
      </c>
      <c r="P26" t="n">
        <v>3.5</v>
      </c>
      <c r="Q26" t="n">
        <v>0</v>
      </c>
      <c r="R26" t="n">
        <v>68.7</v>
      </c>
      <c r="S26" t="n">
        <v>0</v>
      </c>
      <c r="T26" t="n">
        <v>0</v>
      </c>
      <c r="U26" t="n">
        <v>0</v>
      </c>
      <c r="V26" t="n">
        <v>8.19</v>
      </c>
      <c r="W26" t="n">
        <v>171.99</v>
      </c>
      <c r="X26" t="n">
        <v>163.8</v>
      </c>
      <c r="Y26" t="n">
        <v>19</v>
      </c>
      <c r="Z26" t="n">
        <v>31.12</v>
      </c>
      <c r="AA26" t="n">
        <v>3.16</v>
      </c>
      <c r="AB26" t="n">
        <v>34.28</v>
      </c>
      <c r="AC26" t="n">
        <v>6.17</v>
      </c>
      <c r="AD26" t="n">
        <v>0</v>
      </c>
      <c r="AE26" t="n">
        <v>163.8</v>
      </c>
      <c r="AF26" t="n">
        <v>0</v>
      </c>
      <c r="AG26" t="n">
        <v>0</v>
      </c>
      <c r="AH26" t="n">
        <v>0.16</v>
      </c>
      <c r="AI26" t="n">
        <v>8.199999999999999</v>
      </c>
      <c r="AJ26" t="n">
        <v>-0.01</v>
      </c>
      <c r="AK26" t="n">
        <v>14.53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48.81</v>
      </c>
      <c r="AV26" t="n">
        <v>0</v>
      </c>
      <c r="AW26" t="n">
        <v>123.18</v>
      </c>
      <c r="AX26" t="inlineStr">
        <is>
          <t>pending</t>
        </is>
      </c>
      <c r="AY26" t="inlineStr">
        <is>
          <t>NA</t>
        </is>
      </c>
      <c r="AZ26" t="inlineStr">
        <is>
          <t>NA</t>
        </is>
      </c>
      <c r="BA26" t="n">
        <v>123.18</v>
      </c>
      <c r="BB26" t="inlineStr">
        <is>
          <t>bc250f4c1a06f3b3f7fbf53e215b11ee7f37624aeaca9a00d6507ea8bdba7785</t>
        </is>
      </c>
    </row>
    <row r="27">
      <c r="A27" t="inlineStr">
        <is>
          <t>22</t>
        </is>
      </c>
      <c r="B27" t="inlineStr">
        <is>
          <t>7711198546</t>
        </is>
      </c>
      <c r="C27" t="inlineStr">
        <is>
          <t>2026-01-26 20:03:57</t>
        </is>
      </c>
      <c r="D27" t="inlineStr">
        <is>
          <t>5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NA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229</v>
      </c>
      <c r="P27" t="n">
        <v>3.5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11.63</v>
      </c>
      <c r="W27" t="n">
        <v>244.13</v>
      </c>
      <c r="X27" t="n">
        <v>232.5</v>
      </c>
      <c r="Y27" t="n">
        <v>19</v>
      </c>
      <c r="Z27" t="n">
        <v>44.18</v>
      </c>
      <c r="AA27" t="n">
        <v>4.49</v>
      </c>
      <c r="AB27" t="n">
        <v>48.67</v>
      </c>
      <c r="AC27" t="n">
        <v>8.76</v>
      </c>
      <c r="AD27" t="n">
        <v>0</v>
      </c>
      <c r="AE27" t="n">
        <v>232.5</v>
      </c>
      <c r="AF27" t="n">
        <v>0</v>
      </c>
      <c r="AG27" t="n">
        <v>0</v>
      </c>
      <c r="AH27" t="n">
        <v>0.23</v>
      </c>
      <c r="AI27" t="n">
        <v>11.63</v>
      </c>
      <c r="AJ27" t="n">
        <v>0</v>
      </c>
      <c r="AK27" t="n">
        <v>20.62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69.29000000000001</v>
      </c>
      <c r="AV27" t="n">
        <v>0</v>
      </c>
      <c r="AW27" t="n">
        <v>174.84</v>
      </c>
      <c r="AX27" t="inlineStr">
        <is>
          <t>pending</t>
        </is>
      </c>
      <c r="AY27" t="inlineStr">
        <is>
          <t>NA</t>
        </is>
      </c>
      <c r="AZ27" t="inlineStr">
        <is>
          <t>NA</t>
        </is>
      </c>
      <c r="BA27" t="n">
        <v>174.84</v>
      </c>
      <c r="BB27" t="inlineStr">
        <is>
          <t>401b1e4272d169f8a3d667faa6234126c2b4dfcf61b36b0470d043aad75921c6</t>
        </is>
      </c>
    </row>
    <row r="28">
      <c r="A28" t="inlineStr">
        <is>
          <t>23</t>
        </is>
      </c>
      <c r="B28" t="inlineStr">
        <is>
          <t>7729260603</t>
        </is>
      </c>
      <c r="C28" t="inlineStr">
        <is>
          <t>2026-01-26 20:32:40</t>
        </is>
      </c>
      <c r="D28" t="inlineStr">
        <is>
          <t>5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30% off upto ₹75 (2025-06-25 - 2031-01-01)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229</v>
      </c>
      <c r="P28" t="n">
        <v>3.5</v>
      </c>
      <c r="Q28" t="n">
        <v>0</v>
      </c>
      <c r="R28" t="n">
        <v>68.7</v>
      </c>
      <c r="S28" t="n">
        <v>0</v>
      </c>
      <c r="T28" t="n">
        <v>0</v>
      </c>
      <c r="U28" t="n">
        <v>0</v>
      </c>
      <c r="V28" t="n">
        <v>8.19</v>
      </c>
      <c r="W28" t="n">
        <v>171.99</v>
      </c>
      <c r="X28" t="n">
        <v>163.8</v>
      </c>
      <c r="Y28" t="n">
        <v>19</v>
      </c>
      <c r="Z28" t="n">
        <v>31.12</v>
      </c>
      <c r="AA28" t="n">
        <v>3.16</v>
      </c>
      <c r="AB28" t="n">
        <v>34.28</v>
      </c>
      <c r="AC28" t="n">
        <v>6.17</v>
      </c>
      <c r="AD28" t="n">
        <v>0</v>
      </c>
      <c r="AE28" t="n">
        <v>163.8</v>
      </c>
      <c r="AF28" t="n">
        <v>0</v>
      </c>
      <c r="AG28" t="n">
        <v>0</v>
      </c>
      <c r="AH28" t="n">
        <v>0.16</v>
      </c>
      <c r="AI28" t="n">
        <v>8.199999999999999</v>
      </c>
      <c r="AJ28" t="n">
        <v>-0.01</v>
      </c>
      <c r="AK28" t="n">
        <v>14.53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48.81</v>
      </c>
      <c r="AV28" t="n">
        <v>0</v>
      </c>
      <c r="AW28" t="n">
        <v>123.18</v>
      </c>
      <c r="AX28" t="inlineStr">
        <is>
          <t>pending</t>
        </is>
      </c>
      <c r="AY28" t="inlineStr">
        <is>
          <t>NA</t>
        </is>
      </c>
      <c r="AZ28" t="inlineStr">
        <is>
          <t>NA</t>
        </is>
      </c>
      <c r="BA28" t="n">
        <v>123.18</v>
      </c>
      <c r="BB28" t="inlineStr">
        <is>
          <t>d1ae8d8443a195f068423e9937c8049ee67391f57cee67d0e913de359de6f69e</t>
        </is>
      </c>
    </row>
    <row r="29">
      <c r="A29" t="inlineStr">
        <is>
          <t>24</t>
        </is>
      </c>
      <c r="B29" t="inlineStr">
        <is>
          <t>7732121932</t>
        </is>
      </c>
      <c r="C29" t="inlineStr">
        <is>
          <t>2026-01-26 21:33:20</t>
        </is>
      </c>
      <c r="D29" t="inlineStr">
        <is>
          <t>5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219</v>
      </c>
      <c r="P29" t="n">
        <v>3.5</v>
      </c>
      <c r="Q29" t="n">
        <v>0</v>
      </c>
      <c r="R29" t="n">
        <v>65.7</v>
      </c>
      <c r="S29" t="n">
        <v>0</v>
      </c>
      <c r="T29" t="n">
        <v>0</v>
      </c>
      <c r="U29" t="n">
        <v>0</v>
      </c>
      <c r="V29" t="n">
        <v>7.84</v>
      </c>
      <c r="W29" t="n">
        <v>164.64</v>
      </c>
      <c r="X29" t="n">
        <v>156.8</v>
      </c>
      <c r="Y29" t="n">
        <v>19</v>
      </c>
      <c r="Z29" t="n">
        <v>29.79</v>
      </c>
      <c r="AA29" t="n">
        <v>3.03</v>
      </c>
      <c r="AB29" t="n">
        <v>32.82</v>
      </c>
      <c r="AC29" t="n">
        <v>5.91</v>
      </c>
      <c r="AD29" t="n">
        <v>0</v>
      </c>
      <c r="AE29" t="n">
        <v>156.8</v>
      </c>
      <c r="AF29" t="n">
        <v>0</v>
      </c>
      <c r="AG29" t="n">
        <v>0</v>
      </c>
      <c r="AH29" t="n">
        <v>0.16</v>
      </c>
      <c r="AI29" t="n">
        <v>7.85</v>
      </c>
      <c r="AJ29" t="n">
        <v>-0.01</v>
      </c>
      <c r="AK29" t="n">
        <v>13.92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46.74</v>
      </c>
      <c r="AV29" t="n">
        <v>0</v>
      </c>
      <c r="AW29" t="n">
        <v>117.9</v>
      </c>
      <c r="AX29" t="inlineStr">
        <is>
          <t>pending</t>
        </is>
      </c>
      <c r="AY29" t="inlineStr">
        <is>
          <t>NA</t>
        </is>
      </c>
      <c r="AZ29" t="inlineStr">
        <is>
          <t>NA</t>
        </is>
      </c>
      <c r="BA29" t="n">
        <v>117.9</v>
      </c>
      <c r="BB29" t="inlineStr">
        <is>
          <t>7f51d14f63eab287d1a485239afbc492c5460b44948fee5eca9704a9a21a9374</t>
        </is>
      </c>
    </row>
    <row r="30">
      <c r="A30" t="inlineStr">
        <is>
          <t>25</t>
        </is>
      </c>
      <c r="B30" t="inlineStr">
        <is>
          <t>7732267676</t>
        </is>
      </c>
      <c r="C30" t="inlineStr">
        <is>
          <t>2026-01-26 21:56:46</t>
        </is>
      </c>
      <c r="D30" t="inlineStr">
        <is>
          <t>5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229</v>
      </c>
      <c r="P30" t="n">
        <v>3.5</v>
      </c>
      <c r="Q30" t="n">
        <v>0</v>
      </c>
      <c r="R30" t="n">
        <v>68.7</v>
      </c>
      <c r="S30" t="n">
        <v>0</v>
      </c>
      <c r="T30" t="n">
        <v>0</v>
      </c>
      <c r="U30" t="n">
        <v>0</v>
      </c>
      <c r="V30" t="n">
        <v>8.19</v>
      </c>
      <c r="W30" t="n">
        <v>171.99</v>
      </c>
      <c r="X30" t="n">
        <v>163.8</v>
      </c>
      <c r="Y30" t="n">
        <v>19</v>
      </c>
      <c r="Z30" t="n">
        <v>31.12</v>
      </c>
      <c r="AA30" t="n">
        <v>3.16</v>
      </c>
      <c r="AB30" t="n">
        <v>34.28</v>
      </c>
      <c r="AC30" t="n">
        <v>6.17</v>
      </c>
      <c r="AD30" t="n">
        <v>0</v>
      </c>
      <c r="AE30" t="n">
        <v>163.8</v>
      </c>
      <c r="AF30" t="n">
        <v>0</v>
      </c>
      <c r="AG30" t="n">
        <v>0</v>
      </c>
      <c r="AH30" t="n">
        <v>0.16</v>
      </c>
      <c r="AI30" t="n">
        <v>8.199999999999999</v>
      </c>
      <c r="AJ30" t="n">
        <v>-0.01</v>
      </c>
      <c r="AK30" t="n">
        <v>14.53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48.81</v>
      </c>
      <c r="AV30" t="n">
        <v>0</v>
      </c>
      <c r="AW30" t="n">
        <v>123.18</v>
      </c>
      <c r="AX30" t="inlineStr">
        <is>
          <t>pending</t>
        </is>
      </c>
      <c r="AY30" t="inlineStr">
        <is>
          <t>NA</t>
        </is>
      </c>
      <c r="AZ30" t="inlineStr">
        <is>
          <t>NA</t>
        </is>
      </c>
      <c r="BA30" t="n">
        <v>123.18</v>
      </c>
      <c r="BB30" t="inlineStr">
        <is>
          <t>ad7caae10287517557d4978be3e89274a6633dbf1c6d14d03e199d502deb00c8</t>
        </is>
      </c>
    </row>
    <row r="31">
      <c r="A31" t="inlineStr">
        <is>
          <t>26</t>
        </is>
      </c>
      <c r="B31" t="inlineStr">
        <is>
          <t>7733082761</t>
        </is>
      </c>
      <c r="C31" t="inlineStr">
        <is>
          <t>2026-01-26 22:03:35</t>
        </is>
      </c>
      <c r="D31" t="inlineStr">
        <is>
          <t>5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30% off upto ₹75 (2025-06-25 - 2031-01-01)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2039</v>
      </c>
      <c r="P31" t="n">
        <v>3.5</v>
      </c>
      <c r="Q31" t="n">
        <v>0</v>
      </c>
      <c r="R31" t="n">
        <v>75</v>
      </c>
      <c r="S31" t="n">
        <v>0</v>
      </c>
      <c r="T31" t="n">
        <v>0</v>
      </c>
      <c r="U31" t="n">
        <v>0</v>
      </c>
      <c r="V31" t="n">
        <v>98.38</v>
      </c>
      <c r="W31" t="n">
        <v>2065.88</v>
      </c>
      <c r="X31" t="n">
        <v>1967.5</v>
      </c>
      <c r="Y31" t="n">
        <v>19</v>
      </c>
      <c r="Z31" t="n">
        <v>373.82</v>
      </c>
      <c r="AA31" t="n">
        <v>38.01</v>
      </c>
      <c r="AB31" t="n">
        <v>411.83</v>
      </c>
      <c r="AC31" t="n">
        <v>74.13</v>
      </c>
      <c r="AD31" t="n">
        <v>0</v>
      </c>
      <c r="AE31" t="n">
        <v>1967.5</v>
      </c>
      <c r="AF31" t="n">
        <v>0</v>
      </c>
      <c r="AG31" t="n">
        <v>0</v>
      </c>
      <c r="AH31" t="n">
        <v>1.97</v>
      </c>
      <c r="AI31" t="n">
        <v>98.37</v>
      </c>
      <c r="AJ31" t="n">
        <v>0.01</v>
      </c>
      <c r="AK31" t="n">
        <v>174.47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586.3</v>
      </c>
      <c r="AV31" t="n">
        <v>0</v>
      </c>
      <c r="AW31" t="n">
        <v>1479.58</v>
      </c>
      <c r="AX31" t="inlineStr">
        <is>
          <t>pending</t>
        </is>
      </c>
      <c r="AY31" t="inlineStr">
        <is>
          <t>NA</t>
        </is>
      </c>
      <c r="AZ31" t="inlineStr">
        <is>
          <t>NA</t>
        </is>
      </c>
      <c r="BA31" t="n">
        <v>1479.58</v>
      </c>
      <c r="BB31" t="inlineStr">
        <is>
          <t>9f31747656544718767f3f74cbb9d52685da97d0cf124bf33a4a21fdd7448648</t>
        </is>
      </c>
    </row>
    <row r="32">
      <c r="A32" t="inlineStr">
        <is>
          <t>27</t>
        </is>
      </c>
      <c r="B32" t="inlineStr">
        <is>
          <t>7733346158</t>
        </is>
      </c>
      <c r="C32" t="inlineStr">
        <is>
          <t>2026-01-26 22:06:16</t>
        </is>
      </c>
      <c r="D32" t="inlineStr">
        <is>
          <t>5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219</v>
      </c>
      <c r="P32" t="n">
        <v>3.5</v>
      </c>
      <c r="Q32" t="n">
        <v>0</v>
      </c>
      <c r="R32" t="n">
        <v>65.7</v>
      </c>
      <c r="S32" t="n">
        <v>0</v>
      </c>
      <c r="T32" t="n">
        <v>0</v>
      </c>
      <c r="U32" t="n">
        <v>0</v>
      </c>
      <c r="V32" t="n">
        <v>7.84</v>
      </c>
      <c r="W32" t="n">
        <v>164.64</v>
      </c>
      <c r="X32" t="n">
        <v>156.8</v>
      </c>
      <c r="Y32" t="n">
        <v>19</v>
      </c>
      <c r="Z32" t="n">
        <v>29.79</v>
      </c>
      <c r="AA32" t="n">
        <v>3.03</v>
      </c>
      <c r="AB32" t="n">
        <v>32.82</v>
      </c>
      <c r="AC32" t="n">
        <v>5.91</v>
      </c>
      <c r="AD32" t="n">
        <v>0</v>
      </c>
      <c r="AE32" t="n">
        <v>156.8</v>
      </c>
      <c r="AF32" t="n">
        <v>0</v>
      </c>
      <c r="AG32" t="n">
        <v>0</v>
      </c>
      <c r="AH32" t="n">
        <v>0.16</v>
      </c>
      <c r="AI32" t="n">
        <v>7.85</v>
      </c>
      <c r="AJ32" t="n">
        <v>-0.01</v>
      </c>
      <c r="AK32" t="n">
        <v>13.92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46.74</v>
      </c>
      <c r="AV32" t="n">
        <v>0</v>
      </c>
      <c r="AW32" t="n">
        <v>117.9</v>
      </c>
      <c r="AX32" t="inlineStr">
        <is>
          <t>pending</t>
        </is>
      </c>
      <c r="AY32" t="inlineStr">
        <is>
          <t>NA</t>
        </is>
      </c>
      <c r="AZ32" t="inlineStr">
        <is>
          <t>NA</t>
        </is>
      </c>
      <c r="BA32" t="n">
        <v>117.9</v>
      </c>
      <c r="BB32" t="inlineStr">
        <is>
          <t>61616b318c01636f51bc63184ecf821340df8facfded3025fd693deef2951a54</t>
        </is>
      </c>
    </row>
    <row r="33">
      <c r="A33" t="inlineStr">
        <is>
          <t>28</t>
        </is>
      </c>
      <c r="B33" t="inlineStr">
        <is>
          <t>7730880132</t>
        </is>
      </c>
      <c r="C33" t="inlineStr">
        <is>
          <t>2026-01-26 22:46:28</t>
        </is>
      </c>
      <c r="D33" t="inlineStr">
        <is>
          <t>5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30% off upto ₹75 (2025-06-25 - 2031-01-01)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229</v>
      </c>
      <c r="P33" t="n">
        <v>3.5</v>
      </c>
      <c r="Q33" t="n">
        <v>0</v>
      </c>
      <c r="R33" t="n">
        <v>68.7</v>
      </c>
      <c r="S33" t="n">
        <v>0</v>
      </c>
      <c r="T33" t="n">
        <v>0</v>
      </c>
      <c r="U33" t="n">
        <v>0</v>
      </c>
      <c r="V33" t="n">
        <v>8.19</v>
      </c>
      <c r="W33" t="n">
        <v>171.99</v>
      </c>
      <c r="X33" t="n">
        <v>163.8</v>
      </c>
      <c r="Y33" t="n">
        <v>19</v>
      </c>
      <c r="Z33" t="n">
        <v>31.12</v>
      </c>
      <c r="AA33" t="n">
        <v>3.16</v>
      </c>
      <c r="AB33" t="n">
        <v>34.28</v>
      </c>
      <c r="AC33" t="n">
        <v>6.17</v>
      </c>
      <c r="AD33" t="n">
        <v>0</v>
      </c>
      <c r="AE33" t="n">
        <v>163.8</v>
      </c>
      <c r="AF33" t="n">
        <v>0</v>
      </c>
      <c r="AG33" t="n">
        <v>0</v>
      </c>
      <c r="AH33" t="n">
        <v>0.16</v>
      </c>
      <c r="AI33" t="n">
        <v>8.199999999999999</v>
      </c>
      <c r="AJ33" t="n">
        <v>-0.01</v>
      </c>
      <c r="AK33" t="n">
        <v>14.53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48.81</v>
      </c>
      <c r="AV33" t="n">
        <v>0</v>
      </c>
      <c r="AW33" t="n">
        <v>123.18</v>
      </c>
      <c r="AX33" t="inlineStr">
        <is>
          <t>pending</t>
        </is>
      </c>
      <c r="AY33" t="inlineStr">
        <is>
          <t>NA</t>
        </is>
      </c>
      <c r="AZ33" t="inlineStr">
        <is>
          <t>NA</t>
        </is>
      </c>
      <c r="BA33" t="n">
        <v>123.18</v>
      </c>
      <c r="BB33" t="inlineStr">
        <is>
          <t>bab68c8f0d7af61a282b7d83572c3636e521f7fb4677ea6b98416cfe70f76d96</t>
        </is>
      </c>
    </row>
    <row r="34">
      <c r="A34" t="inlineStr">
        <is>
          <t>29</t>
        </is>
      </c>
      <c r="B34" t="inlineStr">
        <is>
          <t>7719367521</t>
        </is>
      </c>
      <c r="C34" t="inlineStr">
        <is>
          <t>2026-01-26 23:05:43</t>
        </is>
      </c>
      <c r="D34" t="inlineStr">
        <is>
          <t>5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Flat ₹125 off (2026-01-26 - 2031-01-01)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587</v>
      </c>
      <c r="P34" t="n">
        <v>3.5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29.53</v>
      </c>
      <c r="W34" t="n">
        <v>620.03</v>
      </c>
      <c r="X34" t="n">
        <v>590.5</v>
      </c>
      <c r="Y34" t="n">
        <v>19</v>
      </c>
      <c r="Z34" t="n">
        <v>112.2</v>
      </c>
      <c r="AA34" t="n">
        <v>11.41</v>
      </c>
      <c r="AB34" t="n">
        <v>123.61</v>
      </c>
      <c r="AC34" t="n">
        <v>22.25</v>
      </c>
      <c r="AD34" t="n">
        <v>0</v>
      </c>
      <c r="AE34" t="n">
        <v>590.5</v>
      </c>
      <c r="AF34" t="n">
        <v>0</v>
      </c>
      <c r="AG34" t="n">
        <v>0</v>
      </c>
      <c r="AH34" t="n">
        <v>0.59</v>
      </c>
      <c r="AI34" t="n">
        <v>29.53</v>
      </c>
      <c r="AJ34" t="n">
        <v>0</v>
      </c>
      <c r="AK34" t="n">
        <v>52.37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175.98</v>
      </c>
      <c r="AV34" t="n">
        <v>0</v>
      </c>
      <c r="AW34" t="n">
        <v>444.05</v>
      </c>
      <c r="AX34" t="inlineStr">
        <is>
          <t>pending</t>
        </is>
      </c>
      <c r="AY34" t="inlineStr">
        <is>
          <t>NA</t>
        </is>
      </c>
      <c r="AZ34" t="inlineStr">
        <is>
          <t>NA</t>
        </is>
      </c>
      <c r="BA34" t="n">
        <v>444.05</v>
      </c>
      <c r="BB34" t="inlineStr">
        <is>
          <t>0daad1223233568329385ff575f46b3e637742420ce1d228193458eef624be3e</t>
        </is>
      </c>
    </row>
    <row r="35">
      <c r="A35" t="inlineStr">
        <is>
          <t>30</t>
        </is>
      </c>
      <c r="B35" t="inlineStr">
        <is>
          <t>7733231759</t>
        </is>
      </c>
      <c r="C35" t="inlineStr">
        <is>
          <t>2026-01-26 23:13:22</t>
        </is>
      </c>
      <c r="D35" t="inlineStr">
        <is>
          <t>5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Flat ₹125 off (2026-01-26 - 2026-01-26)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458</v>
      </c>
      <c r="P35" t="n">
        <v>3.5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23.08</v>
      </c>
      <c r="W35" t="n">
        <v>484.58</v>
      </c>
      <c r="X35" t="n">
        <v>461.5</v>
      </c>
      <c r="Y35" t="n">
        <v>19</v>
      </c>
      <c r="Z35" t="n">
        <v>87.68000000000001</v>
      </c>
      <c r="AA35" t="n">
        <v>8.92</v>
      </c>
      <c r="AB35" t="n">
        <v>96.59999999999999</v>
      </c>
      <c r="AC35" t="n">
        <v>17.39</v>
      </c>
      <c r="AD35" t="n">
        <v>0</v>
      </c>
      <c r="AE35" t="n">
        <v>461.5</v>
      </c>
      <c r="AF35" t="n">
        <v>0</v>
      </c>
      <c r="AG35" t="n">
        <v>0</v>
      </c>
      <c r="AH35" t="n">
        <v>0.46</v>
      </c>
      <c r="AI35" t="n">
        <v>23.08</v>
      </c>
      <c r="AJ35" t="n">
        <v>0</v>
      </c>
      <c r="AK35" t="n">
        <v>40.93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137.53</v>
      </c>
      <c r="AV35" t="n">
        <v>0</v>
      </c>
      <c r="AW35" t="n">
        <v>347.05</v>
      </c>
      <c r="AX35" t="inlineStr">
        <is>
          <t>pending</t>
        </is>
      </c>
      <c r="AY35" t="inlineStr">
        <is>
          <t>NA</t>
        </is>
      </c>
      <c r="AZ35" t="inlineStr">
        <is>
          <t>NA</t>
        </is>
      </c>
      <c r="BA35" t="n">
        <v>347.05</v>
      </c>
      <c r="BB35" t="inlineStr">
        <is>
          <t>323d9b7e37384a900044e49374f2506ee24b901cf92c69b0567aced29bcc056d</t>
        </is>
      </c>
    </row>
    <row r="36">
      <c r="A36" t="inlineStr">
        <is>
          <t>31</t>
        </is>
      </c>
      <c r="B36" t="inlineStr">
        <is>
          <t>7728244892</t>
        </is>
      </c>
      <c r="C36" t="inlineStr">
        <is>
          <t>2026-01-26 23:52:01</t>
        </is>
      </c>
      <c r="D36" t="inlineStr">
        <is>
          <t>5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229</v>
      </c>
      <c r="P36" t="n">
        <v>3.5</v>
      </c>
      <c r="Q36" t="n">
        <v>0</v>
      </c>
      <c r="R36" t="n">
        <v>68.7</v>
      </c>
      <c r="S36" t="n">
        <v>0</v>
      </c>
      <c r="T36" t="n">
        <v>0</v>
      </c>
      <c r="U36" t="n">
        <v>0</v>
      </c>
      <c r="V36" t="n">
        <v>8.19</v>
      </c>
      <c r="W36" t="n">
        <v>171.99</v>
      </c>
      <c r="X36" t="n">
        <v>163.8</v>
      </c>
      <c r="Y36" t="n">
        <v>19</v>
      </c>
      <c r="Z36" t="n">
        <v>31.12</v>
      </c>
      <c r="AA36" t="n">
        <v>3.16</v>
      </c>
      <c r="AB36" t="n">
        <v>34.28</v>
      </c>
      <c r="AC36" t="n">
        <v>6.17</v>
      </c>
      <c r="AD36" t="n">
        <v>0</v>
      </c>
      <c r="AE36" t="n">
        <v>163.8</v>
      </c>
      <c r="AF36" t="n">
        <v>0</v>
      </c>
      <c r="AG36" t="n">
        <v>0</v>
      </c>
      <c r="AH36" t="n">
        <v>0.16</v>
      </c>
      <c r="AI36" t="n">
        <v>8.199999999999999</v>
      </c>
      <c r="AJ36" t="n">
        <v>-0.01</v>
      </c>
      <c r="AK36" t="n">
        <v>14.53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48.81</v>
      </c>
      <c r="AV36" t="n">
        <v>0</v>
      </c>
      <c r="AW36" t="n">
        <v>123.18</v>
      </c>
      <c r="AX36" t="inlineStr">
        <is>
          <t>pending</t>
        </is>
      </c>
      <c r="AY36" t="inlineStr">
        <is>
          <t>NA</t>
        </is>
      </c>
      <c r="AZ36" t="inlineStr">
        <is>
          <t>NA</t>
        </is>
      </c>
      <c r="BA36" t="n">
        <v>123.18</v>
      </c>
      <c r="BB36" t="inlineStr">
        <is>
          <t>c51867ec8a67a99131fc7a088fafe504b2179f3b0c3e7a9d571b4e61d64b2fde</t>
        </is>
      </c>
    </row>
    <row r="37">
      <c r="A37" t="inlineStr">
        <is>
          <t>32</t>
        </is>
      </c>
      <c r="B37" t="inlineStr">
        <is>
          <t>7732276324</t>
        </is>
      </c>
      <c r="C37" t="inlineStr">
        <is>
          <t>2026-01-27 00:16:37</t>
        </is>
      </c>
      <c r="D37" t="inlineStr">
        <is>
          <t>5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229</v>
      </c>
      <c r="P37" t="n">
        <v>3.5</v>
      </c>
      <c r="Q37" t="n">
        <v>0</v>
      </c>
      <c r="R37" t="n">
        <v>68.7</v>
      </c>
      <c r="S37" t="n">
        <v>0</v>
      </c>
      <c r="T37" t="n">
        <v>0</v>
      </c>
      <c r="U37" t="n">
        <v>0</v>
      </c>
      <c r="V37" t="n">
        <v>8.19</v>
      </c>
      <c r="W37" t="n">
        <v>171.99</v>
      </c>
      <c r="X37" t="n">
        <v>163.8</v>
      </c>
      <c r="Y37" t="n">
        <v>19</v>
      </c>
      <c r="Z37" t="n">
        <v>31.12</v>
      </c>
      <c r="AA37" t="n">
        <v>3.16</v>
      </c>
      <c r="AB37" t="n">
        <v>34.28</v>
      </c>
      <c r="AC37" t="n">
        <v>6.17</v>
      </c>
      <c r="AD37" t="n">
        <v>0</v>
      </c>
      <c r="AE37" t="n">
        <v>163.8</v>
      </c>
      <c r="AF37" t="n">
        <v>0</v>
      </c>
      <c r="AG37" t="n">
        <v>0</v>
      </c>
      <c r="AH37" t="n">
        <v>0.16</v>
      </c>
      <c r="AI37" t="n">
        <v>8.199999999999999</v>
      </c>
      <c r="AJ37" t="n">
        <v>-0.01</v>
      </c>
      <c r="AK37" t="n">
        <v>14.53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48.81</v>
      </c>
      <c r="AV37" t="n">
        <v>0</v>
      </c>
      <c r="AW37" t="n">
        <v>123.18</v>
      </c>
      <c r="AX37" t="inlineStr">
        <is>
          <t>pending</t>
        </is>
      </c>
      <c r="AY37" t="inlineStr">
        <is>
          <t>NA</t>
        </is>
      </c>
      <c r="AZ37" t="inlineStr">
        <is>
          <t>NA</t>
        </is>
      </c>
      <c r="BA37" t="n">
        <v>123.18</v>
      </c>
      <c r="BB37" t="inlineStr">
        <is>
          <t>e6fb063f6384290537b8442634a328d929249021df0582e777086ef25021b9e9</t>
        </is>
      </c>
    </row>
    <row r="38">
      <c r="A38" t="inlineStr">
        <is>
          <t>33</t>
        </is>
      </c>
      <c r="B38" t="inlineStr">
        <is>
          <t>7729800800</t>
        </is>
      </c>
      <c r="C38" t="inlineStr">
        <is>
          <t>2026-01-27 00:29:22</t>
        </is>
      </c>
      <c r="D38" t="inlineStr">
        <is>
          <t>5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229</v>
      </c>
      <c r="P38" t="n">
        <v>3.5</v>
      </c>
      <c r="Q38" t="n">
        <v>0</v>
      </c>
      <c r="R38" t="n">
        <v>68.7</v>
      </c>
      <c r="S38" t="n">
        <v>0</v>
      </c>
      <c r="T38" t="n">
        <v>0</v>
      </c>
      <c r="U38" t="n">
        <v>0</v>
      </c>
      <c r="V38" t="n">
        <v>8.19</v>
      </c>
      <c r="W38" t="n">
        <v>171.99</v>
      </c>
      <c r="X38" t="n">
        <v>163.8</v>
      </c>
      <c r="Y38" t="n">
        <v>19</v>
      </c>
      <c r="Z38" t="n">
        <v>31.12</v>
      </c>
      <c r="AA38" t="n">
        <v>3.16</v>
      </c>
      <c r="AB38" t="n">
        <v>34.28</v>
      </c>
      <c r="AC38" t="n">
        <v>6.17</v>
      </c>
      <c r="AD38" t="n">
        <v>0</v>
      </c>
      <c r="AE38" t="n">
        <v>163.8</v>
      </c>
      <c r="AF38" t="n">
        <v>0</v>
      </c>
      <c r="AG38" t="n">
        <v>0</v>
      </c>
      <c r="AH38" t="n">
        <v>0.16</v>
      </c>
      <c r="AI38" t="n">
        <v>8.199999999999999</v>
      </c>
      <c r="AJ38" t="n">
        <v>-0.01</v>
      </c>
      <c r="AK38" t="n">
        <v>14.53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48.81</v>
      </c>
      <c r="AV38" t="n">
        <v>0</v>
      </c>
      <c r="AW38" t="n">
        <v>123.18</v>
      </c>
      <c r="AX38" t="inlineStr">
        <is>
          <t>pending</t>
        </is>
      </c>
      <c r="AY38" t="inlineStr">
        <is>
          <t>NA</t>
        </is>
      </c>
      <c r="AZ38" t="inlineStr">
        <is>
          <t>NA</t>
        </is>
      </c>
      <c r="BA38" t="n">
        <v>123.18</v>
      </c>
      <c r="BB38" t="inlineStr">
        <is>
          <t>769dd5cb5425083d5a0612c7b9d61a8525f20df53d29308e43f82a6e0bae4475</t>
        </is>
      </c>
    </row>
    <row r="39">
      <c r="A39" t="inlineStr">
        <is>
          <t>34</t>
        </is>
      </c>
      <c r="B39" t="inlineStr">
        <is>
          <t>7725281443</t>
        </is>
      </c>
      <c r="C39" t="inlineStr">
        <is>
          <t>2026-01-27 00:47:16</t>
        </is>
      </c>
      <c r="D39" t="inlineStr">
        <is>
          <t>5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pending</t>
        </is>
      </c>
      <c r="AY39" t="inlineStr">
        <is>
          <t>NA</t>
        </is>
      </c>
      <c r="AZ39" t="inlineStr">
        <is>
          <t>NA</t>
        </is>
      </c>
      <c r="BA39" t="n">
        <v>123.18</v>
      </c>
      <c r="BB39" t="inlineStr">
        <is>
          <t>a1949b2b3697426151581d6d1cf55e46dcc4a4479f63a994d6321a7e42eb5f24</t>
        </is>
      </c>
    </row>
    <row r="40">
      <c r="A40" t="inlineStr">
        <is>
          <t>35</t>
        </is>
      </c>
      <c r="B40" t="inlineStr">
        <is>
          <t>7724776857</t>
        </is>
      </c>
      <c r="C40" t="inlineStr">
        <is>
          <t>2026-01-27 01:56:58</t>
        </is>
      </c>
      <c r="D40" t="inlineStr">
        <is>
          <t>5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229</v>
      </c>
      <c r="P40" t="n">
        <v>3.5</v>
      </c>
      <c r="Q40" t="n">
        <v>0</v>
      </c>
      <c r="R40" t="n">
        <v>68.7</v>
      </c>
      <c r="S40" t="n">
        <v>0</v>
      </c>
      <c r="T40" t="n">
        <v>0</v>
      </c>
      <c r="U40" t="n">
        <v>0</v>
      </c>
      <c r="V40" t="n">
        <v>8.19</v>
      </c>
      <c r="W40" t="n">
        <v>171.99</v>
      </c>
      <c r="X40" t="n">
        <v>163.8</v>
      </c>
      <c r="Y40" t="n">
        <v>19</v>
      </c>
      <c r="Z40" t="n">
        <v>31.12</v>
      </c>
      <c r="AA40" t="n">
        <v>3.16</v>
      </c>
      <c r="AB40" t="n">
        <v>34.28</v>
      </c>
      <c r="AC40" t="n">
        <v>6.17</v>
      </c>
      <c r="AD40" t="n">
        <v>0</v>
      </c>
      <c r="AE40" t="n">
        <v>163.8</v>
      </c>
      <c r="AF40" t="n">
        <v>0</v>
      </c>
      <c r="AG40" t="n">
        <v>0</v>
      </c>
      <c r="AH40" t="n">
        <v>0.16</v>
      </c>
      <c r="AI40" t="n">
        <v>8.199999999999999</v>
      </c>
      <c r="AJ40" t="n">
        <v>-0.01</v>
      </c>
      <c r="AK40" t="n">
        <v>14.53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48.81</v>
      </c>
      <c r="AV40" t="n">
        <v>0</v>
      </c>
      <c r="AW40" t="n">
        <v>123.18</v>
      </c>
      <c r="AX40" t="inlineStr">
        <is>
          <t>pending</t>
        </is>
      </c>
      <c r="AY40" t="inlineStr">
        <is>
          <t>NA</t>
        </is>
      </c>
      <c r="AZ40" t="inlineStr">
        <is>
          <t>NA</t>
        </is>
      </c>
      <c r="BA40" t="n">
        <v>123.18</v>
      </c>
      <c r="BB40" t="inlineStr">
        <is>
          <t>e3f56a4df17004ece857486cba7ca0e44788ea03836b95fa6260b021e1b5233e</t>
        </is>
      </c>
    </row>
    <row r="41">
      <c r="A41" t="inlineStr">
        <is>
          <t>36</t>
        </is>
      </c>
      <c r="B41" t="inlineStr">
        <is>
          <t>7730087978</t>
        </is>
      </c>
      <c r="C41" t="inlineStr">
        <is>
          <t>2026-01-27 11:51:16</t>
        </is>
      </c>
      <c r="D41" t="inlineStr">
        <is>
          <t>5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229</v>
      </c>
      <c r="P41" t="n">
        <v>3.5</v>
      </c>
      <c r="Q41" t="n">
        <v>0</v>
      </c>
      <c r="R41" t="n">
        <v>68.7</v>
      </c>
      <c r="S41" t="n">
        <v>0</v>
      </c>
      <c r="T41" t="n">
        <v>0</v>
      </c>
      <c r="U41" t="n">
        <v>0</v>
      </c>
      <c r="V41" t="n">
        <v>8.19</v>
      </c>
      <c r="W41" t="n">
        <v>171.99</v>
      </c>
      <c r="X41" t="n">
        <v>163.8</v>
      </c>
      <c r="Y41" t="n">
        <v>19</v>
      </c>
      <c r="Z41" t="n">
        <v>31.12</v>
      </c>
      <c r="AA41" t="n">
        <v>3.16</v>
      </c>
      <c r="AB41" t="n">
        <v>34.28</v>
      </c>
      <c r="AC41" t="n">
        <v>6.17</v>
      </c>
      <c r="AD41" t="n">
        <v>0</v>
      </c>
      <c r="AE41" t="n">
        <v>163.8</v>
      </c>
      <c r="AF41" t="n">
        <v>0</v>
      </c>
      <c r="AG41" t="n">
        <v>0</v>
      </c>
      <c r="AH41" t="n">
        <v>0.16</v>
      </c>
      <c r="AI41" t="n">
        <v>8.199999999999999</v>
      </c>
      <c r="AJ41" t="n">
        <v>-0.01</v>
      </c>
      <c r="AK41" t="n">
        <v>14.53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48.81</v>
      </c>
      <c r="AV41" t="n">
        <v>0</v>
      </c>
      <c r="AW41" t="n">
        <v>123.18</v>
      </c>
      <c r="AX41" t="inlineStr">
        <is>
          <t>pending</t>
        </is>
      </c>
      <c r="AY41" t="inlineStr">
        <is>
          <t>NA</t>
        </is>
      </c>
      <c r="AZ41" t="inlineStr">
        <is>
          <t>NA</t>
        </is>
      </c>
      <c r="BA41" t="n">
        <v>123.18</v>
      </c>
      <c r="BB41" t="inlineStr">
        <is>
          <t>572d618afa83979bda309936027f9dc2aee0c124acbccd493219f2eff4647054</t>
        </is>
      </c>
    </row>
    <row r="42">
      <c r="A42" t="inlineStr">
        <is>
          <t>37</t>
        </is>
      </c>
      <c r="B42" t="inlineStr">
        <is>
          <t>7729572494</t>
        </is>
      </c>
      <c r="C42" t="inlineStr">
        <is>
          <t>2026-01-27 12:26:29</t>
        </is>
      </c>
      <c r="D42" t="inlineStr">
        <is>
          <t>5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458</v>
      </c>
      <c r="P42" t="n">
        <v>3.5</v>
      </c>
      <c r="Q42" t="n">
        <v>0</v>
      </c>
      <c r="R42" t="n">
        <v>75</v>
      </c>
      <c r="S42" t="n">
        <v>0</v>
      </c>
      <c r="T42" t="n">
        <v>0</v>
      </c>
      <c r="U42" t="n">
        <v>0</v>
      </c>
      <c r="V42" t="n">
        <v>19.33</v>
      </c>
      <c r="W42" t="n">
        <v>405.83</v>
      </c>
      <c r="X42" t="n">
        <v>386.5</v>
      </c>
      <c r="Y42" t="n">
        <v>19</v>
      </c>
      <c r="Z42" t="n">
        <v>73.44</v>
      </c>
      <c r="AA42" t="n">
        <v>7.47</v>
      </c>
      <c r="AB42" t="n">
        <v>80.91</v>
      </c>
      <c r="AC42" t="n">
        <v>14.56</v>
      </c>
      <c r="AD42" t="n">
        <v>0</v>
      </c>
      <c r="AE42" t="n">
        <v>386.5</v>
      </c>
      <c r="AF42" t="n">
        <v>0</v>
      </c>
      <c r="AG42" t="n">
        <v>0</v>
      </c>
      <c r="AH42" t="n">
        <v>0.39</v>
      </c>
      <c r="AI42" t="n">
        <v>19.33</v>
      </c>
      <c r="AJ42" t="n">
        <v>0</v>
      </c>
      <c r="AK42" t="n">
        <v>34.28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115.19</v>
      </c>
      <c r="AV42" t="n">
        <v>0</v>
      </c>
      <c r="AW42" t="n">
        <v>290.64</v>
      </c>
      <c r="AX42" t="inlineStr">
        <is>
          <t>pending</t>
        </is>
      </c>
      <c r="AY42" t="inlineStr">
        <is>
          <t>NA</t>
        </is>
      </c>
      <c r="AZ42" t="inlineStr">
        <is>
          <t>NA</t>
        </is>
      </c>
      <c r="BA42" t="n">
        <v>290.64</v>
      </c>
      <c r="BB42" t="inlineStr">
        <is>
          <t>bac51526e550a0bfcf7445992de5e3096284ee65aa709273276baed1ee8d5462</t>
        </is>
      </c>
    </row>
    <row r="43">
      <c r="A43" t="inlineStr">
        <is>
          <t>38</t>
        </is>
      </c>
      <c r="B43" t="inlineStr">
        <is>
          <t>7728168805</t>
        </is>
      </c>
      <c r="C43" t="inlineStr">
        <is>
          <t>2026-01-27 12:30:01</t>
        </is>
      </c>
      <c r="D43" t="inlineStr">
        <is>
          <t>5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NA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229</v>
      </c>
      <c r="P43" t="n">
        <v>3.5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11.63</v>
      </c>
      <c r="W43" t="n">
        <v>244.13</v>
      </c>
      <c r="X43" t="n">
        <v>232.5</v>
      </c>
      <c r="Y43" t="n">
        <v>19</v>
      </c>
      <c r="Z43" t="n">
        <v>44.18</v>
      </c>
      <c r="AA43" t="n">
        <v>4.49</v>
      </c>
      <c r="AB43" t="n">
        <v>48.67</v>
      </c>
      <c r="AC43" t="n">
        <v>8.76</v>
      </c>
      <c r="AD43" t="n">
        <v>0</v>
      </c>
      <c r="AE43" t="n">
        <v>232.5</v>
      </c>
      <c r="AF43" t="n">
        <v>0</v>
      </c>
      <c r="AG43" t="n">
        <v>0</v>
      </c>
      <c r="AH43" t="n">
        <v>0.23</v>
      </c>
      <c r="AI43" t="n">
        <v>11.63</v>
      </c>
      <c r="AJ43" t="n">
        <v>0</v>
      </c>
      <c r="AK43" t="n">
        <v>20.62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69.29000000000001</v>
      </c>
      <c r="AV43" t="n">
        <v>0</v>
      </c>
      <c r="AW43" t="n">
        <v>174.84</v>
      </c>
      <c r="AX43" t="inlineStr">
        <is>
          <t>pending</t>
        </is>
      </c>
      <c r="AY43" t="inlineStr">
        <is>
          <t>NA</t>
        </is>
      </c>
      <c r="AZ43" t="inlineStr">
        <is>
          <t>NA</t>
        </is>
      </c>
      <c r="BA43" t="n">
        <v>174.84</v>
      </c>
      <c r="BB43" t="inlineStr">
        <is>
          <t>b588d66b55c3a3d0b5ab3c0c0bd79aea668066f73da275e26c18b79488782c40</t>
        </is>
      </c>
    </row>
    <row r="44">
      <c r="A44" t="inlineStr">
        <is>
          <t>39</t>
        </is>
      </c>
      <c r="B44" t="inlineStr">
        <is>
          <t>7730621790</t>
        </is>
      </c>
      <c r="C44" t="inlineStr">
        <is>
          <t>2026-01-27 12:58:27</t>
        </is>
      </c>
      <c r="D44" t="inlineStr">
        <is>
          <t>5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229</v>
      </c>
      <c r="P44" t="n">
        <v>3.5</v>
      </c>
      <c r="Q44" t="n">
        <v>0</v>
      </c>
      <c r="R44" t="n">
        <v>68.7</v>
      </c>
      <c r="S44" t="n">
        <v>0</v>
      </c>
      <c r="T44" t="n">
        <v>0</v>
      </c>
      <c r="U44" t="n">
        <v>0</v>
      </c>
      <c r="V44" t="n">
        <v>8.19</v>
      </c>
      <c r="W44" t="n">
        <v>171.99</v>
      </c>
      <c r="X44" t="n">
        <v>163.8</v>
      </c>
      <c r="Y44" t="n">
        <v>19</v>
      </c>
      <c r="Z44" t="n">
        <v>31.12</v>
      </c>
      <c r="AA44" t="n">
        <v>3.16</v>
      </c>
      <c r="AB44" t="n">
        <v>34.28</v>
      </c>
      <c r="AC44" t="n">
        <v>6.17</v>
      </c>
      <c r="AD44" t="n">
        <v>0</v>
      </c>
      <c r="AE44" t="n">
        <v>163.8</v>
      </c>
      <c r="AF44" t="n">
        <v>0</v>
      </c>
      <c r="AG44" t="n">
        <v>0</v>
      </c>
      <c r="AH44" t="n">
        <v>0.16</v>
      </c>
      <c r="AI44" t="n">
        <v>8.199999999999999</v>
      </c>
      <c r="AJ44" t="n">
        <v>-0.01</v>
      </c>
      <c r="AK44" t="n">
        <v>14.53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48.81</v>
      </c>
      <c r="AV44" t="n">
        <v>0</v>
      </c>
      <c r="AW44" t="n">
        <v>123.18</v>
      </c>
      <c r="AX44" t="inlineStr">
        <is>
          <t>pending</t>
        </is>
      </c>
      <c r="AY44" t="inlineStr">
        <is>
          <t>NA</t>
        </is>
      </c>
      <c r="AZ44" t="inlineStr">
        <is>
          <t>NA</t>
        </is>
      </c>
      <c r="BA44" t="n">
        <v>123.18</v>
      </c>
      <c r="BB44" t="inlineStr">
        <is>
          <t>4bc59a7b91051bd45715d4c6c383b5635eed7ed966b586e2812e835cb647b359</t>
        </is>
      </c>
    </row>
    <row r="45">
      <c r="A45" t="inlineStr">
        <is>
          <t>40</t>
        </is>
      </c>
      <c r="B45" t="inlineStr">
        <is>
          <t>7730492680</t>
        </is>
      </c>
      <c r="C45" t="inlineStr">
        <is>
          <t>2026-01-27 13:28:47</t>
        </is>
      </c>
      <c r="D45" t="inlineStr">
        <is>
          <t>5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Winback Coupon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448</v>
      </c>
      <c r="P45" t="n">
        <v>3.5</v>
      </c>
      <c r="Q45" t="n">
        <v>0</v>
      </c>
      <c r="R45" t="n">
        <v>0</v>
      </c>
      <c r="S45" t="n">
        <v>102</v>
      </c>
      <c r="T45" t="n">
        <v>0</v>
      </c>
      <c r="U45" t="n">
        <v>0</v>
      </c>
      <c r="V45" t="n">
        <v>17.48</v>
      </c>
      <c r="W45" t="n">
        <v>366.98</v>
      </c>
      <c r="X45" t="n">
        <v>349.5</v>
      </c>
      <c r="Y45" t="n">
        <v>19</v>
      </c>
      <c r="Z45" t="n">
        <v>66.40000000000001</v>
      </c>
      <c r="AA45" t="n">
        <v>6.75</v>
      </c>
      <c r="AB45" t="n">
        <v>73.15000000000001</v>
      </c>
      <c r="AC45" t="n">
        <v>13.17</v>
      </c>
      <c r="AD45" t="n">
        <v>0</v>
      </c>
      <c r="AE45" t="n">
        <v>349.5</v>
      </c>
      <c r="AF45" t="n">
        <v>0</v>
      </c>
      <c r="AG45" t="n">
        <v>0</v>
      </c>
      <c r="AH45" t="n">
        <v>0.35</v>
      </c>
      <c r="AI45" t="n">
        <v>17.48</v>
      </c>
      <c r="AJ45" t="n">
        <v>0</v>
      </c>
      <c r="AK45" t="n">
        <v>31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104.15</v>
      </c>
      <c r="AV45" t="n">
        <v>0</v>
      </c>
      <c r="AW45" t="n">
        <v>262.83</v>
      </c>
      <c r="AX45" t="inlineStr">
        <is>
          <t>pending</t>
        </is>
      </c>
      <c r="AY45" t="inlineStr">
        <is>
          <t>NA</t>
        </is>
      </c>
      <c r="AZ45" t="inlineStr">
        <is>
          <t>NA</t>
        </is>
      </c>
      <c r="BA45" t="n">
        <v>262.83</v>
      </c>
      <c r="BB45" t="inlineStr">
        <is>
          <t>f3959076196a642bd7745e07253d7dba59503d0201f2704d06618f2cee92d92f</t>
        </is>
      </c>
    </row>
    <row r="46">
      <c r="A46" t="inlineStr">
        <is>
          <t>41</t>
        </is>
      </c>
      <c r="B46" t="inlineStr">
        <is>
          <t>7721934913</t>
        </is>
      </c>
      <c r="C46" t="inlineStr">
        <is>
          <t>2026-01-27 14:49:20</t>
        </is>
      </c>
      <c r="D46" t="inlineStr">
        <is>
          <t>5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219</v>
      </c>
      <c r="P46" t="n">
        <v>3.5</v>
      </c>
      <c r="Q46" t="n">
        <v>0</v>
      </c>
      <c r="R46" t="n">
        <v>65.7</v>
      </c>
      <c r="S46" t="n">
        <v>0</v>
      </c>
      <c r="T46" t="n">
        <v>0</v>
      </c>
      <c r="U46" t="n">
        <v>0</v>
      </c>
      <c r="V46" t="n">
        <v>7.84</v>
      </c>
      <c r="W46" t="n">
        <v>164.64</v>
      </c>
      <c r="X46" t="n">
        <v>156.8</v>
      </c>
      <c r="Y46" t="n">
        <v>19</v>
      </c>
      <c r="Z46" t="n">
        <v>29.79</v>
      </c>
      <c r="AA46" t="n">
        <v>3.03</v>
      </c>
      <c r="AB46" t="n">
        <v>32.82</v>
      </c>
      <c r="AC46" t="n">
        <v>5.91</v>
      </c>
      <c r="AD46" t="n">
        <v>0</v>
      </c>
      <c r="AE46" t="n">
        <v>156.8</v>
      </c>
      <c r="AF46" t="n">
        <v>0</v>
      </c>
      <c r="AG46" t="n">
        <v>0</v>
      </c>
      <c r="AH46" t="n">
        <v>0.16</v>
      </c>
      <c r="AI46" t="n">
        <v>7.85</v>
      </c>
      <c r="AJ46" t="n">
        <v>-0.01</v>
      </c>
      <c r="AK46" t="n">
        <v>13.92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46.74</v>
      </c>
      <c r="AV46" t="n">
        <v>0</v>
      </c>
      <c r="AW46" t="n">
        <v>117.9</v>
      </c>
      <c r="AX46" t="inlineStr">
        <is>
          <t>pending</t>
        </is>
      </c>
      <c r="AY46" t="inlineStr">
        <is>
          <t>NA</t>
        </is>
      </c>
      <c r="AZ46" t="inlineStr">
        <is>
          <t>NA</t>
        </is>
      </c>
      <c r="BA46" t="n">
        <v>117.9</v>
      </c>
      <c r="BB46" t="inlineStr">
        <is>
          <t>55e6341fbdde05000fe63510931d24845a9b8fdda623ad613a6fbcdeff04a33f</t>
        </is>
      </c>
    </row>
    <row r="47">
      <c r="A47" t="inlineStr">
        <is>
          <t>42</t>
        </is>
      </c>
      <c r="B47" t="inlineStr">
        <is>
          <t>7732620953</t>
        </is>
      </c>
      <c r="C47" t="inlineStr">
        <is>
          <t>2026-01-27 15:20:09</t>
        </is>
      </c>
      <c r="D47" t="inlineStr">
        <is>
          <t>5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458</v>
      </c>
      <c r="P47" t="n">
        <v>3.5</v>
      </c>
      <c r="Q47" t="n">
        <v>0</v>
      </c>
      <c r="R47" t="n">
        <v>75</v>
      </c>
      <c r="S47" t="n">
        <v>0</v>
      </c>
      <c r="T47" t="n">
        <v>0</v>
      </c>
      <c r="U47" t="n">
        <v>0</v>
      </c>
      <c r="V47" t="n">
        <v>19.33</v>
      </c>
      <c r="W47" t="n">
        <v>405.83</v>
      </c>
      <c r="X47" t="n">
        <v>386.5</v>
      </c>
      <c r="Y47" t="n">
        <v>19</v>
      </c>
      <c r="Z47" t="n">
        <v>73.44</v>
      </c>
      <c r="AA47" t="n">
        <v>7.47</v>
      </c>
      <c r="AB47" t="n">
        <v>80.91</v>
      </c>
      <c r="AC47" t="n">
        <v>14.56</v>
      </c>
      <c r="AD47" t="n">
        <v>0</v>
      </c>
      <c r="AE47" t="n">
        <v>386.5</v>
      </c>
      <c r="AF47" t="n">
        <v>0</v>
      </c>
      <c r="AG47" t="n">
        <v>0</v>
      </c>
      <c r="AH47" t="n">
        <v>0.39</v>
      </c>
      <c r="AI47" t="n">
        <v>19.33</v>
      </c>
      <c r="AJ47" t="n">
        <v>0</v>
      </c>
      <c r="AK47" t="n">
        <v>34.28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115.19</v>
      </c>
      <c r="AV47" t="n">
        <v>0</v>
      </c>
      <c r="AW47" t="n">
        <v>290.64</v>
      </c>
      <c r="AX47" t="inlineStr">
        <is>
          <t>pending</t>
        </is>
      </c>
      <c r="AY47" t="inlineStr">
        <is>
          <t>NA</t>
        </is>
      </c>
      <c r="AZ47" t="inlineStr">
        <is>
          <t>NA</t>
        </is>
      </c>
      <c r="BA47" t="n">
        <v>290.64</v>
      </c>
      <c r="BB47" t="inlineStr">
        <is>
          <t>e0de046eec611107b81147c8aa6567d017a853550106e659370e352e01c78bcc</t>
        </is>
      </c>
    </row>
    <row r="48">
      <c r="A48" t="inlineStr">
        <is>
          <t>43</t>
        </is>
      </c>
      <c r="B48" t="inlineStr">
        <is>
          <t>7734209053</t>
        </is>
      </c>
      <c r="C48" t="inlineStr">
        <is>
          <t>2026-01-27 15:23:29</t>
        </is>
      </c>
      <c r="D48" t="inlineStr">
        <is>
          <t>5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30% off upto ₹75 (2025-06-25 - 2031-01-01)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229</v>
      </c>
      <c r="P48" t="n">
        <v>3.5</v>
      </c>
      <c r="Q48" t="n">
        <v>0</v>
      </c>
      <c r="R48" t="n">
        <v>68.7</v>
      </c>
      <c r="S48" t="n">
        <v>0</v>
      </c>
      <c r="T48" t="n">
        <v>0</v>
      </c>
      <c r="U48" t="n">
        <v>0</v>
      </c>
      <c r="V48" t="n">
        <v>8.19</v>
      </c>
      <c r="W48" t="n">
        <v>171.99</v>
      </c>
      <c r="X48" t="n">
        <v>163.8</v>
      </c>
      <c r="Y48" t="n">
        <v>19</v>
      </c>
      <c r="Z48" t="n">
        <v>31.12</v>
      </c>
      <c r="AA48" t="n">
        <v>3.16</v>
      </c>
      <c r="AB48" t="n">
        <v>34.28</v>
      </c>
      <c r="AC48" t="n">
        <v>6.17</v>
      </c>
      <c r="AD48" t="n">
        <v>0</v>
      </c>
      <c r="AE48" t="n">
        <v>163.8</v>
      </c>
      <c r="AF48" t="n">
        <v>0</v>
      </c>
      <c r="AG48" t="n">
        <v>0</v>
      </c>
      <c r="AH48" t="n">
        <v>0.16</v>
      </c>
      <c r="AI48" t="n">
        <v>8.199999999999999</v>
      </c>
      <c r="AJ48" t="n">
        <v>-0.01</v>
      </c>
      <c r="AK48" t="n">
        <v>14.53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48.81</v>
      </c>
      <c r="AV48" t="n">
        <v>0</v>
      </c>
      <c r="AW48" t="n">
        <v>123.18</v>
      </c>
      <c r="AX48" t="inlineStr">
        <is>
          <t>pending</t>
        </is>
      </c>
      <c r="AY48" t="inlineStr">
        <is>
          <t>NA</t>
        </is>
      </c>
      <c r="AZ48" t="inlineStr">
        <is>
          <t>NA</t>
        </is>
      </c>
      <c r="BA48" t="n">
        <v>123.18</v>
      </c>
      <c r="BB48" t="inlineStr">
        <is>
          <t>986b5c42068f2f20f2bab9e647ad801934c522fce8d2a2a4f7ed7ee3ff1acf94</t>
        </is>
      </c>
    </row>
    <row r="49">
      <c r="A49" t="inlineStr">
        <is>
          <t>44</t>
        </is>
      </c>
      <c r="B49" t="inlineStr">
        <is>
          <t>7733926470</t>
        </is>
      </c>
      <c r="C49" t="inlineStr">
        <is>
          <t>2026-01-27 16:45:38</t>
        </is>
      </c>
      <c r="D49" t="inlineStr">
        <is>
          <t>5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428</v>
      </c>
      <c r="P49" t="n">
        <v>3.5</v>
      </c>
      <c r="Q49" t="n">
        <v>0</v>
      </c>
      <c r="R49" t="n">
        <v>75</v>
      </c>
      <c r="S49" t="n">
        <v>0</v>
      </c>
      <c r="T49" t="n">
        <v>0</v>
      </c>
      <c r="U49" t="n">
        <v>0</v>
      </c>
      <c r="V49" t="n">
        <v>17.83</v>
      </c>
      <c r="W49" t="n">
        <v>374.33</v>
      </c>
      <c r="X49" t="n">
        <v>356.5</v>
      </c>
      <c r="Y49" t="n">
        <v>19</v>
      </c>
      <c r="Z49" t="n">
        <v>67.73999999999999</v>
      </c>
      <c r="AA49" t="n">
        <v>6.89</v>
      </c>
      <c r="AB49" t="n">
        <v>74.63</v>
      </c>
      <c r="AC49" t="n">
        <v>13.43</v>
      </c>
      <c r="AD49" t="n">
        <v>0</v>
      </c>
      <c r="AE49" t="n">
        <v>356.5</v>
      </c>
      <c r="AF49" t="n">
        <v>0</v>
      </c>
      <c r="AG49" t="n">
        <v>0</v>
      </c>
      <c r="AH49" t="n">
        <v>0.36</v>
      </c>
      <c r="AI49" t="n">
        <v>17.83</v>
      </c>
      <c r="AJ49" t="n">
        <v>0</v>
      </c>
      <c r="AK49" t="n">
        <v>31.62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106.25</v>
      </c>
      <c r="AV49" t="n">
        <v>0</v>
      </c>
      <c r="AW49" t="n">
        <v>268.08</v>
      </c>
      <c r="AX49" t="inlineStr">
        <is>
          <t>pending</t>
        </is>
      </c>
      <c r="AY49" t="inlineStr">
        <is>
          <t>NA</t>
        </is>
      </c>
      <c r="AZ49" t="inlineStr">
        <is>
          <t>NA</t>
        </is>
      </c>
      <c r="BA49" t="n">
        <v>268.08</v>
      </c>
      <c r="BB49" t="inlineStr">
        <is>
          <t>d32027bb462e4bf5c980903513417fedb06b2936e45b29173a217b55efee9778</t>
        </is>
      </c>
    </row>
    <row r="50">
      <c r="A50" t="inlineStr">
        <is>
          <t>45</t>
        </is>
      </c>
      <c r="B50" t="inlineStr">
        <is>
          <t>7734588289</t>
        </is>
      </c>
      <c r="C50" t="inlineStr">
        <is>
          <t>2026-01-27 16:46:17</t>
        </is>
      </c>
      <c r="D50" t="inlineStr">
        <is>
          <t>5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30% off upto ₹75 (2025-06-25 - 2031-01-01)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229</v>
      </c>
      <c r="P50" t="n">
        <v>3.5</v>
      </c>
      <c r="Q50" t="n">
        <v>0</v>
      </c>
      <c r="R50" t="n">
        <v>68.7</v>
      </c>
      <c r="S50" t="n">
        <v>0</v>
      </c>
      <c r="T50" t="n">
        <v>0</v>
      </c>
      <c r="U50" t="n">
        <v>0</v>
      </c>
      <c r="V50" t="n">
        <v>8.19</v>
      </c>
      <c r="W50" t="n">
        <v>171.99</v>
      </c>
      <c r="X50" t="n">
        <v>163.8</v>
      </c>
      <c r="Y50" t="n">
        <v>19</v>
      </c>
      <c r="Z50" t="n">
        <v>31.12</v>
      </c>
      <c r="AA50" t="n">
        <v>3.16</v>
      </c>
      <c r="AB50" t="n">
        <v>34.28</v>
      </c>
      <c r="AC50" t="n">
        <v>6.17</v>
      </c>
      <c r="AD50" t="n">
        <v>0</v>
      </c>
      <c r="AE50" t="n">
        <v>163.8</v>
      </c>
      <c r="AF50" t="n">
        <v>0</v>
      </c>
      <c r="AG50" t="n">
        <v>0</v>
      </c>
      <c r="AH50" t="n">
        <v>0.16</v>
      </c>
      <c r="AI50" t="n">
        <v>8.199999999999999</v>
      </c>
      <c r="AJ50" t="n">
        <v>-0.01</v>
      </c>
      <c r="AK50" t="n">
        <v>14.53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48.81</v>
      </c>
      <c r="AV50" t="n">
        <v>0</v>
      </c>
      <c r="AW50" t="n">
        <v>123.18</v>
      </c>
      <c r="AX50" t="inlineStr">
        <is>
          <t>pending</t>
        </is>
      </c>
      <c r="AY50" t="inlineStr">
        <is>
          <t>NA</t>
        </is>
      </c>
      <c r="AZ50" t="inlineStr">
        <is>
          <t>NA</t>
        </is>
      </c>
      <c r="BA50" t="n">
        <v>123.18</v>
      </c>
      <c r="BB50" t="inlineStr">
        <is>
          <t>b005c1e5449b90171107f10c6270b6e4716586146a1be7e84b4062b5c12e0c41</t>
        </is>
      </c>
    </row>
    <row r="51">
      <c r="A51" t="inlineStr">
        <is>
          <t>46</t>
        </is>
      </c>
      <c r="B51" t="inlineStr">
        <is>
          <t>7731905213</t>
        </is>
      </c>
      <c r="C51" t="inlineStr">
        <is>
          <t>2026-01-27 17:20:15</t>
        </is>
      </c>
      <c r="D51" t="inlineStr">
        <is>
          <t>5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218</v>
      </c>
      <c r="P51" t="n">
        <v>3.5</v>
      </c>
      <c r="Q51" t="n">
        <v>0</v>
      </c>
      <c r="R51" t="n">
        <v>65.40000000000001</v>
      </c>
      <c r="S51" t="n">
        <v>0</v>
      </c>
      <c r="T51" t="n">
        <v>0</v>
      </c>
      <c r="U51" t="n">
        <v>0</v>
      </c>
      <c r="V51" t="n">
        <v>7.81</v>
      </c>
      <c r="W51" t="n">
        <v>163.91</v>
      </c>
      <c r="X51" t="n">
        <v>156.1</v>
      </c>
      <c r="Y51" t="n">
        <v>19</v>
      </c>
      <c r="Z51" t="n">
        <v>29.66</v>
      </c>
      <c r="AA51" t="n">
        <v>3.02</v>
      </c>
      <c r="AB51" t="n">
        <v>32.68</v>
      </c>
      <c r="AC51" t="n">
        <v>5.88</v>
      </c>
      <c r="AD51" t="n">
        <v>0</v>
      </c>
      <c r="AE51" t="n">
        <v>156.1</v>
      </c>
      <c r="AF51" t="n">
        <v>0</v>
      </c>
      <c r="AG51" t="n">
        <v>0</v>
      </c>
      <c r="AH51" t="n">
        <v>0.16</v>
      </c>
      <c r="AI51" t="n">
        <v>7.81</v>
      </c>
      <c r="AJ51" t="n">
        <v>0</v>
      </c>
      <c r="AK51" t="n">
        <v>13.85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46.53</v>
      </c>
      <c r="AV51" t="n">
        <v>0</v>
      </c>
      <c r="AW51" t="n">
        <v>117.38</v>
      </c>
      <c r="AX51" t="inlineStr">
        <is>
          <t>pending</t>
        </is>
      </c>
      <c r="AY51" t="inlineStr">
        <is>
          <t>NA</t>
        </is>
      </c>
      <c r="AZ51" t="inlineStr">
        <is>
          <t>NA</t>
        </is>
      </c>
      <c r="BA51" t="n">
        <v>117.38</v>
      </c>
      <c r="BB51" t="inlineStr">
        <is>
          <t>c8090a939f77994e8ab8fa1b714e379a57cb8bffaee048fc2f4fe3b9976a43bf</t>
        </is>
      </c>
    </row>
    <row r="52">
      <c r="A52" t="inlineStr">
        <is>
          <t>47</t>
        </is>
      </c>
      <c r="B52" t="inlineStr">
        <is>
          <t>7735531369</t>
        </is>
      </c>
      <c r="C52" t="inlineStr">
        <is>
          <t>2026-01-27 17:27:02</t>
        </is>
      </c>
      <c r="D52" t="inlineStr">
        <is>
          <t>5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458</v>
      </c>
      <c r="P52" t="n">
        <v>3.5</v>
      </c>
      <c r="Q52" t="n">
        <v>0</v>
      </c>
      <c r="R52" t="n">
        <v>75</v>
      </c>
      <c r="S52" t="n">
        <v>0</v>
      </c>
      <c r="T52" t="n">
        <v>0</v>
      </c>
      <c r="U52" t="n">
        <v>0</v>
      </c>
      <c r="V52" t="n">
        <v>19.33</v>
      </c>
      <c r="W52" t="n">
        <v>405.83</v>
      </c>
      <c r="X52" t="n">
        <v>386.5</v>
      </c>
      <c r="Y52" t="n">
        <v>19</v>
      </c>
      <c r="Z52" t="n">
        <v>73.44</v>
      </c>
      <c r="AA52" t="n">
        <v>7.47</v>
      </c>
      <c r="AB52" t="n">
        <v>80.91</v>
      </c>
      <c r="AC52" t="n">
        <v>14.56</v>
      </c>
      <c r="AD52" t="n">
        <v>0</v>
      </c>
      <c r="AE52" t="n">
        <v>386.5</v>
      </c>
      <c r="AF52" t="n">
        <v>0</v>
      </c>
      <c r="AG52" t="n">
        <v>0</v>
      </c>
      <c r="AH52" t="n">
        <v>0.39</v>
      </c>
      <c r="AI52" t="n">
        <v>19.33</v>
      </c>
      <c r="AJ52" t="n">
        <v>0</v>
      </c>
      <c r="AK52" t="n">
        <v>34.28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115.19</v>
      </c>
      <c r="AV52" t="n">
        <v>0</v>
      </c>
      <c r="AW52" t="n">
        <v>290.64</v>
      </c>
      <c r="AX52" t="inlineStr">
        <is>
          <t>pending</t>
        </is>
      </c>
      <c r="AY52" t="inlineStr">
        <is>
          <t>NA</t>
        </is>
      </c>
      <c r="AZ52" t="inlineStr">
        <is>
          <t>NA</t>
        </is>
      </c>
      <c r="BA52" t="n">
        <v>290.64</v>
      </c>
      <c r="BB52" t="inlineStr">
        <is>
          <t>2bed05ed849b1cc9709a6014d7c8441f472c3c278a83bcd88800ee55f4e5b45a</t>
        </is>
      </c>
    </row>
    <row r="53">
      <c r="A53" t="inlineStr">
        <is>
          <t>48</t>
        </is>
      </c>
      <c r="B53" t="inlineStr">
        <is>
          <t>7730957069</t>
        </is>
      </c>
      <c r="C53" t="inlineStr">
        <is>
          <t>2026-01-27 17:46:13</t>
        </is>
      </c>
      <c r="D53" t="inlineStr">
        <is>
          <t>5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NA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219</v>
      </c>
      <c r="P53" t="n">
        <v>3.5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11.13</v>
      </c>
      <c r="W53" t="n">
        <v>233.63</v>
      </c>
      <c r="X53" t="n">
        <v>222.5</v>
      </c>
      <c r="Y53" t="n">
        <v>19</v>
      </c>
      <c r="Z53" t="n">
        <v>42.28</v>
      </c>
      <c r="AA53" t="n">
        <v>4.3</v>
      </c>
      <c r="AB53" t="n">
        <v>46.58</v>
      </c>
      <c r="AC53" t="n">
        <v>8.380000000000001</v>
      </c>
      <c r="AD53" t="n">
        <v>0</v>
      </c>
      <c r="AE53" t="n">
        <v>222.5</v>
      </c>
      <c r="AF53" t="n">
        <v>0</v>
      </c>
      <c r="AG53" t="n">
        <v>0</v>
      </c>
      <c r="AH53" t="n">
        <v>0.22</v>
      </c>
      <c r="AI53" t="n">
        <v>11.13</v>
      </c>
      <c r="AJ53" t="n">
        <v>0</v>
      </c>
      <c r="AK53" t="n">
        <v>19.73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66.31</v>
      </c>
      <c r="AV53" t="n">
        <v>0</v>
      </c>
      <c r="AW53" t="n">
        <v>167.32</v>
      </c>
      <c r="AX53" t="inlineStr">
        <is>
          <t>pending</t>
        </is>
      </c>
      <c r="AY53" t="inlineStr">
        <is>
          <t>NA</t>
        </is>
      </c>
      <c r="AZ53" t="inlineStr">
        <is>
          <t>NA</t>
        </is>
      </c>
      <c r="BA53" t="n">
        <v>167.32</v>
      </c>
      <c r="BB53" t="inlineStr">
        <is>
          <t>34470d4fbd0726b7195890c4107b08de0c4efe93b367768d63990aa06315d8da</t>
        </is>
      </c>
    </row>
    <row r="54">
      <c r="A54" t="inlineStr">
        <is>
          <t>49</t>
        </is>
      </c>
      <c r="B54" t="inlineStr">
        <is>
          <t>7731993122</t>
        </is>
      </c>
      <c r="C54" t="inlineStr">
        <is>
          <t>2026-01-27 18:15:01</t>
        </is>
      </c>
      <c r="D54" t="inlineStr">
        <is>
          <t>5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NA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428</v>
      </c>
      <c r="P54" t="n">
        <v>3.5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21.58</v>
      </c>
      <c r="W54" t="n">
        <v>453.08</v>
      </c>
      <c r="X54" t="n">
        <v>431.5</v>
      </c>
      <c r="Y54" t="n">
        <v>19</v>
      </c>
      <c r="Z54" t="n">
        <v>81.98</v>
      </c>
      <c r="AA54" t="n">
        <v>8.34</v>
      </c>
      <c r="AB54" t="n">
        <v>90.31999999999999</v>
      </c>
      <c r="AC54" t="n">
        <v>16.26</v>
      </c>
      <c r="AD54" t="n">
        <v>0</v>
      </c>
      <c r="AE54" t="n">
        <v>431.5</v>
      </c>
      <c r="AF54" t="n">
        <v>0</v>
      </c>
      <c r="AG54" t="n">
        <v>0</v>
      </c>
      <c r="AH54" t="n">
        <v>0.43</v>
      </c>
      <c r="AI54" t="n">
        <v>21.58</v>
      </c>
      <c r="AJ54" t="n">
        <v>0</v>
      </c>
      <c r="AK54" t="n">
        <v>38.27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128.59</v>
      </c>
      <c r="AV54" t="n">
        <v>0</v>
      </c>
      <c r="AW54" t="n">
        <v>324.49</v>
      </c>
      <c r="AX54" t="inlineStr">
        <is>
          <t>pending</t>
        </is>
      </c>
      <c r="AY54" t="inlineStr">
        <is>
          <t>NA</t>
        </is>
      </c>
      <c r="AZ54" t="inlineStr">
        <is>
          <t>NA</t>
        </is>
      </c>
      <c r="BA54" t="n">
        <v>324.49</v>
      </c>
      <c r="BB54" t="inlineStr">
        <is>
          <t>e1ef576bc3f29145feb791c33cf1cebce064979f188163cf8d0822dd06a2bad3</t>
        </is>
      </c>
    </row>
    <row r="55">
      <c r="A55" t="inlineStr">
        <is>
          <t>50</t>
        </is>
      </c>
      <c r="B55" t="inlineStr">
        <is>
          <t>7731227214</t>
        </is>
      </c>
      <c r="C55" t="inlineStr">
        <is>
          <t>2026-01-27 18:15:11</t>
        </is>
      </c>
      <c r="D55" t="inlineStr">
        <is>
          <t>5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219</v>
      </c>
      <c r="P55" t="n">
        <v>3.5</v>
      </c>
      <c r="Q55" t="n">
        <v>0</v>
      </c>
      <c r="R55" t="n">
        <v>65.7</v>
      </c>
      <c r="S55" t="n">
        <v>0</v>
      </c>
      <c r="T55" t="n">
        <v>0</v>
      </c>
      <c r="U55" t="n">
        <v>0</v>
      </c>
      <c r="V55" t="n">
        <v>7.84</v>
      </c>
      <c r="W55" t="n">
        <v>164.64</v>
      </c>
      <c r="X55" t="n">
        <v>156.8</v>
      </c>
      <c r="Y55" t="n">
        <v>19</v>
      </c>
      <c r="Z55" t="n">
        <v>29.79</v>
      </c>
      <c r="AA55" t="n">
        <v>3.03</v>
      </c>
      <c r="AB55" t="n">
        <v>32.82</v>
      </c>
      <c r="AC55" t="n">
        <v>5.91</v>
      </c>
      <c r="AD55" t="n">
        <v>0</v>
      </c>
      <c r="AE55" t="n">
        <v>156.8</v>
      </c>
      <c r="AF55" t="n">
        <v>0</v>
      </c>
      <c r="AG55" t="n">
        <v>0</v>
      </c>
      <c r="AH55" t="n">
        <v>0.16</v>
      </c>
      <c r="AI55" t="n">
        <v>7.85</v>
      </c>
      <c r="AJ55" t="n">
        <v>-0.01</v>
      </c>
      <c r="AK55" t="n">
        <v>13.92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46.74</v>
      </c>
      <c r="AV55" t="n">
        <v>0</v>
      </c>
      <c r="AW55" t="n">
        <v>117.9</v>
      </c>
      <c r="AX55" t="inlineStr">
        <is>
          <t>pending</t>
        </is>
      </c>
      <c r="AY55" t="inlineStr">
        <is>
          <t>NA</t>
        </is>
      </c>
      <c r="AZ55" t="inlineStr">
        <is>
          <t>NA</t>
        </is>
      </c>
      <c r="BA55" t="n">
        <v>117.9</v>
      </c>
      <c r="BB55" t="inlineStr">
        <is>
          <t>59ce62f4fcfa198cb6a6e2f79959db8585e01f8800a378ed456fd428810745cb</t>
        </is>
      </c>
    </row>
    <row r="56">
      <c r="A56" t="inlineStr">
        <is>
          <t>51</t>
        </is>
      </c>
      <c r="B56" t="inlineStr">
        <is>
          <t>7729121273</t>
        </is>
      </c>
      <c r="C56" t="inlineStr">
        <is>
          <t>2026-01-27 18:48:38</t>
        </is>
      </c>
      <c r="D56" t="inlineStr">
        <is>
          <t>5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229</v>
      </c>
      <c r="P56" t="n">
        <v>3.5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11.63</v>
      </c>
      <c r="W56" t="n">
        <v>244.13</v>
      </c>
      <c r="X56" t="n">
        <v>232.5</v>
      </c>
      <c r="Y56" t="n">
        <v>19</v>
      </c>
      <c r="Z56" t="n">
        <v>44.18</v>
      </c>
      <c r="AA56" t="n">
        <v>4.49</v>
      </c>
      <c r="AB56" t="n">
        <v>48.67</v>
      </c>
      <c r="AC56" t="n">
        <v>8.76</v>
      </c>
      <c r="AD56" t="n">
        <v>0</v>
      </c>
      <c r="AE56" t="n">
        <v>232.5</v>
      </c>
      <c r="AF56" t="n">
        <v>0</v>
      </c>
      <c r="AG56" t="n">
        <v>0</v>
      </c>
      <c r="AH56" t="n">
        <v>0.23</v>
      </c>
      <c r="AI56" t="n">
        <v>11.63</v>
      </c>
      <c r="AJ56" t="n">
        <v>0</v>
      </c>
      <c r="AK56" t="n">
        <v>20.62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69.29000000000001</v>
      </c>
      <c r="AV56" t="n">
        <v>0</v>
      </c>
      <c r="AW56" t="n">
        <v>174.84</v>
      </c>
      <c r="AX56" t="inlineStr">
        <is>
          <t>pending</t>
        </is>
      </c>
      <c r="AY56" t="inlineStr">
        <is>
          <t>NA</t>
        </is>
      </c>
      <c r="AZ56" t="inlineStr">
        <is>
          <t>NA</t>
        </is>
      </c>
      <c r="BA56" t="n">
        <v>174.84</v>
      </c>
      <c r="BB56" t="inlineStr">
        <is>
          <t>80f0ea08e14d08a2566ff58fa7cb4f52682c0d1e2357da7125e42281b8072e1f</t>
        </is>
      </c>
    </row>
    <row r="57">
      <c r="A57" t="inlineStr">
        <is>
          <t>52</t>
        </is>
      </c>
      <c r="B57" t="inlineStr">
        <is>
          <t>7734889338</t>
        </is>
      </c>
      <c r="C57" t="inlineStr">
        <is>
          <t>2026-01-27 19:15:41</t>
        </is>
      </c>
      <c r="D57" t="inlineStr">
        <is>
          <t>5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pending</t>
        </is>
      </c>
      <c r="AY57" t="inlineStr">
        <is>
          <t>NA</t>
        </is>
      </c>
      <c r="AZ57" t="inlineStr">
        <is>
          <t>NA</t>
        </is>
      </c>
      <c r="BA57" t="n">
        <v>123.18</v>
      </c>
      <c r="BB57" t="inlineStr">
        <is>
          <t>13e17be5b920c7b24d377b8b8a00ca1adfb27c465baecd78c92d0ed72ca4757a</t>
        </is>
      </c>
    </row>
    <row r="58">
      <c r="A58" t="inlineStr">
        <is>
          <t>53</t>
        </is>
      </c>
      <c r="B58" t="inlineStr">
        <is>
          <t>7732358082</t>
        </is>
      </c>
      <c r="C58" t="inlineStr">
        <is>
          <t>2026-01-27 19:50:42</t>
        </is>
      </c>
      <c r="D58" t="inlineStr">
        <is>
          <t>5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pending</t>
        </is>
      </c>
      <c r="AY58" t="inlineStr">
        <is>
          <t>NA</t>
        </is>
      </c>
      <c r="AZ58" t="inlineStr">
        <is>
          <t>NA</t>
        </is>
      </c>
      <c r="BA58" t="n">
        <v>123.18</v>
      </c>
      <c r="BB58" t="inlineStr">
        <is>
          <t>925cd55479ecc90f2460e78cfe64766c0be7b3ec6ca9b90873dcad8af4aa14ea</t>
        </is>
      </c>
    </row>
    <row r="59">
      <c r="A59" t="inlineStr">
        <is>
          <t>54</t>
        </is>
      </c>
      <c r="B59" t="inlineStr">
        <is>
          <t>7735809131</t>
        </is>
      </c>
      <c r="C59" t="inlineStr">
        <is>
          <t>2026-01-27 20:01:09</t>
        </is>
      </c>
      <c r="D59" t="inlineStr">
        <is>
          <t>5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30% off upto ₹75 (2025-06-25 - 2031-01-01)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229</v>
      </c>
      <c r="P59" t="n">
        <v>3.5</v>
      </c>
      <c r="Q59" t="n">
        <v>0</v>
      </c>
      <c r="R59" t="n">
        <v>68.7</v>
      </c>
      <c r="S59" t="n">
        <v>0</v>
      </c>
      <c r="T59" t="n">
        <v>0</v>
      </c>
      <c r="U59" t="n">
        <v>0</v>
      </c>
      <c r="V59" t="n">
        <v>8.19</v>
      </c>
      <c r="W59" t="n">
        <v>171.99</v>
      </c>
      <c r="X59" t="n">
        <v>163.8</v>
      </c>
      <c r="Y59" t="n">
        <v>19</v>
      </c>
      <c r="Z59" t="n">
        <v>31.12</v>
      </c>
      <c r="AA59" t="n">
        <v>3.16</v>
      </c>
      <c r="AB59" t="n">
        <v>34.28</v>
      </c>
      <c r="AC59" t="n">
        <v>6.17</v>
      </c>
      <c r="AD59" t="n">
        <v>0</v>
      </c>
      <c r="AE59" t="n">
        <v>163.8</v>
      </c>
      <c r="AF59" t="n">
        <v>0</v>
      </c>
      <c r="AG59" t="n">
        <v>0</v>
      </c>
      <c r="AH59" t="n">
        <v>0.16</v>
      </c>
      <c r="AI59" t="n">
        <v>8.199999999999999</v>
      </c>
      <c r="AJ59" t="n">
        <v>-0.01</v>
      </c>
      <c r="AK59" t="n">
        <v>14.53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48.81</v>
      </c>
      <c r="AV59" t="n">
        <v>0</v>
      </c>
      <c r="AW59" t="n">
        <v>123.18</v>
      </c>
      <c r="AX59" t="inlineStr">
        <is>
          <t>pending</t>
        </is>
      </c>
      <c r="AY59" t="inlineStr">
        <is>
          <t>NA</t>
        </is>
      </c>
      <c r="AZ59" t="inlineStr">
        <is>
          <t>NA</t>
        </is>
      </c>
      <c r="BA59" t="n">
        <v>123.18</v>
      </c>
      <c r="BB59" t="inlineStr">
        <is>
          <t>b6041dff78f97bfce8b7140451e20d80c4e310e494a76bb57af332a16f603c55</t>
        </is>
      </c>
    </row>
    <row r="60">
      <c r="A60" t="inlineStr">
        <is>
          <t>55</t>
        </is>
      </c>
      <c r="B60" t="inlineStr">
        <is>
          <t>7734466978</t>
        </is>
      </c>
      <c r="C60" t="inlineStr">
        <is>
          <t>2026-01-27 20:32:39</t>
        </is>
      </c>
      <c r="D60" t="inlineStr">
        <is>
          <t>5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NA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345</v>
      </c>
      <c r="P60" t="n">
        <v>3.5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17.43</v>
      </c>
      <c r="W60" t="n">
        <v>365.93</v>
      </c>
      <c r="X60" t="n">
        <v>348.5</v>
      </c>
      <c r="Y60" t="n">
        <v>19</v>
      </c>
      <c r="Z60" t="n">
        <v>66.22</v>
      </c>
      <c r="AA60" t="n">
        <v>6.73</v>
      </c>
      <c r="AB60" t="n">
        <v>72.95</v>
      </c>
      <c r="AC60" t="n">
        <v>13.13</v>
      </c>
      <c r="AD60" t="n">
        <v>0</v>
      </c>
      <c r="AE60" t="n">
        <v>348.5</v>
      </c>
      <c r="AF60" t="n">
        <v>0</v>
      </c>
      <c r="AG60" t="n">
        <v>0</v>
      </c>
      <c r="AH60" t="n">
        <v>0.35</v>
      </c>
      <c r="AI60" t="n">
        <v>17.43</v>
      </c>
      <c r="AJ60" t="n">
        <v>0</v>
      </c>
      <c r="AK60" t="n">
        <v>30.91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103.86</v>
      </c>
      <c r="AV60" t="n">
        <v>0</v>
      </c>
      <c r="AW60" t="n">
        <v>262.07</v>
      </c>
      <c r="AX60" t="inlineStr">
        <is>
          <t>pending</t>
        </is>
      </c>
      <c r="AY60" t="inlineStr">
        <is>
          <t>NA</t>
        </is>
      </c>
      <c r="AZ60" t="inlineStr">
        <is>
          <t>NA</t>
        </is>
      </c>
      <c r="BA60" t="n">
        <v>262.07</v>
      </c>
      <c r="BB60" t="inlineStr">
        <is>
          <t>4afb5b421c5c2a0fdcf2725963dc902f101115274af2ede9fec0e8d7487d6660</t>
        </is>
      </c>
    </row>
    <row r="61">
      <c r="A61" t="inlineStr">
        <is>
          <t>56</t>
        </is>
      </c>
      <c r="B61" t="inlineStr">
        <is>
          <t>7730776298</t>
        </is>
      </c>
      <c r="C61" t="inlineStr">
        <is>
          <t>2026-01-27 20:51:08</t>
        </is>
      </c>
      <c r="D61" t="inlineStr">
        <is>
          <t>5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30% off upto ₹75 (2025-06-25 - 2031-01-01)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68.7</v>
      </c>
      <c r="S61" t="n">
        <v>0</v>
      </c>
      <c r="T61" t="n">
        <v>0</v>
      </c>
      <c r="U61" t="n">
        <v>0</v>
      </c>
      <c r="V61" t="n">
        <v>8.19</v>
      </c>
      <c r="W61" t="n">
        <v>171.99</v>
      </c>
      <c r="X61" t="n">
        <v>163.8</v>
      </c>
      <c r="Y61" t="n">
        <v>19</v>
      </c>
      <c r="Z61" t="n">
        <v>31.12</v>
      </c>
      <c r="AA61" t="n">
        <v>3.16</v>
      </c>
      <c r="AB61" t="n">
        <v>34.28</v>
      </c>
      <c r="AC61" t="n">
        <v>6.17</v>
      </c>
      <c r="AD61" t="n">
        <v>0</v>
      </c>
      <c r="AE61" t="n">
        <v>163.8</v>
      </c>
      <c r="AF61" t="n">
        <v>0</v>
      </c>
      <c r="AG61" t="n">
        <v>0</v>
      </c>
      <c r="AH61" t="n">
        <v>0.16</v>
      </c>
      <c r="AI61" t="n">
        <v>8.199999999999999</v>
      </c>
      <c r="AJ61" t="n">
        <v>-0.01</v>
      </c>
      <c r="AK61" t="n">
        <v>14.53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48.81</v>
      </c>
      <c r="AV61" t="n">
        <v>0</v>
      </c>
      <c r="AW61" t="n">
        <v>123.18</v>
      </c>
      <c r="AX61" t="inlineStr">
        <is>
          <t>pending</t>
        </is>
      </c>
      <c r="AY61" t="inlineStr">
        <is>
          <t>NA</t>
        </is>
      </c>
      <c r="AZ61" t="inlineStr">
        <is>
          <t>NA</t>
        </is>
      </c>
      <c r="BA61" t="n">
        <v>123.18</v>
      </c>
      <c r="BB61" t="inlineStr">
        <is>
          <t>9e6d81c74896b250fddc74f79a08d4c3d88c75c197e0f396d8e3988c75b89f8b</t>
        </is>
      </c>
    </row>
    <row r="62">
      <c r="A62" t="inlineStr">
        <is>
          <t>57</t>
        </is>
      </c>
      <c r="B62" t="inlineStr">
        <is>
          <t>7735799101</t>
        </is>
      </c>
      <c r="C62" t="inlineStr">
        <is>
          <t>2026-01-27 21:01:57</t>
        </is>
      </c>
      <c r="D62" t="inlineStr">
        <is>
          <t>5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NA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219</v>
      </c>
      <c r="P62" t="n">
        <v>3.5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11.13</v>
      </c>
      <c r="W62" t="n">
        <v>233.63</v>
      </c>
      <c r="X62" t="n">
        <v>222.5</v>
      </c>
      <c r="Y62" t="n">
        <v>19</v>
      </c>
      <c r="Z62" t="n">
        <v>42.28</v>
      </c>
      <c r="AA62" t="n">
        <v>4.3</v>
      </c>
      <c r="AB62" t="n">
        <v>46.58</v>
      </c>
      <c r="AC62" t="n">
        <v>8.380000000000001</v>
      </c>
      <c r="AD62" t="n">
        <v>0</v>
      </c>
      <c r="AE62" t="n">
        <v>222.5</v>
      </c>
      <c r="AF62" t="n">
        <v>0</v>
      </c>
      <c r="AG62" t="n">
        <v>0</v>
      </c>
      <c r="AH62" t="n">
        <v>0.22</v>
      </c>
      <c r="AI62" t="n">
        <v>11.13</v>
      </c>
      <c r="AJ62" t="n">
        <v>0</v>
      </c>
      <c r="AK62" t="n">
        <v>19.73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66.31</v>
      </c>
      <c r="AV62" t="n">
        <v>0</v>
      </c>
      <c r="AW62" t="n">
        <v>167.32</v>
      </c>
      <c r="AX62" t="inlineStr">
        <is>
          <t>pending</t>
        </is>
      </c>
      <c r="AY62" t="inlineStr">
        <is>
          <t>NA</t>
        </is>
      </c>
      <c r="AZ62" t="inlineStr">
        <is>
          <t>NA</t>
        </is>
      </c>
      <c r="BA62" t="n">
        <v>167.32</v>
      </c>
      <c r="BB62" t="inlineStr">
        <is>
          <t>a50d5692b067f923d9c156dfcc225992eb50e48fe5cd1d2d49201fd8297adf0e</t>
        </is>
      </c>
    </row>
    <row r="63">
      <c r="A63" t="inlineStr">
        <is>
          <t>58</t>
        </is>
      </c>
      <c r="B63" t="inlineStr">
        <is>
          <t>7735444466</t>
        </is>
      </c>
      <c r="C63" t="inlineStr">
        <is>
          <t>2026-01-27 21:13:40</t>
        </is>
      </c>
      <c r="D63" t="inlineStr">
        <is>
          <t>5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pending</t>
        </is>
      </c>
      <c r="AY63" t="inlineStr">
        <is>
          <t>NA</t>
        </is>
      </c>
      <c r="AZ63" t="inlineStr">
        <is>
          <t>NA</t>
        </is>
      </c>
      <c r="BA63" t="n">
        <v>123.18</v>
      </c>
      <c r="BB63" t="inlineStr">
        <is>
          <t>65b08775a3a8b7376a3c9a6279b29729c739e83aff330bad2a8e203e8b67987f</t>
        </is>
      </c>
    </row>
    <row r="64">
      <c r="A64" t="inlineStr">
        <is>
          <t>59</t>
        </is>
      </c>
      <c r="B64" t="inlineStr">
        <is>
          <t>7733644095</t>
        </is>
      </c>
      <c r="C64" t="inlineStr">
        <is>
          <t>2026-01-27 21:17:10</t>
        </is>
      </c>
      <c r="D64" t="inlineStr">
        <is>
          <t>5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229</v>
      </c>
      <c r="P64" t="n">
        <v>3.5</v>
      </c>
      <c r="Q64" t="n">
        <v>0</v>
      </c>
      <c r="R64" t="n">
        <v>68.7</v>
      </c>
      <c r="S64" t="n">
        <v>0</v>
      </c>
      <c r="T64" t="n">
        <v>0</v>
      </c>
      <c r="U64" t="n">
        <v>0</v>
      </c>
      <c r="V64" t="n">
        <v>8.19</v>
      </c>
      <c r="W64" t="n">
        <v>171.99</v>
      </c>
      <c r="X64" t="n">
        <v>163.8</v>
      </c>
      <c r="Y64" t="n">
        <v>19</v>
      </c>
      <c r="Z64" t="n">
        <v>31.12</v>
      </c>
      <c r="AA64" t="n">
        <v>3.16</v>
      </c>
      <c r="AB64" t="n">
        <v>34.28</v>
      </c>
      <c r="AC64" t="n">
        <v>6.17</v>
      </c>
      <c r="AD64" t="n">
        <v>0</v>
      </c>
      <c r="AE64" t="n">
        <v>163.8</v>
      </c>
      <c r="AF64" t="n">
        <v>0</v>
      </c>
      <c r="AG64" t="n">
        <v>0</v>
      </c>
      <c r="AH64" t="n">
        <v>0.16</v>
      </c>
      <c r="AI64" t="n">
        <v>8.199999999999999</v>
      </c>
      <c r="AJ64" t="n">
        <v>-0.01</v>
      </c>
      <c r="AK64" t="n">
        <v>14.53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48.81</v>
      </c>
      <c r="AV64" t="n">
        <v>0</v>
      </c>
      <c r="AW64" t="n">
        <v>123.18</v>
      </c>
      <c r="AX64" t="inlineStr">
        <is>
          <t>pending</t>
        </is>
      </c>
      <c r="AY64" t="inlineStr">
        <is>
          <t>NA</t>
        </is>
      </c>
      <c r="AZ64" t="inlineStr">
        <is>
          <t>NA</t>
        </is>
      </c>
      <c r="BA64" t="n">
        <v>123.18</v>
      </c>
      <c r="BB64" t="inlineStr">
        <is>
          <t>71d413255c784d3a78bb7affbb67cf5e6f96a718ed6ed3fb8b6e1f998cd04f0f</t>
        </is>
      </c>
    </row>
    <row r="65">
      <c r="A65" t="inlineStr">
        <is>
          <t>60</t>
        </is>
      </c>
      <c r="B65" t="inlineStr">
        <is>
          <t>7736283838</t>
        </is>
      </c>
      <c r="C65" t="inlineStr">
        <is>
          <t>2026-01-27 21:40:45</t>
        </is>
      </c>
      <c r="D65" t="inlineStr">
        <is>
          <t>5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NA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229</v>
      </c>
      <c r="P65" t="n">
        <v>3.5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11.63</v>
      </c>
      <c r="W65" t="n">
        <v>244.13</v>
      </c>
      <c r="X65" t="n">
        <v>232.5</v>
      </c>
      <c r="Y65" t="n">
        <v>19</v>
      </c>
      <c r="Z65" t="n">
        <v>44.18</v>
      </c>
      <c r="AA65" t="n">
        <v>4.49</v>
      </c>
      <c r="AB65" t="n">
        <v>48.67</v>
      </c>
      <c r="AC65" t="n">
        <v>8.76</v>
      </c>
      <c r="AD65" t="n">
        <v>0</v>
      </c>
      <c r="AE65" t="n">
        <v>232.5</v>
      </c>
      <c r="AF65" t="n">
        <v>0</v>
      </c>
      <c r="AG65" t="n">
        <v>0</v>
      </c>
      <c r="AH65" t="n">
        <v>0.23</v>
      </c>
      <c r="AI65" t="n">
        <v>11.63</v>
      </c>
      <c r="AJ65" t="n">
        <v>0</v>
      </c>
      <c r="AK65" t="n">
        <v>20.62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69.29000000000001</v>
      </c>
      <c r="AV65" t="n">
        <v>0</v>
      </c>
      <c r="AW65" t="n">
        <v>174.84</v>
      </c>
      <c r="AX65" t="inlineStr">
        <is>
          <t>pending</t>
        </is>
      </c>
      <c r="AY65" t="inlineStr">
        <is>
          <t>NA</t>
        </is>
      </c>
      <c r="AZ65" t="inlineStr">
        <is>
          <t>NA</t>
        </is>
      </c>
      <c r="BA65" t="n">
        <v>174.84</v>
      </c>
      <c r="BB65" t="inlineStr">
        <is>
          <t>0266588e23b623d7d8285d30e1a6471a9c2a0cfbc8cf40297ec7dbdc37af678e</t>
        </is>
      </c>
    </row>
    <row r="66">
      <c r="A66" t="inlineStr">
        <is>
          <t>61</t>
        </is>
      </c>
      <c r="B66" t="inlineStr">
        <is>
          <t>7728641179</t>
        </is>
      </c>
      <c r="C66" t="inlineStr">
        <is>
          <t>2026-01-27 21:43:02</t>
        </is>
      </c>
      <c r="D66" t="inlineStr">
        <is>
          <t>5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229</v>
      </c>
      <c r="P66" t="n">
        <v>3.5</v>
      </c>
      <c r="Q66" t="n">
        <v>0</v>
      </c>
      <c r="R66" t="n">
        <v>68.7</v>
      </c>
      <c r="S66" t="n">
        <v>0</v>
      </c>
      <c r="T66" t="n">
        <v>0</v>
      </c>
      <c r="U66" t="n">
        <v>0</v>
      </c>
      <c r="V66" t="n">
        <v>8.19</v>
      </c>
      <c r="W66" t="n">
        <v>171.99</v>
      </c>
      <c r="X66" t="n">
        <v>163.8</v>
      </c>
      <c r="Y66" t="n">
        <v>19</v>
      </c>
      <c r="Z66" t="n">
        <v>31.12</v>
      </c>
      <c r="AA66" t="n">
        <v>3.16</v>
      </c>
      <c r="AB66" t="n">
        <v>34.28</v>
      </c>
      <c r="AC66" t="n">
        <v>6.17</v>
      </c>
      <c r="AD66" t="n">
        <v>0</v>
      </c>
      <c r="AE66" t="n">
        <v>163.8</v>
      </c>
      <c r="AF66" t="n">
        <v>0</v>
      </c>
      <c r="AG66" t="n">
        <v>0</v>
      </c>
      <c r="AH66" t="n">
        <v>0.16</v>
      </c>
      <c r="AI66" t="n">
        <v>8.199999999999999</v>
      </c>
      <c r="AJ66" t="n">
        <v>-0.01</v>
      </c>
      <c r="AK66" t="n">
        <v>14.53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48.81</v>
      </c>
      <c r="AV66" t="n">
        <v>0</v>
      </c>
      <c r="AW66" t="n">
        <v>123.18</v>
      </c>
      <c r="AX66" t="inlineStr">
        <is>
          <t>pending</t>
        </is>
      </c>
      <c r="AY66" t="inlineStr">
        <is>
          <t>NA</t>
        </is>
      </c>
      <c r="AZ66" t="inlineStr">
        <is>
          <t>NA</t>
        </is>
      </c>
      <c r="BA66" t="n">
        <v>123.18</v>
      </c>
      <c r="BB66" t="inlineStr">
        <is>
          <t>0e97eeb1d0512bec979d543a34b5397074d55dd0820eddc4273f9f89133d3e33</t>
        </is>
      </c>
    </row>
    <row r="67">
      <c r="A67" t="inlineStr">
        <is>
          <t>62</t>
        </is>
      </c>
      <c r="B67" t="inlineStr">
        <is>
          <t>7734455247</t>
        </is>
      </c>
      <c r="C67" t="inlineStr">
        <is>
          <t>2026-01-27 21:51:34</t>
        </is>
      </c>
      <c r="D67" t="inlineStr">
        <is>
          <t>5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355</v>
      </c>
      <c r="P67" t="n">
        <v>3.5</v>
      </c>
      <c r="Q67" t="n">
        <v>0</v>
      </c>
      <c r="R67" t="n">
        <v>75</v>
      </c>
      <c r="S67" t="n">
        <v>0</v>
      </c>
      <c r="T67" t="n">
        <v>0</v>
      </c>
      <c r="U67" t="n">
        <v>0</v>
      </c>
      <c r="V67" t="n">
        <v>14.18</v>
      </c>
      <c r="W67" t="n">
        <v>297.68</v>
      </c>
      <c r="X67" t="n">
        <v>283.5</v>
      </c>
      <c r="Y67" t="n">
        <v>19</v>
      </c>
      <c r="Z67" t="n">
        <v>53.86</v>
      </c>
      <c r="AA67" t="n">
        <v>5.48</v>
      </c>
      <c r="AB67" t="n">
        <v>59.34</v>
      </c>
      <c r="AC67" t="n">
        <v>10.68</v>
      </c>
      <c r="AD67" t="n">
        <v>0</v>
      </c>
      <c r="AE67" t="n">
        <v>283.5</v>
      </c>
      <c r="AF67" t="n">
        <v>0</v>
      </c>
      <c r="AG67" t="n">
        <v>0</v>
      </c>
      <c r="AH67" t="n">
        <v>0.28</v>
      </c>
      <c r="AI67" t="n">
        <v>14.18</v>
      </c>
      <c r="AJ67" t="n">
        <v>0</v>
      </c>
      <c r="AK67" t="n">
        <v>25.14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84.48</v>
      </c>
      <c r="AV67" t="n">
        <v>0</v>
      </c>
      <c r="AW67" t="n">
        <v>213.2</v>
      </c>
      <c r="AX67" t="inlineStr">
        <is>
          <t>pending</t>
        </is>
      </c>
      <c r="AY67" t="inlineStr">
        <is>
          <t>NA</t>
        </is>
      </c>
      <c r="AZ67" t="inlineStr">
        <is>
          <t>NA</t>
        </is>
      </c>
      <c r="BA67" t="n">
        <v>213.2</v>
      </c>
      <c r="BB67" t="inlineStr">
        <is>
          <t>4f5a8f028b85e0f31403d755a023b6f95d519af98ac1209872219a55aeb33694</t>
        </is>
      </c>
    </row>
    <row r="68">
      <c r="A68" t="inlineStr">
        <is>
          <t>63</t>
        </is>
      </c>
      <c r="B68" t="inlineStr">
        <is>
          <t>7734272586</t>
        </is>
      </c>
      <c r="C68" t="inlineStr">
        <is>
          <t>2026-01-27 22:27:03</t>
        </is>
      </c>
      <c r="D68" t="inlineStr">
        <is>
          <t>5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229</v>
      </c>
      <c r="P68" t="n">
        <v>3.5</v>
      </c>
      <c r="Q68" t="n">
        <v>0</v>
      </c>
      <c r="R68" t="n">
        <v>68.7</v>
      </c>
      <c r="S68" t="n">
        <v>0</v>
      </c>
      <c r="T68" t="n">
        <v>0</v>
      </c>
      <c r="U68" t="n">
        <v>0</v>
      </c>
      <c r="V68" t="n">
        <v>8.19</v>
      </c>
      <c r="W68" t="n">
        <v>171.99</v>
      </c>
      <c r="X68" t="n">
        <v>163.8</v>
      </c>
      <c r="Y68" t="n">
        <v>19</v>
      </c>
      <c r="Z68" t="n">
        <v>31.12</v>
      </c>
      <c r="AA68" t="n">
        <v>3.16</v>
      </c>
      <c r="AB68" t="n">
        <v>34.28</v>
      </c>
      <c r="AC68" t="n">
        <v>6.17</v>
      </c>
      <c r="AD68" t="n">
        <v>0</v>
      </c>
      <c r="AE68" t="n">
        <v>163.8</v>
      </c>
      <c r="AF68" t="n">
        <v>0</v>
      </c>
      <c r="AG68" t="n">
        <v>0</v>
      </c>
      <c r="AH68" t="n">
        <v>0.16</v>
      </c>
      <c r="AI68" t="n">
        <v>8.199999999999999</v>
      </c>
      <c r="AJ68" t="n">
        <v>-0.01</v>
      </c>
      <c r="AK68" t="n">
        <v>14.53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48.81</v>
      </c>
      <c r="AV68" t="n">
        <v>0</v>
      </c>
      <c r="AW68" t="n">
        <v>123.18</v>
      </c>
      <c r="AX68" t="inlineStr">
        <is>
          <t>pending</t>
        </is>
      </c>
      <c r="AY68" t="inlineStr">
        <is>
          <t>NA</t>
        </is>
      </c>
      <c r="AZ68" t="inlineStr">
        <is>
          <t>NA</t>
        </is>
      </c>
      <c r="BA68" t="n">
        <v>123.18</v>
      </c>
      <c r="BB68" t="inlineStr">
        <is>
          <t>1719b4acbcc3243e0387e0aa73d5964456e1780696f9fb3823f39ae20e2de89d</t>
        </is>
      </c>
    </row>
    <row r="69">
      <c r="A69" t="inlineStr">
        <is>
          <t>64</t>
        </is>
      </c>
      <c r="B69" t="inlineStr">
        <is>
          <t>7728887898</t>
        </is>
      </c>
      <c r="C69" t="inlineStr">
        <is>
          <t>2026-01-27 22:44:54</t>
        </is>
      </c>
      <c r="D69" t="inlineStr">
        <is>
          <t>5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30% off upto ₹75 (2025-06-25 - 2031-01-01)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458</v>
      </c>
      <c r="P69" t="n">
        <v>3.5</v>
      </c>
      <c r="Q69" t="n">
        <v>0</v>
      </c>
      <c r="R69" t="n">
        <v>75</v>
      </c>
      <c r="S69" t="n">
        <v>0</v>
      </c>
      <c r="T69" t="n">
        <v>0</v>
      </c>
      <c r="U69" t="n">
        <v>0</v>
      </c>
      <c r="V69" t="n">
        <v>19.33</v>
      </c>
      <c r="W69" t="n">
        <v>405.83</v>
      </c>
      <c r="X69" t="n">
        <v>386.5</v>
      </c>
      <c r="Y69" t="n">
        <v>19</v>
      </c>
      <c r="Z69" t="n">
        <v>73.44</v>
      </c>
      <c r="AA69" t="n">
        <v>7.47</v>
      </c>
      <c r="AB69" t="n">
        <v>80.91</v>
      </c>
      <c r="AC69" t="n">
        <v>14.56</v>
      </c>
      <c r="AD69" t="n">
        <v>0</v>
      </c>
      <c r="AE69" t="n">
        <v>386.5</v>
      </c>
      <c r="AF69" t="n">
        <v>0</v>
      </c>
      <c r="AG69" t="n">
        <v>0</v>
      </c>
      <c r="AH69" t="n">
        <v>0.39</v>
      </c>
      <c r="AI69" t="n">
        <v>19.33</v>
      </c>
      <c r="AJ69" t="n">
        <v>0</v>
      </c>
      <c r="AK69" t="n">
        <v>34.28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115.19</v>
      </c>
      <c r="AV69" t="n">
        <v>0</v>
      </c>
      <c r="AW69" t="n">
        <v>290.64</v>
      </c>
      <c r="AX69" t="inlineStr">
        <is>
          <t>pending</t>
        </is>
      </c>
      <c r="AY69" t="inlineStr">
        <is>
          <t>NA</t>
        </is>
      </c>
      <c r="AZ69" t="inlineStr">
        <is>
          <t>NA</t>
        </is>
      </c>
      <c r="BA69" t="n">
        <v>290.64</v>
      </c>
      <c r="BB69" t="inlineStr">
        <is>
          <t>423958b0ead225b2cf90431398202ad627baeae091037a4df4378dd733a0acb8</t>
        </is>
      </c>
    </row>
    <row r="70">
      <c r="A70" t="inlineStr">
        <is>
          <t>65</t>
        </is>
      </c>
      <c r="B70" t="inlineStr">
        <is>
          <t>7731868511</t>
        </is>
      </c>
      <c r="C70" t="inlineStr">
        <is>
          <t>2026-01-27 22:59:46</t>
        </is>
      </c>
      <c r="D70" t="inlineStr">
        <is>
          <t>5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268</v>
      </c>
      <c r="P70" t="n">
        <v>3.5</v>
      </c>
      <c r="Q70" t="n">
        <v>0</v>
      </c>
      <c r="R70" t="n">
        <v>75</v>
      </c>
      <c r="S70" t="n">
        <v>0</v>
      </c>
      <c r="T70" t="n">
        <v>0</v>
      </c>
      <c r="U70" t="n">
        <v>0</v>
      </c>
      <c r="V70" t="n">
        <v>9.83</v>
      </c>
      <c r="W70" t="n">
        <v>206.33</v>
      </c>
      <c r="X70" t="n">
        <v>196.5</v>
      </c>
      <c r="Y70" t="n">
        <v>19</v>
      </c>
      <c r="Z70" t="n">
        <v>37.34</v>
      </c>
      <c r="AA70" t="n">
        <v>3.8</v>
      </c>
      <c r="AB70" t="n">
        <v>41.14</v>
      </c>
      <c r="AC70" t="n">
        <v>7.4</v>
      </c>
      <c r="AD70" t="n">
        <v>0</v>
      </c>
      <c r="AE70" t="n">
        <v>196.5</v>
      </c>
      <c r="AF70" t="n">
        <v>0</v>
      </c>
      <c r="AG70" t="n">
        <v>0</v>
      </c>
      <c r="AH70" t="n">
        <v>0.2</v>
      </c>
      <c r="AI70" t="n">
        <v>9.83</v>
      </c>
      <c r="AJ70" t="n">
        <v>0</v>
      </c>
      <c r="AK70" t="n">
        <v>17.43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58.57</v>
      </c>
      <c r="AV70" t="n">
        <v>0</v>
      </c>
      <c r="AW70" t="n">
        <v>147.76</v>
      </c>
      <c r="AX70" t="inlineStr">
        <is>
          <t>pending</t>
        </is>
      </c>
      <c r="AY70" t="inlineStr">
        <is>
          <t>NA</t>
        </is>
      </c>
      <c r="AZ70" t="inlineStr">
        <is>
          <t>NA</t>
        </is>
      </c>
      <c r="BA70" t="n">
        <v>147.76</v>
      </c>
      <c r="BB70" t="inlineStr">
        <is>
          <t>911de08225c84d5ef5c96d63fdf01a71d69fe964f6fb1a538e2d99c13cb6439c</t>
        </is>
      </c>
    </row>
    <row r="71">
      <c r="A71" t="inlineStr">
        <is>
          <t>66</t>
        </is>
      </c>
      <c r="B71" t="inlineStr">
        <is>
          <t>7733409958</t>
        </is>
      </c>
      <c r="C71" t="inlineStr">
        <is>
          <t>2026-01-28 00:32:23</t>
        </is>
      </c>
      <c r="D71" t="inlineStr">
        <is>
          <t>5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30% off upto ₹75 (2025-06-25 - 2031-01-01)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355</v>
      </c>
      <c r="P71" t="n">
        <v>3.5</v>
      </c>
      <c r="Q71" t="n">
        <v>0</v>
      </c>
      <c r="R71" t="n">
        <v>75</v>
      </c>
      <c r="S71" t="n">
        <v>0</v>
      </c>
      <c r="T71" t="n">
        <v>0</v>
      </c>
      <c r="U71" t="n">
        <v>0</v>
      </c>
      <c r="V71" t="n">
        <v>14.18</v>
      </c>
      <c r="W71" t="n">
        <v>297.68</v>
      </c>
      <c r="X71" t="n">
        <v>283.5</v>
      </c>
      <c r="Y71" t="n">
        <v>19</v>
      </c>
      <c r="Z71" t="n">
        <v>53.86</v>
      </c>
      <c r="AA71" t="n">
        <v>5.48</v>
      </c>
      <c r="AB71" t="n">
        <v>59.34</v>
      </c>
      <c r="AC71" t="n">
        <v>10.68</v>
      </c>
      <c r="AD71" t="n">
        <v>0</v>
      </c>
      <c r="AE71" t="n">
        <v>283.5</v>
      </c>
      <c r="AF71" t="n">
        <v>0</v>
      </c>
      <c r="AG71" t="n">
        <v>0</v>
      </c>
      <c r="AH71" t="n">
        <v>0.28</v>
      </c>
      <c r="AI71" t="n">
        <v>14.18</v>
      </c>
      <c r="AJ71" t="n">
        <v>0</v>
      </c>
      <c r="AK71" t="n">
        <v>25.14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84.48</v>
      </c>
      <c r="AV71" t="n">
        <v>0</v>
      </c>
      <c r="AW71" t="n">
        <v>213.2</v>
      </c>
      <c r="AX71" t="inlineStr">
        <is>
          <t>pending</t>
        </is>
      </c>
      <c r="AY71" t="inlineStr">
        <is>
          <t>NA</t>
        </is>
      </c>
      <c r="AZ71" t="inlineStr">
        <is>
          <t>NA</t>
        </is>
      </c>
      <c r="BA71" t="n">
        <v>213.2</v>
      </c>
      <c r="BB71" t="inlineStr">
        <is>
          <t>36ad5267b8bc390fdc5d421abeb6db37ed340d010ec2866a68cd610aeaaf08a0</t>
        </is>
      </c>
    </row>
    <row r="72">
      <c r="A72" t="inlineStr">
        <is>
          <t>67</t>
        </is>
      </c>
      <c r="B72" t="inlineStr">
        <is>
          <t>7729463308</t>
        </is>
      </c>
      <c r="C72" t="inlineStr">
        <is>
          <t>2026-01-28 00:39:21</t>
        </is>
      </c>
      <c r="D72" t="inlineStr">
        <is>
          <t>5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NA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229</v>
      </c>
      <c r="P72" t="n">
        <v>3.5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11.63</v>
      </c>
      <c r="W72" t="n">
        <v>244.13</v>
      </c>
      <c r="X72" t="n">
        <v>232.5</v>
      </c>
      <c r="Y72" t="n">
        <v>19</v>
      </c>
      <c r="Z72" t="n">
        <v>44.18</v>
      </c>
      <c r="AA72" t="n">
        <v>4.49</v>
      </c>
      <c r="AB72" t="n">
        <v>48.67</v>
      </c>
      <c r="AC72" t="n">
        <v>8.76</v>
      </c>
      <c r="AD72" t="n">
        <v>0</v>
      </c>
      <c r="AE72" t="n">
        <v>232.5</v>
      </c>
      <c r="AF72" t="n">
        <v>0</v>
      </c>
      <c r="AG72" t="n">
        <v>0</v>
      </c>
      <c r="AH72" t="n">
        <v>0.23</v>
      </c>
      <c r="AI72" t="n">
        <v>11.63</v>
      </c>
      <c r="AJ72" t="n">
        <v>0</v>
      </c>
      <c r="AK72" t="n">
        <v>20.62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69.29000000000001</v>
      </c>
      <c r="AV72" t="n">
        <v>0</v>
      </c>
      <c r="AW72" t="n">
        <v>174.84</v>
      </c>
      <c r="AX72" t="inlineStr">
        <is>
          <t>pending</t>
        </is>
      </c>
      <c r="AY72" t="inlineStr">
        <is>
          <t>NA</t>
        </is>
      </c>
      <c r="AZ72" t="inlineStr">
        <is>
          <t>NA</t>
        </is>
      </c>
      <c r="BA72" t="n">
        <v>174.84</v>
      </c>
      <c r="BB72" t="inlineStr">
        <is>
          <t>0b26d30a43b598aa9efce48a75fe4bd1b91c3a2d3238bfc8412f74fc6209e524</t>
        </is>
      </c>
    </row>
    <row r="73">
      <c r="A73" t="inlineStr">
        <is>
          <t>68</t>
        </is>
      </c>
      <c r="B73" t="inlineStr">
        <is>
          <t>7736885085</t>
        </is>
      </c>
      <c r="C73" t="inlineStr">
        <is>
          <t>2026-01-28 00:40:43</t>
        </is>
      </c>
      <c r="D73" t="inlineStr">
        <is>
          <t>5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229</v>
      </c>
      <c r="P73" t="n">
        <v>3.5</v>
      </c>
      <c r="Q73" t="n">
        <v>0</v>
      </c>
      <c r="R73" t="n">
        <v>68.7</v>
      </c>
      <c r="S73" t="n">
        <v>0</v>
      </c>
      <c r="T73" t="n">
        <v>0</v>
      </c>
      <c r="U73" t="n">
        <v>0</v>
      </c>
      <c r="V73" t="n">
        <v>8.19</v>
      </c>
      <c r="W73" t="n">
        <v>171.99</v>
      </c>
      <c r="X73" t="n">
        <v>163.8</v>
      </c>
      <c r="Y73" t="n">
        <v>19</v>
      </c>
      <c r="Z73" t="n">
        <v>31.12</v>
      </c>
      <c r="AA73" t="n">
        <v>3.16</v>
      </c>
      <c r="AB73" t="n">
        <v>34.28</v>
      </c>
      <c r="AC73" t="n">
        <v>6.17</v>
      </c>
      <c r="AD73" t="n">
        <v>0</v>
      </c>
      <c r="AE73" t="n">
        <v>163.8</v>
      </c>
      <c r="AF73" t="n">
        <v>0</v>
      </c>
      <c r="AG73" t="n">
        <v>0</v>
      </c>
      <c r="AH73" t="n">
        <v>0.16</v>
      </c>
      <c r="AI73" t="n">
        <v>8.199999999999999</v>
      </c>
      <c r="AJ73" t="n">
        <v>-0.01</v>
      </c>
      <c r="AK73" t="n">
        <v>14.53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48.81</v>
      </c>
      <c r="AV73" t="n">
        <v>0</v>
      </c>
      <c r="AW73" t="n">
        <v>123.18</v>
      </c>
      <c r="AX73" t="inlineStr">
        <is>
          <t>pending</t>
        </is>
      </c>
      <c r="AY73" t="inlineStr">
        <is>
          <t>NA</t>
        </is>
      </c>
      <c r="AZ73" t="inlineStr">
        <is>
          <t>NA</t>
        </is>
      </c>
      <c r="BA73" t="n">
        <v>123.18</v>
      </c>
      <c r="BB73" t="inlineStr">
        <is>
          <t>7f472c8f76a08147af88882bc860b18ae07d33b79cdd9cc7dac0265b94043fa8</t>
        </is>
      </c>
    </row>
    <row r="74">
      <c r="A74" t="inlineStr">
        <is>
          <t>69</t>
        </is>
      </c>
      <c r="B74" t="inlineStr">
        <is>
          <t>7730919946</t>
        </is>
      </c>
      <c r="C74" t="inlineStr">
        <is>
          <t>2026-01-28 00:43:48</t>
        </is>
      </c>
      <c r="D74" t="inlineStr">
        <is>
          <t>5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229</v>
      </c>
      <c r="P74" t="n">
        <v>3.5</v>
      </c>
      <c r="Q74" t="n">
        <v>0</v>
      </c>
      <c r="R74" t="n">
        <v>68.7</v>
      </c>
      <c r="S74" t="n">
        <v>0</v>
      </c>
      <c r="T74" t="n">
        <v>0</v>
      </c>
      <c r="U74" t="n">
        <v>0</v>
      </c>
      <c r="V74" t="n">
        <v>8.19</v>
      </c>
      <c r="W74" t="n">
        <v>171.99</v>
      </c>
      <c r="X74" t="n">
        <v>163.8</v>
      </c>
      <c r="Y74" t="n">
        <v>19</v>
      </c>
      <c r="Z74" t="n">
        <v>31.12</v>
      </c>
      <c r="AA74" t="n">
        <v>3.16</v>
      </c>
      <c r="AB74" t="n">
        <v>34.28</v>
      </c>
      <c r="AC74" t="n">
        <v>6.17</v>
      </c>
      <c r="AD74" t="n">
        <v>0</v>
      </c>
      <c r="AE74" t="n">
        <v>163.8</v>
      </c>
      <c r="AF74" t="n">
        <v>0</v>
      </c>
      <c r="AG74" t="n">
        <v>0</v>
      </c>
      <c r="AH74" t="n">
        <v>0.16</v>
      </c>
      <c r="AI74" t="n">
        <v>8.199999999999999</v>
      </c>
      <c r="AJ74" t="n">
        <v>-0.01</v>
      </c>
      <c r="AK74" t="n">
        <v>14.53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48.81</v>
      </c>
      <c r="AV74" t="n">
        <v>0</v>
      </c>
      <c r="AW74" t="n">
        <v>123.18</v>
      </c>
      <c r="AX74" t="inlineStr">
        <is>
          <t>pending</t>
        </is>
      </c>
      <c r="AY74" t="inlineStr">
        <is>
          <t>NA</t>
        </is>
      </c>
      <c r="AZ74" t="inlineStr">
        <is>
          <t>NA</t>
        </is>
      </c>
      <c r="BA74" t="n">
        <v>123.18</v>
      </c>
      <c r="BB74" t="inlineStr">
        <is>
          <t>a4fc402911ccc3a30d9d43744f0bde6403be6223dcbb1ed82a242aaa9108eb9e</t>
        </is>
      </c>
    </row>
    <row r="75">
      <c r="A75" t="inlineStr">
        <is>
          <t>70</t>
        </is>
      </c>
      <c r="B75" t="inlineStr">
        <is>
          <t>7731335807</t>
        </is>
      </c>
      <c r="C75" t="inlineStr">
        <is>
          <t>2026-01-28 01:01:16</t>
        </is>
      </c>
      <c r="D75" t="inlineStr">
        <is>
          <t>5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30% off upto ₹75 (2025-06-25 - 2031-01-01)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229</v>
      </c>
      <c r="P75" t="n">
        <v>3.5</v>
      </c>
      <c r="Q75" t="n">
        <v>0</v>
      </c>
      <c r="R75" t="n">
        <v>68.7</v>
      </c>
      <c r="S75" t="n">
        <v>0</v>
      </c>
      <c r="T75" t="n">
        <v>0</v>
      </c>
      <c r="U75" t="n">
        <v>0</v>
      </c>
      <c r="V75" t="n">
        <v>8.19</v>
      </c>
      <c r="W75" t="n">
        <v>171.99</v>
      </c>
      <c r="X75" t="n">
        <v>163.8</v>
      </c>
      <c r="Y75" t="n">
        <v>19</v>
      </c>
      <c r="Z75" t="n">
        <v>31.12</v>
      </c>
      <c r="AA75" t="n">
        <v>3.16</v>
      </c>
      <c r="AB75" t="n">
        <v>34.28</v>
      </c>
      <c r="AC75" t="n">
        <v>6.17</v>
      </c>
      <c r="AD75" t="n">
        <v>0</v>
      </c>
      <c r="AE75" t="n">
        <v>163.8</v>
      </c>
      <c r="AF75" t="n">
        <v>0</v>
      </c>
      <c r="AG75" t="n">
        <v>0</v>
      </c>
      <c r="AH75" t="n">
        <v>0.16</v>
      </c>
      <c r="AI75" t="n">
        <v>8.199999999999999</v>
      </c>
      <c r="AJ75" t="n">
        <v>-0.01</v>
      </c>
      <c r="AK75" t="n">
        <v>14.53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48.81</v>
      </c>
      <c r="AV75" t="n">
        <v>0</v>
      </c>
      <c r="AW75" t="n">
        <v>123.18</v>
      </c>
      <c r="AX75" t="inlineStr">
        <is>
          <t>pending</t>
        </is>
      </c>
      <c r="AY75" t="inlineStr">
        <is>
          <t>NA</t>
        </is>
      </c>
      <c r="AZ75" t="inlineStr">
        <is>
          <t>NA</t>
        </is>
      </c>
      <c r="BA75" t="n">
        <v>123.18</v>
      </c>
      <c r="BB75" t="inlineStr">
        <is>
          <t>15b8a3b3d7c18a78a17720f695fb00d8c3c6a9dd0d67a7e596f9ec15d5eba516</t>
        </is>
      </c>
    </row>
    <row r="76">
      <c r="A76" t="inlineStr">
        <is>
          <t>71</t>
        </is>
      </c>
      <c r="B76" t="inlineStr">
        <is>
          <t>7737120582</t>
        </is>
      </c>
      <c r="C76" t="inlineStr">
        <is>
          <t>2026-01-28 08:57:07</t>
        </is>
      </c>
      <c r="D76" t="inlineStr">
        <is>
          <t>5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229</v>
      </c>
      <c r="P76" t="n">
        <v>3.5</v>
      </c>
      <c r="Q76" t="n">
        <v>0</v>
      </c>
      <c r="R76" t="n">
        <v>68.7</v>
      </c>
      <c r="S76" t="n">
        <v>0</v>
      </c>
      <c r="T76" t="n">
        <v>0</v>
      </c>
      <c r="U76" t="n">
        <v>0</v>
      </c>
      <c r="V76" t="n">
        <v>8.19</v>
      </c>
      <c r="W76" t="n">
        <v>171.99</v>
      </c>
      <c r="X76" t="n">
        <v>163.8</v>
      </c>
      <c r="Y76" t="n">
        <v>19</v>
      </c>
      <c r="Z76" t="n">
        <v>31.12</v>
      </c>
      <c r="AA76" t="n">
        <v>3.16</v>
      </c>
      <c r="AB76" t="n">
        <v>34.28</v>
      </c>
      <c r="AC76" t="n">
        <v>6.17</v>
      </c>
      <c r="AD76" t="n">
        <v>0</v>
      </c>
      <c r="AE76" t="n">
        <v>163.8</v>
      </c>
      <c r="AF76" t="n">
        <v>0</v>
      </c>
      <c r="AG76" t="n">
        <v>0</v>
      </c>
      <c r="AH76" t="n">
        <v>0.16</v>
      </c>
      <c r="AI76" t="n">
        <v>8.199999999999999</v>
      </c>
      <c r="AJ76" t="n">
        <v>-0.01</v>
      </c>
      <c r="AK76" t="n">
        <v>14.53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48.81</v>
      </c>
      <c r="AV76" t="n">
        <v>0</v>
      </c>
      <c r="AW76" t="n">
        <v>123.18</v>
      </c>
      <c r="AX76" t="inlineStr">
        <is>
          <t>pending</t>
        </is>
      </c>
      <c r="AY76" t="inlineStr">
        <is>
          <t>NA</t>
        </is>
      </c>
      <c r="AZ76" t="inlineStr">
        <is>
          <t>NA</t>
        </is>
      </c>
      <c r="BA76" t="n">
        <v>123.18</v>
      </c>
      <c r="BB76" t="inlineStr">
        <is>
          <t>9cfa10509601bffde20aeb2ca32fc1e4547affe0bb5b43a1548b021e55198111</t>
        </is>
      </c>
    </row>
    <row r="77">
      <c r="A77" t="inlineStr">
        <is>
          <t>72</t>
        </is>
      </c>
      <c r="B77" t="inlineStr">
        <is>
          <t>7733952019</t>
        </is>
      </c>
      <c r="C77" t="inlineStr">
        <is>
          <t>2026-01-28 12:28:37</t>
        </is>
      </c>
      <c r="D77" t="inlineStr">
        <is>
          <t>5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30% off upto ₹75 (2025-06-25 - 2031-01-01)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229</v>
      </c>
      <c r="P77" t="n">
        <v>3.5</v>
      </c>
      <c r="Q77" t="n">
        <v>0</v>
      </c>
      <c r="R77" t="n">
        <v>68.7</v>
      </c>
      <c r="S77" t="n">
        <v>0</v>
      </c>
      <c r="T77" t="n">
        <v>0</v>
      </c>
      <c r="U77" t="n">
        <v>0</v>
      </c>
      <c r="V77" t="n">
        <v>8.19</v>
      </c>
      <c r="W77" t="n">
        <v>171.99</v>
      </c>
      <c r="X77" t="n">
        <v>163.8</v>
      </c>
      <c r="Y77" t="n">
        <v>19</v>
      </c>
      <c r="Z77" t="n">
        <v>31.12</v>
      </c>
      <c r="AA77" t="n">
        <v>3.16</v>
      </c>
      <c r="AB77" t="n">
        <v>34.28</v>
      </c>
      <c r="AC77" t="n">
        <v>6.17</v>
      </c>
      <c r="AD77" t="n">
        <v>0</v>
      </c>
      <c r="AE77" t="n">
        <v>163.8</v>
      </c>
      <c r="AF77" t="n">
        <v>0</v>
      </c>
      <c r="AG77" t="n">
        <v>0</v>
      </c>
      <c r="AH77" t="n">
        <v>0.16</v>
      </c>
      <c r="AI77" t="n">
        <v>8.199999999999999</v>
      </c>
      <c r="AJ77" t="n">
        <v>-0.01</v>
      </c>
      <c r="AK77" t="n">
        <v>14.53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48.81</v>
      </c>
      <c r="AV77" t="n">
        <v>0</v>
      </c>
      <c r="AW77" t="n">
        <v>123.18</v>
      </c>
      <c r="AX77" t="inlineStr">
        <is>
          <t>pending</t>
        </is>
      </c>
      <c r="AY77" t="inlineStr">
        <is>
          <t>NA</t>
        </is>
      </c>
      <c r="AZ77" t="inlineStr">
        <is>
          <t>NA</t>
        </is>
      </c>
      <c r="BA77" t="n">
        <v>123.18</v>
      </c>
      <c r="BB77" t="inlineStr">
        <is>
          <t>64c9168664b49b3b32044fe500249f4755abc357839cec5411a53255660dc09e</t>
        </is>
      </c>
    </row>
    <row r="78">
      <c r="A78" t="inlineStr">
        <is>
          <t>73</t>
        </is>
      </c>
      <c r="B78" t="inlineStr">
        <is>
          <t>7736526207</t>
        </is>
      </c>
      <c r="C78" t="inlineStr">
        <is>
          <t>2026-01-28 12:46:33</t>
        </is>
      </c>
      <c r="D78" t="inlineStr">
        <is>
          <t>5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30% off upto ₹75 (2025-06-25 - 2031-01-01)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636</v>
      </c>
      <c r="P78" t="n">
        <v>3.5</v>
      </c>
      <c r="Q78" t="n">
        <v>0</v>
      </c>
      <c r="R78" t="n">
        <v>75</v>
      </c>
      <c r="S78" t="n">
        <v>0</v>
      </c>
      <c r="T78" t="n">
        <v>0</v>
      </c>
      <c r="U78" t="n">
        <v>0</v>
      </c>
      <c r="V78" t="n">
        <v>28.23</v>
      </c>
      <c r="W78" t="n">
        <v>592.73</v>
      </c>
      <c r="X78" t="n">
        <v>564.5</v>
      </c>
      <c r="Y78" t="n">
        <v>19</v>
      </c>
      <c r="Z78" t="n">
        <v>107.26</v>
      </c>
      <c r="AA78" t="n">
        <v>10.91</v>
      </c>
      <c r="AB78" t="n">
        <v>118.17</v>
      </c>
      <c r="AC78" t="n">
        <v>21.27</v>
      </c>
      <c r="AD78" t="n">
        <v>0</v>
      </c>
      <c r="AE78" t="n">
        <v>564.5</v>
      </c>
      <c r="AF78" t="n">
        <v>0</v>
      </c>
      <c r="AG78" t="n">
        <v>0</v>
      </c>
      <c r="AH78" t="n">
        <v>0.5600000000000001</v>
      </c>
      <c r="AI78" t="n">
        <v>28.23</v>
      </c>
      <c r="AJ78" t="n">
        <v>0</v>
      </c>
      <c r="AK78" t="n">
        <v>50.06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168.23</v>
      </c>
      <c r="AV78" t="n">
        <v>0</v>
      </c>
      <c r="AW78" t="n">
        <v>424.5</v>
      </c>
      <c r="AX78" t="inlineStr">
        <is>
          <t>pending</t>
        </is>
      </c>
      <c r="AY78" t="inlineStr">
        <is>
          <t>NA</t>
        </is>
      </c>
      <c r="AZ78" t="inlineStr">
        <is>
          <t>NA</t>
        </is>
      </c>
      <c r="BA78" t="n">
        <v>424.5</v>
      </c>
      <c r="BB78" t="inlineStr">
        <is>
          <t>07b5f59c71e625c618c480f034375b7283501a4e09ff62e20f396e8555549d54</t>
        </is>
      </c>
    </row>
    <row r="79">
      <c r="A79" t="inlineStr">
        <is>
          <t>74</t>
        </is>
      </c>
      <c r="B79" t="inlineStr">
        <is>
          <t>7735924867</t>
        </is>
      </c>
      <c r="C79" t="inlineStr">
        <is>
          <t>2026-01-28 12:52:32</t>
        </is>
      </c>
      <c r="D79" t="inlineStr">
        <is>
          <t>5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NA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438</v>
      </c>
      <c r="P79" t="n">
        <v>3.5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22.08</v>
      </c>
      <c r="W79" t="n">
        <v>463.58</v>
      </c>
      <c r="X79" t="n">
        <v>441.5</v>
      </c>
      <c r="Y79" t="n">
        <v>19</v>
      </c>
      <c r="Z79" t="n">
        <v>83.88</v>
      </c>
      <c r="AA79" t="n">
        <v>8.529999999999999</v>
      </c>
      <c r="AB79" t="n">
        <v>92.41</v>
      </c>
      <c r="AC79" t="n">
        <v>16.64</v>
      </c>
      <c r="AD79" t="n">
        <v>0</v>
      </c>
      <c r="AE79" t="n">
        <v>441.5</v>
      </c>
      <c r="AF79" t="n">
        <v>0</v>
      </c>
      <c r="AG79" t="n">
        <v>0</v>
      </c>
      <c r="AH79" t="n">
        <v>0.44</v>
      </c>
      <c r="AI79" t="n">
        <v>22.08</v>
      </c>
      <c r="AJ79" t="n">
        <v>0</v>
      </c>
      <c r="AK79" t="n">
        <v>39.16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131.57</v>
      </c>
      <c r="AV79" t="n">
        <v>0</v>
      </c>
      <c r="AW79" t="n">
        <v>332.01</v>
      </c>
      <c r="AX79" t="inlineStr">
        <is>
          <t>pending</t>
        </is>
      </c>
      <c r="AY79" t="inlineStr">
        <is>
          <t>NA</t>
        </is>
      </c>
      <c r="AZ79" t="inlineStr">
        <is>
          <t>NA</t>
        </is>
      </c>
      <c r="BA79" t="n">
        <v>332.01</v>
      </c>
      <c r="BB79" t="inlineStr">
        <is>
          <t>8b6818239672cecb38246923e96f631229533c67e3909d37ce2fdcb298c8c1a7</t>
        </is>
      </c>
    </row>
    <row r="80">
      <c r="A80" t="inlineStr">
        <is>
          <t>75</t>
        </is>
      </c>
      <c r="B80" t="inlineStr">
        <is>
          <t>7734328912</t>
        </is>
      </c>
      <c r="C80" t="inlineStr">
        <is>
          <t>2026-01-28 12:57:56</t>
        </is>
      </c>
      <c r="D80" t="inlineStr">
        <is>
          <t>5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497</v>
      </c>
      <c r="P80" t="n">
        <v>3.5</v>
      </c>
      <c r="Q80" t="n">
        <v>0</v>
      </c>
      <c r="R80" t="n">
        <v>75</v>
      </c>
      <c r="S80" t="n">
        <v>0</v>
      </c>
      <c r="T80" t="n">
        <v>0</v>
      </c>
      <c r="U80" t="n">
        <v>0</v>
      </c>
      <c r="V80" t="n">
        <v>21.28</v>
      </c>
      <c r="W80" t="n">
        <v>446.78</v>
      </c>
      <c r="X80" t="n">
        <v>425.5</v>
      </c>
      <c r="Y80" t="n">
        <v>19</v>
      </c>
      <c r="Z80" t="n">
        <v>80.84</v>
      </c>
      <c r="AA80" t="n">
        <v>8.220000000000001</v>
      </c>
      <c r="AB80" t="n">
        <v>89.06</v>
      </c>
      <c r="AC80" t="n">
        <v>16.03</v>
      </c>
      <c r="AD80" t="n">
        <v>0</v>
      </c>
      <c r="AE80" t="n">
        <v>425.5</v>
      </c>
      <c r="AF80" t="n">
        <v>0</v>
      </c>
      <c r="AG80" t="n">
        <v>0</v>
      </c>
      <c r="AH80" t="n">
        <v>0.43</v>
      </c>
      <c r="AI80" t="n">
        <v>21.28</v>
      </c>
      <c r="AJ80" t="n">
        <v>0</v>
      </c>
      <c r="AK80" t="n">
        <v>37.74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126.8</v>
      </c>
      <c r="AV80" t="n">
        <v>0</v>
      </c>
      <c r="AW80" t="n">
        <v>319.98</v>
      </c>
      <c r="AX80" t="inlineStr">
        <is>
          <t>pending</t>
        </is>
      </c>
      <c r="AY80" t="inlineStr">
        <is>
          <t>NA</t>
        </is>
      </c>
      <c r="AZ80" t="inlineStr">
        <is>
          <t>NA</t>
        </is>
      </c>
      <c r="BA80" t="n">
        <v>319.98</v>
      </c>
      <c r="BB80" t="inlineStr">
        <is>
          <t>0f0091fb5f7c0c6a25d17f561e632d9c79768806a627c4ad133037f76ba23c1f</t>
        </is>
      </c>
    </row>
    <row r="81">
      <c r="A81" t="inlineStr">
        <is>
          <t>76</t>
        </is>
      </c>
      <c r="B81" t="inlineStr">
        <is>
          <t>7736165475</t>
        </is>
      </c>
      <c r="C81" t="inlineStr">
        <is>
          <t>2026-01-28 13:29:50</t>
        </is>
      </c>
      <c r="D81" t="inlineStr">
        <is>
          <t>5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30% off upto ₹75 (2025-06-25 - 2031-01-01)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229</v>
      </c>
      <c r="P81" t="n">
        <v>3.5</v>
      </c>
      <c r="Q81" t="n">
        <v>0</v>
      </c>
      <c r="R81" t="n">
        <v>68.7</v>
      </c>
      <c r="S81" t="n">
        <v>0</v>
      </c>
      <c r="T81" t="n">
        <v>0</v>
      </c>
      <c r="U81" t="n">
        <v>0</v>
      </c>
      <c r="V81" t="n">
        <v>8.19</v>
      </c>
      <c r="W81" t="n">
        <v>171.99</v>
      </c>
      <c r="X81" t="n">
        <v>163.8</v>
      </c>
      <c r="Y81" t="n">
        <v>19</v>
      </c>
      <c r="Z81" t="n">
        <v>31.12</v>
      </c>
      <c r="AA81" t="n">
        <v>3.16</v>
      </c>
      <c r="AB81" t="n">
        <v>34.28</v>
      </c>
      <c r="AC81" t="n">
        <v>6.17</v>
      </c>
      <c r="AD81" t="n">
        <v>0</v>
      </c>
      <c r="AE81" t="n">
        <v>163.8</v>
      </c>
      <c r="AF81" t="n">
        <v>0</v>
      </c>
      <c r="AG81" t="n">
        <v>0</v>
      </c>
      <c r="AH81" t="n">
        <v>0.16</v>
      </c>
      <c r="AI81" t="n">
        <v>8.199999999999999</v>
      </c>
      <c r="AJ81" t="n">
        <v>-0.01</v>
      </c>
      <c r="AK81" t="n">
        <v>14.53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48.81</v>
      </c>
      <c r="AV81" t="n">
        <v>0</v>
      </c>
      <c r="AW81" t="n">
        <v>123.18</v>
      </c>
      <c r="AX81" t="inlineStr">
        <is>
          <t>pending</t>
        </is>
      </c>
      <c r="AY81" t="inlineStr">
        <is>
          <t>NA</t>
        </is>
      </c>
      <c r="AZ81" t="inlineStr">
        <is>
          <t>NA</t>
        </is>
      </c>
      <c r="BA81" t="n">
        <v>123.18</v>
      </c>
      <c r="BB81" t="inlineStr">
        <is>
          <t>3159cd8d0f5ff123a1cff3b35ddbdba173220e5ee8b2befa7b865ba91dc09da1</t>
        </is>
      </c>
    </row>
    <row r="82">
      <c r="A82" t="inlineStr">
        <is>
          <t>77</t>
        </is>
      </c>
      <c r="B82" t="inlineStr">
        <is>
          <t>7733986658</t>
        </is>
      </c>
      <c r="C82" t="inlineStr">
        <is>
          <t>2026-01-28 14:14:45</t>
        </is>
      </c>
      <c r="D82" t="inlineStr">
        <is>
          <t>5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NA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355</v>
      </c>
      <c r="P82" t="n">
        <v>3.5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17.93</v>
      </c>
      <c r="W82" t="n">
        <v>376.43</v>
      </c>
      <c r="X82" t="n">
        <v>358.5</v>
      </c>
      <c r="Y82" t="n">
        <v>19</v>
      </c>
      <c r="Z82" t="n">
        <v>68.12</v>
      </c>
      <c r="AA82" t="n">
        <v>6.93</v>
      </c>
      <c r="AB82" t="n">
        <v>75.05</v>
      </c>
      <c r="AC82" t="n">
        <v>13.51</v>
      </c>
      <c r="AD82" t="n">
        <v>0</v>
      </c>
      <c r="AE82" t="n">
        <v>358.5</v>
      </c>
      <c r="AF82" t="n">
        <v>0</v>
      </c>
      <c r="AG82" t="n">
        <v>0</v>
      </c>
      <c r="AH82" t="n">
        <v>0.36</v>
      </c>
      <c r="AI82" t="n">
        <v>17.93</v>
      </c>
      <c r="AJ82" t="n">
        <v>0</v>
      </c>
      <c r="AK82" t="n">
        <v>31.8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106.85</v>
      </c>
      <c r="AV82" t="n">
        <v>0</v>
      </c>
      <c r="AW82" t="n">
        <v>269.58</v>
      </c>
      <c r="AX82" t="inlineStr">
        <is>
          <t>pending</t>
        </is>
      </c>
      <c r="AY82" t="inlineStr">
        <is>
          <t>NA</t>
        </is>
      </c>
      <c r="AZ82" t="inlineStr">
        <is>
          <t>NA</t>
        </is>
      </c>
      <c r="BA82" t="n">
        <v>269.58</v>
      </c>
      <c r="BB82" t="inlineStr">
        <is>
          <t>dcd4bc6a4b8c0e05fabeef7b06179e5fe02385a0c4d9a9e0676da2b3a1353564</t>
        </is>
      </c>
    </row>
    <row r="83">
      <c r="A83" t="inlineStr">
        <is>
          <t>78</t>
        </is>
      </c>
      <c r="B83" t="inlineStr">
        <is>
          <t>7729784249</t>
        </is>
      </c>
      <c r="C83" t="inlineStr">
        <is>
          <t>2026-01-28 14:19:56</t>
        </is>
      </c>
      <c r="D83" t="inlineStr">
        <is>
          <t>5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229</v>
      </c>
      <c r="P83" t="n">
        <v>3.5</v>
      </c>
      <c r="Q83" t="n">
        <v>0</v>
      </c>
      <c r="R83" t="n">
        <v>68.7</v>
      </c>
      <c r="S83" t="n">
        <v>0</v>
      </c>
      <c r="T83" t="n">
        <v>0</v>
      </c>
      <c r="U83" t="n">
        <v>0</v>
      </c>
      <c r="V83" t="n">
        <v>8.19</v>
      </c>
      <c r="W83" t="n">
        <v>171.99</v>
      </c>
      <c r="X83" t="n">
        <v>163.8</v>
      </c>
      <c r="Y83" t="n">
        <v>19</v>
      </c>
      <c r="Z83" t="n">
        <v>31.12</v>
      </c>
      <c r="AA83" t="n">
        <v>3.16</v>
      </c>
      <c r="AB83" t="n">
        <v>34.28</v>
      </c>
      <c r="AC83" t="n">
        <v>6.17</v>
      </c>
      <c r="AD83" t="n">
        <v>0</v>
      </c>
      <c r="AE83" t="n">
        <v>163.8</v>
      </c>
      <c r="AF83" t="n">
        <v>0</v>
      </c>
      <c r="AG83" t="n">
        <v>0</v>
      </c>
      <c r="AH83" t="n">
        <v>0.16</v>
      </c>
      <c r="AI83" t="n">
        <v>8.199999999999999</v>
      </c>
      <c r="AJ83" t="n">
        <v>-0.01</v>
      </c>
      <c r="AK83" t="n">
        <v>14.53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48.81</v>
      </c>
      <c r="AV83" t="n">
        <v>0</v>
      </c>
      <c r="AW83" t="n">
        <v>123.18</v>
      </c>
      <c r="AX83" t="inlineStr">
        <is>
          <t>pending</t>
        </is>
      </c>
      <c r="AY83" t="inlineStr">
        <is>
          <t>NA</t>
        </is>
      </c>
      <c r="AZ83" t="inlineStr">
        <is>
          <t>NA</t>
        </is>
      </c>
      <c r="BA83" t="n">
        <v>123.18</v>
      </c>
      <c r="BB83" t="inlineStr">
        <is>
          <t>4795daa0cc08654b051792e0b1fc46768c5f2bb0f2eff4fabc54e26526db74ad</t>
        </is>
      </c>
    </row>
    <row r="84">
      <c r="A84" t="inlineStr">
        <is>
          <t>79</t>
        </is>
      </c>
      <c r="B84" t="inlineStr">
        <is>
          <t>7734810255</t>
        </is>
      </c>
      <c r="C84" t="inlineStr">
        <is>
          <t>2026-01-28 14:21:20</t>
        </is>
      </c>
      <c r="D84" t="inlineStr">
        <is>
          <t>5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30% off upto ₹75 (2025-06-25 - 2031-01-01)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68.7</v>
      </c>
      <c r="S84" t="n">
        <v>0</v>
      </c>
      <c r="T84" t="n">
        <v>0</v>
      </c>
      <c r="U84" t="n">
        <v>0</v>
      </c>
      <c r="V84" t="n">
        <v>8.19</v>
      </c>
      <c r="W84" t="n">
        <v>171.99</v>
      </c>
      <c r="X84" t="n">
        <v>163.8</v>
      </c>
      <c r="Y84" t="n">
        <v>19</v>
      </c>
      <c r="Z84" t="n">
        <v>31.12</v>
      </c>
      <c r="AA84" t="n">
        <v>3.16</v>
      </c>
      <c r="AB84" t="n">
        <v>34.28</v>
      </c>
      <c r="AC84" t="n">
        <v>6.17</v>
      </c>
      <c r="AD84" t="n">
        <v>0</v>
      </c>
      <c r="AE84" t="n">
        <v>163.8</v>
      </c>
      <c r="AF84" t="n">
        <v>0</v>
      </c>
      <c r="AG84" t="n">
        <v>0</v>
      </c>
      <c r="AH84" t="n">
        <v>0.16</v>
      </c>
      <c r="AI84" t="n">
        <v>8.199999999999999</v>
      </c>
      <c r="AJ84" t="n">
        <v>-0.01</v>
      </c>
      <c r="AK84" t="n">
        <v>14.53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48.81</v>
      </c>
      <c r="AV84" t="n">
        <v>0</v>
      </c>
      <c r="AW84" t="n">
        <v>123.18</v>
      </c>
      <c r="AX84" t="inlineStr">
        <is>
          <t>pending</t>
        </is>
      </c>
      <c r="AY84" t="inlineStr">
        <is>
          <t>NA</t>
        </is>
      </c>
      <c r="AZ84" t="inlineStr">
        <is>
          <t>NA</t>
        </is>
      </c>
      <c r="BA84" t="n">
        <v>123.18</v>
      </c>
      <c r="BB84" t="inlineStr">
        <is>
          <t>7cf43bc5f180d763e1f3bfe216e608fdfe1b0753799c806026f3805a6b2140ef</t>
        </is>
      </c>
    </row>
    <row r="85">
      <c r="A85" t="inlineStr">
        <is>
          <t>80</t>
        </is>
      </c>
      <c r="B85" t="inlineStr">
        <is>
          <t>7737508766</t>
        </is>
      </c>
      <c r="C85" t="inlineStr">
        <is>
          <t>2026-01-28 14:25:34</t>
        </is>
      </c>
      <c r="D85" t="inlineStr">
        <is>
          <t>5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30% off upto ₹75 (2025-06-25 - 2031-01-01)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229</v>
      </c>
      <c r="P85" t="n">
        <v>3.5</v>
      </c>
      <c r="Q85" t="n">
        <v>0</v>
      </c>
      <c r="R85" t="n">
        <v>68.7</v>
      </c>
      <c r="S85" t="n">
        <v>0</v>
      </c>
      <c r="T85" t="n">
        <v>0</v>
      </c>
      <c r="U85" t="n">
        <v>0</v>
      </c>
      <c r="V85" t="n">
        <v>8.19</v>
      </c>
      <c r="W85" t="n">
        <v>171.99</v>
      </c>
      <c r="X85" t="n">
        <v>163.8</v>
      </c>
      <c r="Y85" t="n">
        <v>19</v>
      </c>
      <c r="Z85" t="n">
        <v>31.12</v>
      </c>
      <c r="AA85" t="n">
        <v>3.16</v>
      </c>
      <c r="AB85" t="n">
        <v>34.28</v>
      </c>
      <c r="AC85" t="n">
        <v>6.17</v>
      </c>
      <c r="AD85" t="n">
        <v>0</v>
      </c>
      <c r="AE85" t="n">
        <v>163.8</v>
      </c>
      <c r="AF85" t="n">
        <v>0</v>
      </c>
      <c r="AG85" t="n">
        <v>0</v>
      </c>
      <c r="AH85" t="n">
        <v>0.16</v>
      </c>
      <c r="AI85" t="n">
        <v>8.199999999999999</v>
      </c>
      <c r="AJ85" t="n">
        <v>-0.01</v>
      </c>
      <c r="AK85" t="n">
        <v>14.53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48.81</v>
      </c>
      <c r="AV85" t="n">
        <v>0</v>
      </c>
      <c r="AW85" t="n">
        <v>123.18</v>
      </c>
      <c r="AX85" t="inlineStr">
        <is>
          <t>pending</t>
        </is>
      </c>
      <c r="AY85" t="inlineStr">
        <is>
          <t>NA</t>
        </is>
      </c>
      <c r="AZ85" t="inlineStr">
        <is>
          <t>NA</t>
        </is>
      </c>
      <c r="BA85" t="n">
        <v>123.18</v>
      </c>
      <c r="BB85" t="inlineStr">
        <is>
          <t>8e81b7eff10ea2f354adf96dfe97cd76692523a37865aaca86dab5b06aa04e54</t>
        </is>
      </c>
    </row>
    <row r="86">
      <c r="A86" t="inlineStr">
        <is>
          <t>81</t>
        </is>
      </c>
      <c r="B86" t="inlineStr">
        <is>
          <t>7732259129</t>
        </is>
      </c>
      <c r="C86" t="inlineStr">
        <is>
          <t>2026-01-28 14:35:58</t>
        </is>
      </c>
      <c r="D86" t="inlineStr">
        <is>
          <t>5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407</v>
      </c>
      <c r="P86" t="n">
        <v>3.5</v>
      </c>
      <c r="Q86" t="n">
        <v>0</v>
      </c>
      <c r="R86" t="n">
        <v>75</v>
      </c>
      <c r="S86" t="n">
        <v>0</v>
      </c>
      <c r="T86" t="n">
        <v>0</v>
      </c>
      <c r="U86" t="n">
        <v>0</v>
      </c>
      <c r="V86" t="n">
        <v>16.78</v>
      </c>
      <c r="W86" t="n">
        <v>352.28</v>
      </c>
      <c r="X86" t="n">
        <v>335.5</v>
      </c>
      <c r="Y86" t="n">
        <v>19</v>
      </c>
      <c r="Z86" t="n">
        <v>63.74</v>
      </c>
      <c r="AA86" t="n">
        <v>6.48</v>
      </c>
      <c r="AB86" t="n">
        <v>70.22</v>
      </c>
      <c r="AC86" t="n">
        <v>12.64</v>
      </c>
      <c r="AD86" t="n">
        <v>0</v>
      </c>
      <c r="AE86" t="n">
        <v>335.5</v>
      </c>
      <c r="AF86" t="n">
        <v>0</v>
      </c>
      <c r="AG86" t="n">
        <v>0</v>
      </c>
      <c r="AH86" t="n">
        <v>0.34</v>
      </c>
      <c r="AI86" t="n">
        <v>16.78</v>
      </c>
      <c r="AJ86" t="n">
        <v>0</v>
      </c>
      <c r="AK86" t="n">
        <v>29.76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99.98</v>
      </c>
      <c r="AV86" t="n">
        <v>0</v>
      </c>
      <c r="AW86" t="n">
        <v>252.3</v>
      </c>
      <c r="AX86" t="inlineStr">
        <is>
          <t>pending</t>
        </is>
      </c>
      <c r="AY86" t="inlineStr">
        <is>
          <t>NA</t>
        </is>
      </c>
      <c r="AZ86" t="inlineStr">
        <is>
          <t>NA</t>
        </is>
      </c>
      <c r="BA86" t="n">
        <v>252.3</v>
      </c>
      <c r="BB86" t="inlineStr">
        <is>
          <t>28cac79ae99c30b6fc34298f9cc39d02f72785498514b1c6c2de7ff87c3758f7</t>
        </is>
      </c>
    </row>
    <row r="87">
      <c r="A87" t="inlineStr">
        <is>
          <t>82</t>
        </is>
      </c>
      <c r="B87" t="inlineStr">
        <is>
          <t>7734608611</t>
        </is>
      </c>
      <c r="C87" t="inlineStr">
        <is>
          <t>2026-01-28 15:02:25</t>
        </is>
      </c>
      <c r="D87" t="inlineStr">
        <is>
          <t>5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30% off upto ₹75 (2025-06-25 - 2031-01-01)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219</v>
      </c>
      <c r="P87" t="n">
        <v>3.5</v>
      </c>
      <c r="Q87" t="n">
        <v>0</v>
      </c>
      <c r="R87" t="n">
        <v>65.7</v>
      </c>
      <c r="S87" t="n">
        <v>0</v>
      </c>
      <c r="T87" t="n">
        <v>0</v>
      </c>
      <c r="U87" t="n">
        <v>0</v>
      </c>
      <c r="V87" t="n">
        <v>7.84</v>
      </c>
      <c r="W87" t="n">
        <v>164.64</v>
      </c>
      <c r="X87" t="n">
        <v>156.8</v>
      </c>
      <c r="Y87" t="n">
        <v>19</v>
      </c>
      <c r="Z87" t="n">
        <v>29.79</v>
      </c>
      <c r="AA87" t="n">
        <v>3.03</v>
      </c>
      <c r="AB87" t="n">
        <v>32.82</v>
      </c>
      <c r="AC87" t="n">
        <v>5.91</v>
      </c>
      <c r="AD87" t="n">
        <v>0</v>
      </c>
      <c r="AE87" t="n">
        <v>156.8</v>
      </c>
      <c r="AF87" t="n">
        <v>0</v>
      </c>
      <c r="AG87" t="n">
        <v>0</v>
      </c>
      <c r="AH87" t="n">
        <v>0.16</v>
      </c>
      <c r="AI87" t="n">
        <v>7.85</v>
      </c>
      <c r="AJ87" t="n">
        <v>-0.01</v>
      </c>
      <c r="AK87" t="n">
        <v>13.92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46.74</v>
      </c>
      <c r="AV87" t="n">
        <v>0</v>
      </c>
      <c r="AW87" t="n">
        <v>117.9</v>
      </c>
      <c r="AX87" t="inlineStr">
        <is>
          <t>pending</t>
        </is>
      </c>
      <c r="AY87" t="inlineStr">
        <is>
          <t>NA</t>
        </is>
      </c>
      <c r="AZ87" t="inlineStr">
        <is>
          <t>NA</t>
        </is>
      </c>
      <c r="BA87" t="n">
        <v>117.9</v>
      </c>
      <c r="BB87" t="inlineStr">
        <is>
          <t>bf517b081194123eac9b3d47b3baa1786e5a8fba1c1e29a19af754803d660d1f</t>
        </is>
      </c>
    </row>
    <row r="88">
      <c r="A88" t="inlineStr">
        <is>
          <t>83</t>
        </is>
      </c>
      <c r="B88" t="inlineStr">
        <is>
          <t>7737064141</t>
        </is>
      </c>
      <c r="C88" t="inlineStr">
        <is>
          <t>2026-01-28 15:40:06</t>
        </is>
      </c>
      <c r="D88" t="inlineStr">
        <is>
          <t>5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NA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229</v>
      </c>
      <c r="P88" t="n">
        <v>3.5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11.63</v>
      </c>
      <c r="W88" t="n">
        <v>244.13</v>
      </c>
      <c r="X88" t="n">
        <v>232.5</v>
      </c>
      <c r="Y88" t="n">
        <v>19</v>
      </c>
      <c r="Z88" t="n">
        <v>44.18</v>
      </c>
      <c r="AA88" t="n">
        <v>4.49</v>
      </c>
      <c r="AB88" t="n">
        <v>48.67</v>
      </c>
      <c r="AC88" t="n">
        <v>8.76</v>
      </c>
      <c r="AD88" t="n">
        <v>0</v>
      </c>
      <c r="AE88" t="n">
        <v>232.5</v>
      </c>
      <c r="AF88" t="n">
        <v>0</v>
      </c>
      <c r="AG88" t="n">
        <v>0</v>
      </c>
      <c r="AH88" t="n">
        <v>0.23</v>
      </c>
      <c r="AI88" t="n">
        <v>11.63</v>
      </c>
      <c r="AJ88" t="n">
        <v>0</v>
      </c>
      <c r="AK88" t="n">
        <v>20.62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69.29000000000001</v>
      </c>
      <c r="AV88" t="n">
        <v>0</v>
      </c>
      <c r="AW88" t="n">
        <v>174.84</v>
      </c>
      <c r="AX88" t="inlineStr">
        <is>
          <t>pending</t>
        </is>
      </c>
      <c r="AY88" t="inlineStr">
        <is>
          <t>NA</t>
        </is>
      </c>
      <c r="AZ88" t="inlineStr">
        <is>
          <t>NA</t>
        </is>
      </c>
      <c r="BA88" t="n">
        <v>174.84</v>
      </c>
      <c r="BB88" t="inlineStr">
        <is>
          <t>152ff7d1493fe3814fd7b32d58d355ead84910a1678c68d31ef09f33a3efb0df</t>
        </is>
      </c>
    </row>
    <row r="89">
      <c r="A89" t="inlineStr">
        <is>
          <t>84</t>
        </is>
      </c>
      <c r="B89" t="inlineStr">
        <is>
          <t>7734648873</t>
        </is>
      </c>
      <c r="C89" t="inlineStr">
        <is>
          <t>2026-01-28 16:14:06</t>
        </is>
      </c>
      <c r="D89" t="inlineStr">
        <is>
          <t>5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229</v>
      </c>
      <c r="P89" t="n">
        <v>3.5</v>
      </c>
      <c r="Q89" t="n">
        <v>0</v>
      </c>
      <c r="R89" t="n">
        <v>68.7</v>
      </c>
      <c r="S89" t="n">
        <v>0</v>
      </c>
      <c r="T89" t="n">
        <v>0</v>
      </c>
      <c r="U89" t="n">
        <v>0</v>
      </c>
      <c r="V89" t="n">
        <v>8.19</v>
      </c>
      <c r="W89" t="n">
        <v>171.99</v>
      </c>
      <c r="X89" t="n">
        <v>163.8</v>
      </c>
      <c r="Y89" t="n">
        <v>19</v>
      </c>
      <c r="Z89" t="n">
        <v>31.12</v>
      </c>
      <c r="AA89" t="n">
        <v>3.16</v>
      </c>
      <c r="AB89" t="n">
        <v>34.28</v>
      </c>
      <c r="AC89" t="n">
        <v>6.17</v>
      </c>
      <c r="AD89" t="n">
        <v>0</v>
      </c>
      <c r="AE89" t="n">
        <v>163.8</v>
      </c>
      <c r="AF89" t="n">
        <v>0</v>
      </c>
      <c r="AG89" t="n">
        <v>0</v>
      </c>
      <c r="AH89" t="n">
        <v>0.16</v>
      </c>
      <c r="AI89" t="n">
        <v>8.199999999999999</v>
      </c>
      <c r="AJ89" t="n">
        <v>-0.01</v>
      </c>
      <c r="AK89" t="n">
        <v>14.53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48.81</v>
      </c>
      <c r="AV89" t="n">
        <v>0</v>
      </c>
      <c r="AW89" t="n">
        <v>123.18</v>
      </c>
      <c r="AX89" t="inlineStr">
        <is>
          <t>pending</t>
        </is>
      </c>
      <c r="AY89" t="inlineStr">
        <is>
          <t>NA</t>
        </is>
      </c>
      <c r="AZ89" t="inlineStr">
        <is>
          <t>NA</t>
        </is>
      </c>
      <c r="BA89" t="n">
        <v>123.18</v>
      </c>
      <c r="BB89" t="inlineStr">
        <is>
          <t>5bbf14df8938f95d3b7c17a99beb70d7782f65008db9840edde8a35ba5e8e65f</t>
        </is>
      </c>
    </row>
    <row r="90">
      <c r="A90" t="inlineStr">
        <is>
          <t>85</t>
        </is>
      </c>
      <c r="B90" t="inlineStr">
        <is>
          <t>7732263724</t>
        </is>
      </c>
      <c r="C90" t="inlineStr">
        <is>
          <t>2026-01-28 16:37:19</t>
        </is>
      </c>
      <c r="D90" t="inlineStr">
        <is>
          <t>5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NA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229</v>
      </c>
      <c r="P90" t="n">
        <v>3.5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11.63</v>
      </c>
      <c r="W90" t="n">
        <v>244.13</v>
      </c>
      <c r="X90" t="n">
        <v>232.5</v>
      </c>
      <c r="Y90" t="n">
        <v>19</v>
      </c>
      <c r="Z90" t="n">
        <v>44.18</v>
      </c>
      <c r="AA90" t="n">
        <v>4.49</v>
      </c>
      <c r="AB90" t="n">
        <v>48.67</v>
      </c>
      <c r="AC90" t="n">
        <v>8.76</v>
      </c>
      <c r="AD90" t="n">
        <v>0</v>
      </c>
      <c r="AE90" t="n">
        <v>232.5</v>
      </c>
      <c r="AF90" t="n">
        <v>0</v>
      </c>
      <c r="AG90" t="n">
        <v>0</v>
      </c>
      <c r="AH90" t="n">
        <v>0.23</v>
      </c>
      <c r="AI90" t="n">
        <v>11.63</v>
      </c>
      <c r="AJ90" t="n">
        <v>0</v>
      </c>
      <c r="AK90" t="n">
        <v>20.62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69.29000000000001</v>
      </c>
      <c r="AV90" t="n">
        <v>0</v>
      </c>
      <c r="AW90" t="n">
        <v>174.84</v>
      </c>
      <c r="AX90" t="inlineStr">
        <is>
          <t>pending</t>
        </is>
      </c>
      <c r="AY90" t="inlineStr">
        <is>
          <t>NA</t>
        </is>
      </c>
      <c r="AZ90" t="inlineStr">
        <is>
          <t>NA</t>
        </is>
      </c>
      <c r="BA90" t="n">
        <v>174.84</v>
      </c>
      <c r="BB90" t="inlineStr">
        <is>
          <t>10f4c441b19150a3578bee364d57722a1568778e2f442fcb629d50643f20e759</t>
        </is>
      </c>
    </row>
    <row r="91">
      <c r="A91" t="inlineStr">
        <is>
          <t>86</t>
        </is>
      </c>
      <c r="B91" t="inlineStr">
        <is>
          <t>7734515850</t>
        </is>
      </c>
      <c r="C91" t="inlineStr">
        <is>
          <t>2026-01-28 16:40:55</t>
        </is>
      </c>
      <c r="D91" t="inlineStr">
        <is>
          <t>5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229</v>
      </c>
      <c r="P91" t="n">
        <v>3.5</v>
      </c>
      <c r="Q91" t="n">
        <v>0</v>
      </c>
      <c r="R91" t="n">
        <v>68.7</v>
      </c>
      <c r="S91" t="n">
        <v>0</v>
      </c>
      <c r="T91" t="n">
        <v>0</v>
      </c>
      <c r="U91" t="n">
        <v>0</v>
      </c>
      <c r="V91" t="n">
        <v>8.19</v>
      </c>
      <c r="W91" t="n">
        <v>171.99</v>
      </c>
      <c r="X91" t="n">
        <v>163.8</v>
      </c>
      <c r="Y91" t="n">
        <v>19</v>
      </c>
      <c r="Z91" t="n">
        <v>31.12</v>
      </c>
      <c r="AA91" t="n">
        <v>3.16</v>
      </c>
      <c r="AB91" t="n">
        <v>34.28</v>
      </c>
      <c r="AC91" t="n">
        <v>6.17</v>
      </c>
      <c r="AD91" t="n">
        <v>0</v>
      </c>
      <c r="AE91" t="n">
        <v>163.8</v>
      </c>
      <c r="AF91" t="n">
        <v>0</v>
      </c>
      <c r="AG91" t="n">
        <v>0</v>
      </c>
      <c r="AH91" t="n">
        <v>0.16</v>
      </c>
      <c r="AI91" t="n">
        <v>8.199999999999999</v>
      </c>
      <c r="AJ91" t="n">
        <v>-0.01</v>
      </c>
      <c r="AK91" t="n">
        <v>14.53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48.81</v>
      </c>
      <c r="AV91" t="n">
        <v>0</v>
      </c>
      <c r="AW91" t="n">
        <v>123.18</v>
      </c>
      <c r="AX91" t="inlineStr">
        <is>
          <t>pending</t>
        </is>
      </c>
      <c r="AY91" t="inlineStr">
        <is>
          <t>NA</t>
        </is>
      </c>
      <c r="AZ91" t="inlineStr">
        <is>
          <t>NA</t>
        </is>
      </c>
      <c r="BA91" t="n">
        <v>123.18</v>
      </c>
      <c r="BB91" t="inlineStr">
        <is>
          <t>17c490e53b29d1aefb790088ecc773884de48ae3ece3bb436519780f613661c7</t>
        </is>
      </c>
    </row>
    <row r="92">
      <c r="A92" t="inlineStr">
        <is>
          <t>87</t>
        </is>
      </c>
      <c r="B92" t="inlineStr">
        <is>
          <t>7735899902</t>
        </is>
      </c>
      <c r="C92" t="inlineStr">
        <is>
          <t>2026-01-28 16:41:01</t>
        </is>
      </c>
      <c r="D92" t="inlineStr">
        <is>
          <t>5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438</v>
      </c>
      <c r="P92" t="n">
        <v>3.5</v>
      </c>
      <c r="Q92" t="n">
        <v>0</v>
      </c>
      <c r="R92" t="n">
        <v>75</v>
      </c>
      <c r="S92" t="n">
        <v>0</v>
      </c>
      <c r="T92" t="n">
        <v>0</v>
      </c>
      <c r="U92" t="n">
        <v>0</v>
      </c>
      <c r="V92" t="n">
        <v>18.33</v>
      </c>
      <c r="W92" t="n">
        <v>384.83</v>
      </c>
      <c r="X92" t="n">
        <v>366.5</v>
      </c>
      <c r="Y92" t="n">
        <v>19</v>
      </c>
      <c r="Z92" t="n">
        <v>69.64</v>
      </c>
      <c r="AA92" t="n">
        <v>7.08</v>
      </c>
      <c r="AB92" t="n">
        <v>76.72</v>
      </c>
      <c r="AC92" t="n">
        <v>13.81</v>
      </c>
      <c r="AD92" t="n">
        <v>0</v>
      </c>
      <c r="AE92" t="n">
        <v>366.5</v>
      </c>
      <c r="AF92" t="n">
        <v>0</v>
      </c>
      <c r="AG92" t="n">
        <v>0</v>
      </c>
      <c r="AH92" t="n">
        <v>0.37</v>
      </c>
      <c r="AI92" t="n">
        <v>18.33</v>
      </c>
      <c r="AJ92" t="n">
        <v>0</v>
      </c>
      <c r="AK92" t="n">
        <v>32.51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109.23</v>
      </c>
      <c r="AV92" t="n">
        <v>0</v>
      </c>
      <c r="AW92" t="n">
        <v>275.6</v>
      </c>
      <c r="AX92" t="inlineStr">
        <is>
          <t>pending</t>
        </is>
      </c>
      <c r="AY92" t="inlineStr">
        <is>
          <t>NA</t>
        </is>
      </c>
      <c r="AZ92" t="inlineStr">
        <is>
          <t>NA</t>
        </is>
      </c>
      <c r="BA92" t="n">
        <v>275.6</v>
      </c>
      <c r="BB92" t="inlineStr">
        <is>
          <t>c6a1bcb728cc787b638b6cafdaeac438dea70b8ff133fe34605e9b3a0c1af2d2</t>
        </is>
      </c>
    </row>
    <row r="93">
      <c r="A93" t="inlineStr">
        <is>
          <t>88</t>
        </is>
      </c>
      <c r="B93" t="inlineStr">
        <is>
          <t>7727080293</t>
        </is>
      </c>
      <c r="C93" t="inlineStr">
        <is>
          <t>2026-01-28 17:09:57</t>
        </is>
      </c>
      <c r="D93" t="inlineStr">
        <is>
          <t>5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368</v>
      </c>
      <c r="P93" t="n">
        <v>3.5</v>
      </c>
      <c r="Q93" t="n">
        <v>0</v>
      </c>
      <c r="R93" t="n">
        <v>75</v>
      </c>
      <c r="S93" t="n">
        <v>0</v>
      </c>
      <c r="T93" t="n">
        <v>0</v>
      </c>
      <c r="U93" t="n">
        <v>0</v>
      </c>
      <c r="V93" t="n">
        <v>14.83</v>
      </c>
      <c r="W93" t="n">
        <v>311.33</v>
      </c>
      <c r="X93" t="n">
        <v>296.5</v>
      </c>
      <c r="Y93" t="n">
        <v>19</v>
      </c>
      <c r="Z93" t="n">
        <v>56.34</v>
      </c>
      <c r="AA93" t="n">
        <v>5.73</v>
      </c>
      <c r="AB93" t="n">
        <v>62.07</v>
      </c>
      <c r="AC93" t="n">
        <v>11.17</v>
      </c>
      <c r="AD93" t="n">
        <v>0</v>
      </c>
      <c r="AE93" t="n">
        <v>296.5</v>
      </c>
      <c r="AF93" t="n">
        <v>0</v>
      </c>
      <c r="AG93" t="n">
        <v>0</v>
      </c>
      <c r="AH93" t="n">
        <v>0.3</v>
      </c>
      <c r="AI93" t="n">
        <v>14.83</v>
      </c>
      <c r="AJ93" t="n">
        <v>0</v>
      </c>
      <c r="AK93" t="n">
        <v>26.3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88.37</v>
      </c>
      <c r="AV93" t="n">
        <v>0</v>
      </c>
      <c r="AW93" t="n">
        <v>222.96</v>
      </c>
      <c r="AX93" t="inlineStr">
        <is>
          <t>pending</t>
        </is>
      </c>
      <c r="AY93" t="inlineStr">
        <is>
          <t>NA</t>
        </is>
      </c>
      <c r="AZ93" t="inlineStr">
        <is>
          <t>NA</t>
        </is>
      </c>
      <c r="BA93" t="n">
        <v>222.96</v>
      </c>
      <c r="BB93" t="inlineStr">
        <is>
          <t>8b836db0dbc0242b588f7398f7469a3b2fe285e418d7a47b60ac0742905d6743</t>
        </is>
      </c>
    </row>
    <row r="94">
      <c r="A94" t="inlineStr">
        <is>
          <t>89</t>
        </is>
      </c>
      <c r="B94" t="inlineStr">
        <is>
          <t>7737375935</t>
        </is>
      </c>
      <c r="C94" t="inlineStr">
        <is>
          <t>2026-01-28 18:02:29</t>
        </is>
      </c>
      <c r="D94" t="inlineStr">
        <is>
          <t>5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229</v>
      </c>
      <c r="P94" t="n">
        <v>3.5</v>
      </c>
      <c r="Q94" t="n">
        <v>0</v>
      </c>
      <c r="R94" t="n">
        <v>68.7</v>
      </c>
      <c r="S94" t="n">
        <v>0</v>
      </c>
      <c r="T94" t="n">
        <v>0</v>
      </c>
      <c r="U94" t="n">
        <v>0</v>
      </c>
      <c r="V94" t="n">
        <v>8.19</v>
      </c>
      <c r="W94" t="n">
        <v>171.99</v>
      </c>
      <c r="X94" t="n">
        <v>163.8</v>
      </c>
      <c r="Y94" t="n">
        <v>19</v>
      </c>
      <c r="Z94" t="n">
        <v>31.12</v>
      </c>
      <c r="AA94" t="n">
        <v>3.16</v>
      </c>
      <c r="AB94" t="n">
        <v>34.28</v>
      </c>
      <c r="AC94" t="n">
        <v>6.17</v>
      </c>
      <c r="AD94" t="n">
        <v>0</v>
      </c>
      <c r="AE94" t="n">
        <v>163.8</v>
      </c>
      <c r="AF94" t="n">
        <v>0</v>
      </c>
      <c r="AG94" t="n">
        <v>0</v>
      </c>
      <c r="AH94" t="n">
        <v>0.16</v>
      </c>
      <c r="AI94" t="n">
        <v>8.199999999999999</v>
      </c>
      <c r="AJ94" t="n">
        <v>-0.01</v>
      </c>
      <c r="AK94" t="n">
        <v>14.53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48.81</v>
      </c>
      <c r="AV94" t="n">
        <v>0</v>
      </c>
      <c r="AW94" t="n">
        <v>123.18</v>
      </c>
      <c r="AX94" t="inlineStr">
        <is>
          <t>pending</t>
        </is>
      </c>
      <c r="AY94" t="inlineStr">
        <is>
          <t>NA</t>
        </is>
      </c>
      <c r="AZ94" t="inlineStr">
        <is>
          <t>NA</t>
        </is>
      </c>
      <c r="BA94" t="n">
        <v>123.18</v>
      </c>
      <c r="BB94" t="inlineStr">
        <is>
          <t>592561cd56b59b418077aee06a35fd23dcedfdad6d12f2019b23a97d7d715c09</t>
        </is>
      </c>
    </row>
    <row r="95">
      <c r="A95" t="inlineStr">
        <is>
          <t>90</t>
        </is>
      </c>
      <c r="B95" t="inlineStr">
        <is>
          <t>7738317247</t>
        </is>
      </c>
      <c r="C95" t="inlineStr">
        <is>
          <t>2026-01-28 18:04:22</t>
        </is>
      </c>
      <c r="D95" t="inlineStr">
        <is>
          <t>5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229</v>
      </c>
      <c r="P95" t="n">
        <v>3.5</v>
      </c>
      <c r="Q95" t="n">
        <v>0</v>
      </c>
      <c r="R95" t="n">
        <v>68.7</v>
      </c>
      <c r="S95" t="n">
        <v>0</v>
      </c>
      <c r="T95" t="n">
        <v>0</v>
      </c>
      <c r="U95" t="n">
        <v>0</v>
      </c>
      <c r="V95" t="n">
        <v>8.19</v>
      </c>
      <c r="W95" t="n">
        <v>171.99</v>
      </c>
      <c r="X95" t="n">
        <v>163.8</v>
      </c>
      <c r="Y95" t="n">
        <v>19</v>
      </c>
      <c r="Z95" t="n">
        <v>31.12</v>
      </c>
      <c r="AA95" t="n">
        <v>3.16</v>
      </c>
      <c r="AB95" t="n">
        <v>34.28</v>
      </c>
      <c r="AC95" t="n">
        <v>6.17</v>
      </c>
      <c r="AD95" t="n">
        <v>0</v>
      </c>
      <c r="AE95" t="n">
        <v>163.8</v>
      </c>
      <c r="AF95" t="n">
        <v>0</v>
      </c>
      <c r="AG95" t="n">
        <v>0</v>
      </c>
      <c r="AH95" t="n">
        <v>0.16</v>
      </c>
      <c r="AI95" t="n">
        <v>8.199999999999999</v>
      </c>
      <c r="AJ95" t="n">
        <v>-0.01</v>
      </c>
      <c r="AK95" t="n">
        <v>14.53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48.81</v>
      </c>
      <c r="AV95" t="n">
        <v>0</v>
      </c>
      <c r="AW95" t="n">
        <v>123.18</v>
      </c>
      <c r="AX95" t="inlineStr">
        <is>
          <t>pending</t>
        </is>
      </c>
      <c r="AY95" t="inlineStr">
        <is>
          <t>NA</t>
        </is>
      </c>
      <c r="AZ95" t="inlineStr">
        <is>
          <t>NA</t>
        </is>
      </c>
      <c r="BA95" t="n">
        <v>123.18</v>
      </c>
      <c r="BB95" t="inlineStr">
        <is>
          <t>46e35e8e29514f7e674f8e34419d07273644afcb75e616ca2f35dba7b56e557b</t>
        </is>
      </c>
    </row>
    <row r="96">
      <c r="A96" t="inlineStr">
        <is>
          <t>91</t>
        </is>
      </c>
      <c r="B96" t="inlineStr">
        <is>
          <t>7736158087</t>
        </is>
      </c>
      <c r="C96" t="inlineStr">
        <is>
          <t>2026-01-28 18:37:59</t>
        </is>
      </c>
      <c r="D96" t="inlineStr">
        <is>
          <t>5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229</v>
      </c>
      <c r="P96" t="n">
        <v>3.5</v>
      </c>
      <c r="Q96" t="n">
        <v>0</v>
      </c>
      <c r="R96" t="n">
        <v>68.7</v>
      </c>
      <c r="S96" t="n">
        <v>0</v>
      </c>
      <c r="T96" t="n">
        <v>0</v>
      </c>
      <c r="U96" t="n">
        <v>0</v>
      </c>
      <c r="V96" t="n">
        <v>8.19</v>
      </c>
      <c r="W96" t="n">
        <v>171.99</v>
      </c>
      <c r="X96" t="n">
        <v>163.8</v>
      </c>
      <c r="Y96" t="n">
        <v>19</v>
      </c>
      <c r="Z96" t="n">
        <v>31.12</v>
      </c>
      <c r="AA96" t="n">
        <v>3.16</v>
      </c>
      <c r="AB96" t="n">
        <v>34.28</v>
      </c>
      <c r="AC96" t="n">
        <v>6.17</v>
      </c>
      <c r="AD96" t="n">
        <v>0</v>
      </c>
      <c r="AE96" t="n">
        <v>163.8</v>
      </c>
      <c r="AF96" t="n">
        <v>0</v>
      </c>
      <c r="AG96" t="n">
        <v>0</v>
      </c>
      <c r="AH96" t="n">
        <v>0.16</v>
      </c>
      <c r="AI96" t="n">
        <v>8.199999999999999</v>
      </c>
      <c r="AJ96" t="n">
        <v>-0.01</v>
      </c>
      <c r="AK96" t="n">
        <v>14.53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48.81</v>
      </c>
      <c r="AV96" t="n">
        <v>0</v>
      </c>
      <c r="AW96" t="n">
        <v>123.18</v>
      </c>
      <c r="AX96" t="inlineStr">
        <is>
          <t>pending</t>
        </is>
      </c>
      <c r="AY96" t="inlineStr">
        <is>
          <t>NA</t>
        </is>
      </c>
      <c r="AZ96" t="inlineStr">
        <is>
          <t>NA</t>
        </is>
      </c>
      <c r="BA96" t="n">
        <v>123.18</v>
      </c>
      <c r="BB96" t="inlineStr">
        <is>
          <t>66f9109d451f65658e47602abb95b90ba77893174f1b3489a1f354247a5965e1</t>
        </is>
      </c>
    </row>
    <row r="97">
      <c r="A97" t="inlineStr">
        <is>
          <t>92</t>
        </is>
      </c>
      <c r="B97" t="inlineStr">
        <is>
          <t>7737088547</t>
        </is>
      </c>
      <c r="C97" t="inlineStr">
        <is>
          <t>2026-01-28 19:21:30</t>
        </is>
      </c>
      <c r="D97" t="inlineStr">
        <is>
          <t>5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268</v>
      </c>
      <c r="P97" t="n">
        <v>3.5</v>
      </c>
      <c r="Q97" t="n">
        <v>0</v>
      </c>
      <c r="R97" t="n">
        <v>75</v>
      </c>
      <c r="S97" t="n">
        <v>0</v>
      </c>
      <c r="T97" t="n">
        <v>0</v>
      </c>
      <c r="U97" t="n">
        <v>0</v>
      </c>
      <c r="V97" t="n">
        <v>9.83</v>
      </c>
      <c r="W97" t="n">
        <v>206.33</v>
      </c>
      <c r="X97" t="n">
        <v>196.5</v>
      </c>
      <c r="Y97" t="n">
        <v>19</v>
      </c>
      <c r="Z97" t="n">
        <v>37.34</v>
      </c>
      <c r="AA97" t="n">
        <v>3.8</v>
      </c>
      <c r="AB97" t="n">
        <v>41.14</v>
      </c>
      <c r="AC97" t="n">
        <v>7.4</v>
      </c>
      <c r="AD97" t="n">
        <v>0</v>
      </c>
      <c r="AE97" t="n">
        <v>196.5</v>
      </c>
      <c r="AF97" t="n">
        <v>0</v>
      </c>
      <c r="AG97" t="n">
        <v>0</v>
      </c>
      <c r="AH97" t="n">
        <v>0.2</v>
      </c>
      <c r="AI97" t="n">
        <v>9.83</v>
      </c>
      <c r="AJ97" t="n">
        <v>0</v>
      </c>
      <c r="AK97" t="n">
        <v>17.43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58.57</v>
      </c>
      <c r="AV97" t="n">
        <v>0</v>
      </c>
      <c r="AW97" t="n">
        <v>147.76</v>
      </c>
      <c r="AX97" t="inlineStr">
        <is>
          <t>pending</t>
        </is>
      </c>
      <c r="AY97" t="inlineStr">
        <is>
          <t>NA</t>
        </is>
      </c>
      <c r="AZ97" t="inlineStr">
        <is>
          <t>NA</t>
        </is>
      </c>
      <c r="BA97" t="n">
        <v>147.76</v>
      </c>
      <c r="BB97" t="inlineStr">
        <is>
          <t>a19f793e4a4a6e8f017effe3d51a35b455ee0568efe248cf78cb877f2fb911c8</t>
        </is>
      </c>
    </row>
    <row r="98">
      <c r="A98" t="inlineStr">
        <is>
          <t>93</t>
        </is>
      </c>
      <c r="B98" t="inlineStr">
        <is>
          <t>7735672114</t>
        </is>
      </c>
      <c r="C98" t="inlineStr">
        <is>
          <t>2026-01-28 20:45:20</t>
        </is>
      </c>
      <c r="D98" t="inlineStr">
        <is>
          <t>5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NA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219</v>
      </c>
      <c r="P98" t="n">
        <v>3.5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11.13</v>
      </c>
      <c r="W98" t="n">
        <v>233.63</v>
      </c>
      <c r="X98" t="n">
        <v>222.5</v>
      </c>
      <c r="Y98" t="n">
        <v>19</v>
      </c>
      <c r="Z98" t="n">
        <v>42.28</v>
      </c>
      <c r="AA98" t="n">
        <v>4.3</v>
      </c>
      <c r="AB98" t="n">
        <v>46.58</v>
      </c>
      <c r="AC98" t="n">
        <v>8.380000000000001</v>
      </c>
      <c r="AD98" t="n">
        <v>0</v>
      </c>
      <c r="AE98" t="n">
        <v>222.5</v>
      </c>
      <c r="AF98" t="n">
        <v>0</v>
      </c>
      <c r="AG98" t="n">
        <v>0</v>
      </c>
      <c r="AH98" t="n">
        <v>0.22</v>
      </c>
      <c r="AI98" t="n">
        <v>11.13</v>
      </c>
      <c r="AJ98" t="n">
        <v>0</v>
      </c>
      <c r="AK98" t="n">
        <v>19.73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66.31</v>
      </c>
      <c r="AV98" t="n">
        <v>0</v>
      </c>
      <c r="AW98" t="n">
        <v>167.32</v>
      </c>
      <c r="AX98" t="inlineStr">
        <is>
          <t>pending</t>
        </is>
      </c>
      <c r="AY98" t="inlineStr">
        <is>
          <t>NA</t>
        </is>
      </c>
      <c r="AZ98" t="inlineStr">
        <is>
          <t>NA</t>
        </is>
      </c>
      <c r="BA98" t="n">
        <v>167.32</v>
      </c>
      <c r="BB98" t="inlineStr">
        <is>
          <t>181b4ac537c3af897ea8ac0f7a5132fb79f6195416434ac8e7c8ba0e2aecb9cc</t>
        </is>
      </c>
    </row>
    <row r="99">
      <c r="A99" t="inlineStr">
        <is>
          <t>94</t>
        </is>
      </c>
      <c r="B99" t="inlineStr">
        <is>
          <t>7737959502</t>
        </is>
      </c>
      <c r="C99" t="inlineStr">
        <is>
          <t>2026-01-28 20:48:30</t>
        </is>
      </c>
      <c r="D99" t="inlineStr">
        <is>
          <t>5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219</v>
      </c>
      <c r="P99" t="n">
        <v>3.5</v>
      </c>
      <c r="Q99" t="n">
        <v>0</v>
      </c>
      <c r="R99" t="n">
        <v>65.7</v>
      </c>
      <c r="S99" t="n">
        <v>0</v>
      </c>
      <c r="T99" t="n">
        <v>0</v>
      </c>
      <c r="U99" t="n">
        <v>0</v>
      </c>
      <c r="V99" t="n">
        <v>7.84</v>
      </c>
      <c r="W99" t="n">
        <v>164.64</v>
      </c>
      <c r="X99" t="n">
        <v>156.8</v>
      </c>
      <c r="Y99" t="n">
        <v>19</v>
      </c>
      <c r="Z99" t="n">
        <v>29.79</v>
      </c>
      <c r="AA99" t="n">
        <v>3.03</v>
      </c>
      <c r="AB99" t="n">
        <v>32.82</v>
      </c>
      <c r="AC99" t="n">
        <v>5.91</v>
      </c>
      <c r="AD99" t="n">
        <v>0</v>
      </c>
      <c r="AE99" t="n">
        <v>156.8</v>
      </c>
      <c r="AF99" t="n">
        <v>0</v>
      </c>
      <c r="AG99" t="n">
        <v>0</v>
      </c>
      <c r="AH99" t="n">
        <v>0.16</v>
      </c>
      <c r="AI99" t="n">
        <v>7.85</v>
      </c>
      <c r="AJ99" t="n">
        <v>-0.01</v>
      </c>
      <c r="AK99" t="n">
        <v>13.92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46.74</v>
      </c>
      <c r="AV99" t="n">
        <v>0</v>
      </c>
      <c r="AW99" t="n">
        <v>117.9</v>
      </c>
      <c r="AX99" t="inlineStr">
        <is>
          <t>pending</t>
        </is>
      </c>
      <c r="AY99" t="inlineStr">
        <is>
          <t>NA</t>
        </is>
      </c>
      <c r="AZ99" t="inlineStr">
        <is>
          <t>NA</t>
        </is>
      </c>
      <c r="BA99" t="n">
        <v>117.9</v>
      </c>
      <c r="BB99" t="inlineStr">
        <is>
          <t>0ac45f315386e629a961a941bdbccc0d29158d0df9b5d17002412f8aa1f212cc</t>
        </is>
      </c>
    </row>
    <row r="100">
      <c r="A100" t="inlineStr">
        <is>
          <t>95</t>
        </is>
      </c>
      <c r="B100" t="inlineStr">
        <is>
          <t>7737653131</t>
        </is>
      </c>
      <c r="C100" t="inlineStr">
        <is>
          <t>2026-01-28 21:02:04</t>
        </is>
      </c>
      <c r="D100" t="inlineStr">
        <is>
          <t>5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30% off upto ₹75 (2025-06-25 - 2031-01-01)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229</v>
      </c>
      <c r="P100" t="n">
        <v>3.5</v>
      </c>
      <c r="Q100" t="n">
        <v>0</v>
      </c>
      <c r="R100" t="n">
        <v>68.7</v>
      </c>
      <c r="S100" t="n">
        <v>0</v>
      </c>
      <c r="T100" t="n">
        <v>0</v>
      </c>
      <c r="U100" t="n">
        <v>0</v>
      </c>
      <c r="V100" t="n">
        <v>8.19</v>
      </c>
      <c r="W100" t="n">
        <v>171.99</v>
      </c>
      <c r="X100" t="n">
        <v>163.8</v>
      </c>
      <c r="Y100" t="n">
        <v>19</v>
      </c>
      <c r="Z100" t="n">
        <v>31.12</v>
      </c>
      <c r="AA100" t="n">
        <v>3.16</v>
      </c>
      <c r="AB100" t="n">
        <v>34.28</v>
      </c>
      <c r="AC100" t="n">
        <v>6.17</v>
      </c>
      <c r="AD100" t="n">
        <v>0</v>
      </c>
      <c r="AE100" t="n">
        <v>163.8</v>
      </c>
      <c r="AF100" t="n">
        <v>0</v>
      </c>
      <c r="AG100" t="n">
        <v>0</v>
      </c>
      <c r="AH100" t="n">
        <v>0.16</v>
      </c>
      <c r="AI100" t="n">
        <v>8.199999999999999</v>
      </c>
      <c r="AJ100" t="n">
        <v>-0.01</v>
      </c>
      <c r="AK100" t="n">
        <v>14.53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48.81</v>
      </c>
      <c r="AV100" t="n">
        <v>0</v>
      </c>
      <c r="AW100" t="n">
        <v>123.18</v>
      </c>
      <c r="AX100" t="inlineStr">
        <is>
          <t>pending</t>
        </is>
      </c>
      <c r="AY100" t="inlineStr">
        <is>
          <t>NA</t>
        </is>
      </c>
      <c r="AZ100" t="inlineStr">
        <is>
          <t>NA</t>
        </is>
      </c>
      <c r="BA100" t="n">
        <v>123.18</v>
      </c>
      <c r="BB100" t="inlineStr">
        <is>
          <t>4bc59a7b91051bd45715d4c6c383b5635eed7ed966b586e2812e835cb647b359</t>
        </is>
      </c>
    </row>
    <row r="101">
      <c r="A101" t="inlineStr">
        <is>
          <t>96</t>
        </is>
      </c>
      <c r="B101" t="inlineStr">
        <is>
          <t>7733997467</t>
        </is>
      </c>
      <c r="C101" t="inlineStr">
        <is>
          <t>2026-01-28 21:21:25</t>
        </is>
      </c>
      <c r="D101" t="inlineStr">
        <is>
          <t>5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NA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368</v>
      </c>
      <c r="P101" t="n">
        <v>3.5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18.58</v>
      </c>
      <c r="W101" t="n">
        <v>390.08</v>
      </c>
      <c r="X101" t="n">
        <v>371.5</v>
      </c>
      <c r="Y101" t="n">
        <v>19</v>
      </c>
      <c r="Z101" t="n">
        <v>70.58</v>
      </c>
      <c r="AA101" t="n">
        <v>7.18</v>
      </c>
      <c r="AB101" t="n">
        <v>77.76000000000001</v>
      </c>
      <c r="AC101" t="n">
        <v>13.99</v>
      </c>
      <c r="AD101" t="n">
        <v>0</v>
      </c>
      <c r="AE101" t="n">
        <v>371.5</v>
      </c>
      <c r="AF101" t="n">
        <v>0</v>
      </c>
      <c r="AG101" t="n">
        <v>0</v>
      </c>
      <c r="AH101" t="n">
        <v>0.37</v>
      </c>
      <c r="AI101" t="n">
        <v>18.58</v>
      </c>
      <c r="AJ101" t="n">
        <v>0</v>
      </c>
      <c r="AK101" t="n">
        <v>32.94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110.7</v>
      </c>
      <c r="AV101" t="n">
        <v>0</v>
      </c>
      <c r="AW101" t="n">
        <v>279.38</v>
      </c>
      <c r="AX101" t="inlineStr">
        <is>
          <t>pending</t>
        </is>
      </c>
      <c r="AY101" t="inlineStr">
        <is>
          <t>NA</t>
        </is>
      </c>
      <c r="AZ101" t="inlineStr">
        <is>
          <t>NA</t>
        </is>
      </c>
      <c r="BA101" t="n">
        <v>279.38</v>
      </c>
      <c r="BB101" t="inlineStr">
        <is>
          <t>f3806c216666e2dfa8a1381969b1f87d58aa4903d7341a4a69712470843efad9</t>
        </is>
      </c>
    </row>
    <row r="102">
      <c r="A102" t="inlineStr">
        <is>
          <t>97</t>
        </is>
      </c>
      <c r="B102" t="inlineStr">
        <is>
          <t>7738050226</t>
        </is>
      </c>
      <c r="C102" t="inlineStr">
        <is>
          <t>2026-01-28 21:37:18</t>
        </is>
      </c>
      <c r="D102" t="inlineStr">
        <is>
          <t>5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NA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219</v>
      </c>
      <c r="P102" t="n">
        <v>3.5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11.13</v>
      </c>
      <c r="W102" t="n">
        <v>233.63</v>
      </c>
      <c r="X102" t="n">
        <v>222.5</v>
      </c>
      <c r="Y102" t="n">
        <v>19</v>
      </c>
      <c r="Z102" t="n">
        <v>42.28</v>
      </c>
      <c r="AA102" t="n">
        <v>4.3</v>
      </c>
      <c r="AB102" t="n">
        <v>46.58</v>
      </c>
      <c r="AC102" t="n">
        <v>8.380000000000001</v>
      </c>
      <c r="AD102" t="n">
        <v>0</v>
      </c>
      <c r="AE102" t="n">
        <v>222.5</v>
      </c>
      <c r="AF102" t="n">
        <v>0</v>
      </c>
      <c r="AG102" t="n">
        <v>0</v>
      </c>
      <c r="AH102" t="n">
        <v>0.22</v>
      </c>
      <c r="AI102" t="n">
        <v>11.13</v>
      </c>
      <c r="AJ102" t="n">
        <v>0</v>
      </c>
      <c r="AK102" t="n">
        <v>19.73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66.31</v>
      </c>
      <c r="AV102" t="n">
        <v>0</v>
      </c>
      <c r="AW102" t="n">
        <v>167.32</v>
      </c>
      <c r="AX102" t="inlineStr">
        <is>
          <t>pending</t>
        </is>
      </c>
      <c r="AY102" t="inlineStr">
        <is>
          <t>NA</t>
        </is>
      </c>
      <c r="AZ102" t="inlineStr">
        <is>
          <t>NA</t>
        </is>
      </c>
      <c r="BA102" t="n">
        <v>167.32</v>
      </c>
      <c r="BB102" t="inlineStr">
        <is>
          <t>64d9ebc27e08d60bd9a04b1dcfb287f9ab2341a62ca519f55a351266606f9505</t>
        </is>
      </c>
    </row>
    <row r="103">
      <c r="A103" t="inlineStr">
        <is>
          <t>98</t>
        </is>
      </c>
      <c r="B103" t="inlineStr">
        <is>
          <t>7727161613</t>
        </is>
      </c>
      <c r="C103" t="inlineStr">
        <is>
          <t>2026-01-28 21:44:05</t>
        </is>
      </c>
      <c r="D103" t="inlineStr">
        <is>
          <t>5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NA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448</v>
      </c>
      <c r="P103" t="n">
        <v>3.5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22.58</v>
      </c>
      <c r="W103" t="n">
        <v>474.08</v>
      </c>
      <c r="X103" t="n">
        <v>451.5</v>
      </c>
      <c r="Y103" t="n">
        <v>19</v>
      </c>
      <c r="Z103" t="n">
        <v>85.78</v>
      </c>
      <c r="AA103" t="n">
        <v>8.720000000000001</v>
      </c>
      <c r="AB103" t="n">
        <v>94.5</v>
      </c>
      <c r="AC103" t="n">
        <v>17.01</v>
      </c>
      <c r="AD103" t="n">
        <v>0</v>
      </c>
      <c r="AE103" t="n">
        <v>451.5</v>
      </c>
      <c r="AF103" t="n">
        <v>0</v>
      </c>
      <c r="AG103" t="n">
        <v>0</v>
      </c>
      <c r="AH103" t="n">
        <v>0.45</v>
      </c>
      <c r="AI103" t="n">
        <v>22.58</v>
      </c>
      <c r="AJ103" t="n">
        <v>0</v>
      </c>
      <c r="AK103" t="n">
        <v>40.04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134.54</v>
      </c>
      <c r="AV103" t="n">
        <v>0</v>
      </c>
      <c r="AW103" t="n">
        <v>339.54</v>
      </c>
      <c r="AX103" t="inlineStr">
        <is>
          <t>pending</t>
        </is>
      </c>
      <c r="AY103" t="inlineStr">
        <is>
          <t>NA</t>
        </is>
      </c>
      <c r="AZ103" t="inlineStr">
        <is>
          <t>NA</t>
        </is>
      </c>
      <c r="BA103" t="n">
        <v>339.54</v>
      </c>
      <c r="BB103" t="inlineStr">
        <is>
          <t>b31528d554923446516a4bd71b67f32166f11025cf09e290fe37094a57475038</t>
        </is>
      </c>
    </row>
    <row r="104">
      <c r="A104" t="inlineStr">
        <is>
          <t>99</t>
        </is>
      </c>
      <c r="B104" t="inlineStr">
        <is>
          <t>7738867729</t>
        </is>
      </c>
      <c r="C104" t="inlineStr">
        <is>
          <t>2026-01-28 21:44:37</t>
        </is>
      </c>
      <c r="D104" t="inlineStr">
        <is>
          <t>5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1755</v>
      </c>
      <c r="P104" t="n">
        <v>3.5</v>
      </c>
      <c r="Q104" t="n">
        <v>0</v>
      </c>
      <c r="R104" t="n">
        <v>75</v>
      </c>
      <c r="S104" t="n">
        <v>0</v>
      </c>
      <c r="T104" t="n">
        <v>0</v>
      </c>
      <c r="U104" t="n">
        <v>0</v>
      </c>
      <c r="V104" t="n">
        <v>84.18000000000001</v>
      </c>
      <c r="W104" t="n">
        <v>1767.68</v>
      </c>
      <c r="X104" t="n">
        <v>1683.5</v>
      </c>
      <c r="Y104" t="n">
        <v>19</v>
      </c>
      <c r="Z104" t="n">
        <v>319.86</v>
      </c>
      <c r="AA104" t="n">
        <v>32.53</v>
      </c>
      <c r="AB104" t="n">
        <v>352.39</v>
      </c>
      <c r="AC104" t="n">
        <v>63.43</v>
      </c>
      <c r="AD104" t="n">
        <v>0</v>
      </c>
      <c r="AE104" t="n">
        <v>1683.5</v>
      </c>
      <c r="AF104" t="n">
        <v>0</v>
      </c>
      <c r="AG104" t="n">
        <v>0</v>
      </c>
      <c r="AH104" t="n">
        <v>1.68</v>
      </c>
      <c r="AI104" t="n">
        <v>84.18000000000001</v>
      </c>
      <c r="AJ104" t="n">
        <v>0</v>
      </c>
      <c r="AK104" t="n">
        <v>149.29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501.68</v>
      </c>
      <c r="AV104" t="n">
        <v>0</v>
      </c>
      <c r="AW104" t="n">
        <v>1266</v>
      </c>
      <c r="AX104" t="inlineStr">
        <is>
          <t>pending</t>
        </is>
      </c>
      <c r="AY104" t="inlineStr">
        <is>
          <t>NA</t>
        </is>
      </c>
      <c r="AZ104" t="inlineStr">
        <is>
          <t>NA</t>
        </is>
      </c>
      <c r="BA104" t="n">
        <v>1266</v>
      </c>
      <c r="BB104" t="inlineStr">
        <is>
          <t>6b1f2cd186d3f2747dcf0877ee9aad5d6896b861fec4897cd47c9b7f4adce2ac</t>
        </is>
      </c>
    </row>
    <row r="105">
      <c r="A105" t="inlineStr">
        <is>
          <t>100</t>
        </is>
      </c>
      <c r="B105" t="inlineStr">
        <is>
          <t>7739498856</t>
        </is>
      </c>
      <c r="C105" t="inlineStr">
        <is>
          <t>2026-01-28 22:14:37</t>
        </is>
      </c>
      <c r="D105" t="inlineStr">
        <is>
          <t>5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30% off upto ₹75 (2025-06-25 - 2031-01-01)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219</v>
      </c>
      <c r="P105" t="n">
        <v>3.5</v>
      </c>
      <c r="Q105" t="n">
        <v>0</v>
      </c>
      <c r="R105" t="n">
        <v>65.7</v>
      </c>
      <c r="S105" t="n">
        <v>0</v>
      </c>
      <c r="T105" t="n">
        <v>0</v>
      </c>
      <c r="U105" t="n">
        <v>0</v>
      </c>
      <c r="V105" t="n">
        <v>7.84</v>
      </c>
      <c r="W105" t="n">
        <v>164.64</v>
      </c>
      <c r="X105" t="n">
        <v>156.8</v>
      </c>
      <c r="Y105" t="n">
        <v>19</v>
      </c>
      <c r="Z105" t="n">
        <v>29.79</v>
      </c>
      <c r="AA105" t="n">
        <v>3.03</v>
      </c>
      <c r="AB105" t="n">
        <v>32.82</v>
      </c>
      <c r="AC105" t="n">
        <v>5.91</v>
      </c>
      <c r="AD105" t="n">
        <v>0</v>
      </c>
      <c r="AE105" t="n">
        <v>156.8</v>
      </c>
      <c r="AF105" t="n">
        <v>0</v>
      </c>
      <c r="AG105" t="n">
        <v>0</v>
      </c>
      <c r="AH105" t="n">
        <v>0.16</v>
      </c>
      <c r="AI105" t="n">
        <v>7.85</v>
      </c>
      <c r="AJ105" t="n">
        <v>-0.01</v>
      </c>
      <c r="AK105" t="n">
        <v>13.92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46.74</v>
      </c>
      <c r="AV105" t="n">
        <v>0</v>
      </c>
      <c r="AW105" t="n">
        <v>117.9</v>
      </c>
      <c r="AX105" t="inlineStr">
        <is>
          <t>pending</t>
        </is>
      </c>
      <c r="AY105" t="inlineStr">
        <is>
          <t>NA</t>
        </is>
      </c>
      <c r="AZ105" t="inlineStr">
        <is>
          <t>NA</t>
        </is>
      </c>
      <c r="BA105" t="n">
        <v>117.9</v>
      </c>
      <c r="BB105" t="inlineStr">
        <is>
          <t>45851e894dc61d6992b9aded42560561f5c7ea294e2b13c7cfdce244fe5d3783</t>
        </is>
      </c>
    </row>
    <row r="106">
      <c r="A106" t="inlineStr">
        <is>
          <t>101</t>
        </is>
      </c>
      <c r="B106" t="inlineStr">
        <is>
          <t>7730906299</t>
        </is>
      </c>
      <c r="C106" t="inlineStr">
        <is>
          <t>2026-01-28 22:52:29</t>
        </is>
      </c>
      <c r="D106" t="inlineStr">
        <is>
          <t>5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30% off upto ₹75 (2025-06-25 - 2031-01-01)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345</v>
      </c>
      <c r="P106" t="n">
        <v>3.5</v>
      </c>
      <c r="Q106" t="n">
        <v>0</v>
      </c>
      <c r="R106" t="n">
        <v>75</v>
      </c>
      <c r="S106" t="n">
        <v>0</v>
      </c>
      <c r="T106" t="n">
        <v>0</v>
      </c>
      <c r="U106" t="n">
        <v>0</v>
      </c>
      <c r="V106" t="n">
        <v>13.68</v>
      </c>
      <c r="W106" t="n">
        <v>287.18</v>
      </c>
      <c r="X106" t="n">
        <v>273.5</v>
      </c>
      <c r="Y106" t="n">
        <v>19</v>
      </c>
      <c r="Z106" t="n">
        <v>51.96</v>
      </c>
      <c r="AA106" t="n">
        <v>5.28</v>
      </c>
      <c r="AB106" t="n">
        <v>57.24</v>
      </c>
      <c r="AC106" t="n">
        <v>10.3</v>
      </c>
      <c r="AD106" t="n">
        <v>0</v>
      </c>
      <c r="AE106" t="n">
        <v>273.5</v>
      </c>
      <c r="AF106" t="n">
        <v>0</v>
      </c>
      <c r="AG106" t="n">
        <v>0</v>
      </c>
      <c r="AH106" t="n">
        <v>0.27</v>
      </c>
      <c r="AI106" t="n">
        <v>13.68</v>
      </c>
      <c r="AJ106" t="n">
        <v>0</v>
      </c>
      <c r="AK106" t="n">
        <v>24.25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81.48999999999999</v>
      </c>
      <c r="AV106" t="n">
        <v>0</v>
      </c>
      <c r="AW106" t="n">
        <v>205.69</v>
      </c>
      <c r="AX106" t="inlineStr">
        <is>
          <t>pending</t>
        </is>
      </c>
      <c r="AY106" t="inlineStr">
        <is>
          <t>NA</t>
        </is>
      </c>
      <c r="AZ106" t="inlineStr">
        <is>
          <t>NA</t>
        </is>
      </c>
      <c r="BA106" t="n">
        <v>205.69</v>
      </c>
      <c r="BB106" t="inlineStr">
        <is>
          <t>28d7b22fcdaa4277b245b18f5221f0c0695ef410f258bee2c0af345e6c71805d</t>
        </is>
      </c>
    </row>
    <row r="107">
      <c r="A107" t="inlineStr">
        <is>
          <t>102</t>
        </is>
      </c>
      <c r="B107" t="inlineStr">
        <is>
          <t>7729682653</t>
        </is>
      </c>
      <c r="C107" t="inlineStr">
        <is>
          <t>2026-01-28 23:37:35</t>
        </is>
      </c>
      <c r="D107" t="inlineStr">
        <is>
          <t>5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30% off upto ₹75 (2025-06-25 - 2031-01-01)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229</v>
      </c>
      <c r="P107" t="n">
        <v>3.5</v>
      </c>
      <c r="Q107" t="n">
        <v>0</v>
      </c>
      <c r="R107" t="n">
        <v>68.7</v>
      </c>
      <c r="S107" t="n">
        <v>0</v>
      </c>
      <c r="T107" t="n">
        <v>0</v>
      </c>
      <c r="U107" t="n">
        <v>0</v>
      </c>
      <c r="V107" t="n">
        <v>8.19</v>
      </c>
      <c r="W107" t="n">
        <v>171.99</v>
      </c>
      <c r="X107" t="n">
        <v>163.8</v>
      </c>
      <c r="Y107" t="n">
        <v>19</v>
      </c>
      <c r="Z107" t="n">
        <v>31.12</v>
      </c>
      <c r="AA107" t="n">
        <v>3.16</v>
      </c>
      <c r="AB107" t="n">
        <v>34.28</v>
      </c>
      <c r="AC107" t="n">
        <v>6.17</v>
      </c>
      <c r="AD107" t="n">
        <v>0</v>
      </c>
      <c r="AE107" t="n">
        <v>163.8</v>
      </c>
      <c r="AF107" t="n">
        <v>0</v>
      </c>
      <c r="AG107" t="n">
        <v>0</v>
      </c>
      <c r="AH107" t="n">
        <v>0.16</v>
      </c>
      <c r="AI107" t="n">
        <v>8.199999999999999</v>
      </c>
      <c r="AJ107" t="n">
        <v>-0.01</v>
      </c>
      <c r="AK107" t="n">
        <v>14.53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48.81</v>
      </c>
      <c r="AV107" t="n">
        <v>0</v>
      </c>
      <c r="AW107" t="n">
        <v>123.18</v>
      </c>
      <c r="AX107" t="inlineStr">
        <is>
          <t>pending</t>
        </is>
      </c>
      <c r="AY107" t="inlineStr">
        <is>
          <t>NA</t>
        </is>
      </c>
      <c r="AZ107" t="inlineStr">
        <is>
          <t>NA</t>
        </is>
      </c>
      <c r="BA107" t="n">
        <v>123.18</v>
      </c>
      <c r="BB107" t="inlineStr">
        <is>
          <t>d887a88ea0a0186543527cf78731e3fda1df61d2abb7c2194f2c4915fc54b93c</t>
        </is>
      </c>
    </row>
    <row r="108">
      <c r="A108" t="inlineStr">
        <is>
          <t>103</t>
        </is>
      </c>
      <c r="B108" t="inlineStr">
        <is>
          <t>7722690655</t>
        </is>
      </c>
      <c r="C108" t="inlineStr">
        <is>
          <t>2026-01-28 23:55:40</t>
        </is>
      </c>
      <c r="D108" t="inlineStr">
        <is>
          <t>5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355</v>
      </c>
      <c r="P108" t="n">
        <v>3.5</v>
      </c>
      <c r="Q108" t="n">
        <v>0</v>
      </c>
      <c r="R108" t="n">
        <v>75</v>
      </c>
      <c r="S108" t="n">
        <v>0</v>
      </c>
      <c r="T108" t="n">
        <v>0</v>
      </c>
      <c r="U108" t="n">
        <v>0</v>
      </c>
      <c r="V108" t="n">
        <v>14.18</v>
      </c>
      <c r="W108" t="n">
        <v>297.68</v>
      </c>
      <c r="X108" t="n">
        <v>283.5</v>
      </c>
      <c r="Y108" t="n">
        <v>19</v>
      </c>
      <c r="Z108" t="n">
        <v>53.86</v>
      </c>
      <c r="AA108" t="n">
        <v>5.48</v>
      </c>
      <c r="AB108" t="n">
        <v>59.34</v>
      </c>
      <c r="AC108" t="n">
        <v>10.68</v>
      </c>
      <c r="AD108" t="n">
        <v>0</v>
      </c>
      <c r="AE108" t="n">
        <v>283.5</v>
      </c>
      <c r="AF108" t="n">
        <v>0</v>
      </c>
      <c r="AG108" t="n">
        <v>0</v>
      </c>
      <c r="AH108" t="n">
        <v>0.28</v>
      </c>
      <c r="AI108" t="n">
        <v>14.18</v>
      </c>
      <c r="AJ108" t="n">
        <v>0</v>
      </c>
      <c r="AK108" t="n">
        <v>25.14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84.48</v>
      </c>
      <c r="AV108" t="n">
        <v>0</v>
      </c>
      <c r="AW108" t="n">
        <v>213.2</v>
      </c>
      <c r="AX108" t="inlineStr">
        <is>
          <t>pending</t>
        </is>
      </c>
      <c r="AY108" t="inlineStr">
        <is>
          <t>NA</t>
        </is>
      </c>
      <c r="AZ108" t="inlineStr">
        <is>
          <t>NA</t>
        </is>
      </c>
      <c r="BA108" t="n">
        <v>213.2</v>
      </c>
      <c r="BB108" t="inlineStr">
        <is>
          <t>6acca26f3a144fda4366b517c93df1ca8bd072916115c00565f8750e8321ba3d</t>
        </is>
      </c>
    </row>
    <row r="109">
      <c r="A109" t="inlineStr">
        <is>
          <t>104</t>
        </is>
      </c>
      <c r="B109" t="inlineStr">
        <is>
          <t>7724960077</t>
        </is>
      </c>
      <c r="C109" t="inlineStr">
        <is>
          <t>2026-01-29 00:13:46</t>
        </is>
      </c>
      <c r="D109" t="inlineStr">
        <is>
          <t>5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229</v>
      </c>
      <c r="P109" t="n">
        <v>3.5</v>
      </c>
      <c r="Q109" t="n">
        <v>0</v>
      </c>
      <c r="R109" t="n">
        <v>68.7</v>
      </c>
      <c r="S109" t="n">
        <v>0</v>
      </c>
      <c r="T109" t="n">
        <v>0</v>
      </c>
      <c r="U109" t="n">
        <v>0</v>
      </c>
      <c r="V109" t="n">
        <v>8.19</v>
      </c>
      <c r="W109" t="n">
        <v>171.99</v>
      </c>
      <c r="X109" t="n">
        <v>163.8</v>
      </c>
      <c r="Y109" t="n">
        <v>19</v>
      </c>
      <c r="Z109" t="n">
        <v>31.12</v>
      </c>
      <c r="AA109" t="n">
        <v>3.16</v>
      </c>
      <c r="AB109" t="n">
        <v>34.28</v>
      </c>
      <c r="AC109" t="n">
        <v>6.17</v>
      </c>
      <c r="AD109" t="n">
        <v>0</v>
      </c>
      <c r="AE109" t="n">
        <v>163.8</v>
      </c>
      <c r="AF109" t="n">
        <v>0</v>
      </c>
      <c r="AG109" t="n">
        <v>0</v>
      </c>
      <c r="AH109" t="n">
        <v>0.16</v>
      </c>
      <c r="AI109" t="n">
        <v>8.199999999999999</v>
      </c>
      <c r="AJ109" t="n">
        <v>-0.01</v>
      </c>
      <c r="AK109" t="n">
        <v>14.53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48.81</v>
      </c>
      <c r="AV109" t="n">
        <v>0</v>
      </c>
      <c r="AW109" t="n">
        <v>123.18</v>
      </c>
      <c r="AX109" t="inlineStr">
        <is>
          <t>pending</t>
        </is>
      </c>
      <c r="AY109" t="inlineStr">
        <is>
          <t>NA</t>
        </is>
      </c>
      <c r="AZ109" t="inlineStr">
        <is>
          <t>NA</t>
        </is>
      </c>
      <c r="BA109" t="n">
        <v>123.18</v>
      </c>
      <c r="BB109" t="inlineStr">
        <is>
          <t>2074d75e48459e42b6ccbf313a8068887a480a308e483e777d04597c99b847b9</t>
        </is>
      </c>
    </row>
    <row r="110">
      <c r="A110" t="inlineStr">
        <is>
          <t>105</t>
        </is>
      </c>
      <c r="B110" t="inlineStr">
        <is>
          <t>7738013268</t>
        </is>
      </c>
      <c r="C110" t="inlineStr">
        <is>
          <t>2026-01-29 00:20:17</t>
        </is>
      </c>
      <c r="D110" t="inlineStr">
        <is>
          <t>5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NA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229</v>
      </c>
      <c r="P110" t="n">
        <v>3.5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11.63</v>
      </c>
      <c r="W110" t="n">
        <v>244.13</v>
      </c>
      <c r="X110" t="n">
        <v>232.5</v>
      </c>
      <c r="Y110" t="n">
        <v>19</v>
      </c>
      <c r="Z110" t="n">
        <v>44.18</v>
      </c>
      <c r="AA110" t="n">
        <v>4.49</v>
      </c>
      <c r="AB110" t="n">
        <v>48.67</v>
      </c>
      <c r="AC110" t="n">
        <v>8.76</v>
      </c>
      <c r="AD110" t="n">
        <v>0</v>
      </c>
      <c r="AE110" t="n">
        <v>232.5</v>
      </c>
      <c r="AF110" t="n">
        <v>0</v>
      </c>
      <c r="AG110" t="n">
        <v>0</v>
      </c>
      <c r="AH110" t="n">
        <v>0.23</v>
      </c>
      <c r="AI110" t="n">
        <v>11.63</v>
      </c>
      <c r="AJ110" t="n">
        <v>0</v>
      </c>
      <c r="AK110" t="n">
        <v>20.62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69.29000000000001</v>
      </c>
      <c r="AV110" t="n">
        <v>0</v>
      </c>
      <c r="AW110" t="n">
        <v>174.84</v>
      </c>
      <c r="AX110" t="inlineStr">
        <is>
          <t>pending</t>
        </is>
      </c>
      <c r="AY110" t="inlineStr">
        <is>
          <t>NA</t>
        </is>
      </c>
      <c r="AZ110" t="inlineStr">
        <is>
          <t>NA</t>
        </is>
      </c>
      <c r="BA110" t="n">
        <v>174.84</v>
      </c>
      <c r="BB110" t="inlineStr">
        <is>
          <t>cdba085b7431ac43bc2a4b6b58a069d3a1bea090979213cbb956f3fc108e7914</t>
        </is>
      </c>
    </row>
    <row r="111">
      <c r="A111" t="inlineStr">
        <is>
          <t>106</t>
        </is>
      </c>
      <c r="B111" t="inlineStr">
        <is>
          <t>7732101516</t>
        </is>
      </c>
      <c r="C111" t="inlineStr">
        <is>
          <t>2026-01-29 12:39:08</t>
        </is>
      </c>
      <c r="D111" t="inlineStr">
        <is>
          <t>5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30% off upto ₹75 (2025-06-25 - 2031-01-01)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68.7</v>
      </c>
      <c r="S111" t="n">
        <v>0</v>
      </c>
      <c r="T111" t="n">
        <v>0</v>
      </c>
      <c r="U111" t="n">
        <v>0</v>
      </c>
      <c r="V111" t="n">
        <v>8.19</v>
      </c>
      <c r="W111" t="n">
        <v>171.99</v>
      </c>
      <c r="X111" t="n">
        <v>163.8</v>
      </c>
      <c r="Y111" t="n">
        <v>19</v>
      </c>
      <c r="Z111" t="n">
        <v>31.12</v>
      </c>
      <c r="AA111" t="n">
        <v>3.16</v>
      </c>
      <c r="AB111" t="n">
        <v>34.28</v>
      </c>
      <c r="AC111" t="n">
        <v>6.17</v>
      </c>
      <c r="AD111" t="n">
        <v>0</v>
      </c>
      <c r="AE111" t="n">
        <v>163.8</v>
      </c>
      <c r="AF111" t="n">
        <v>0</v>
      </c>
      <c r="AG111" t="n">
        <v>0</v>
      </c>
      <c r="AH111" t="n">
        <v>0.16</v>
      </c>
      <c r="AI111" t="n">
        <v>8.199999999999999</v>
      </c>
      <c r="AJ111" t="n">
        <v>-0.01</v>
      </c>
      <c r="AK111" t="n">
        <v>14.53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48.81</v>
      </c>
      <c r="AV111" t="n">
        <v>0</v>
      </c>
      <c r="AW111" t="n">
        <v>123.18</v>
      </c>
      <c r="AX111" t="inlineStr">
        <is>
          <t>pending</t>
        </is>
      </c>
      <c r="AY111" t="inlineStr">
        <is>
          <t>NA</t>
        </is>
      </c>
      <c r="AZ111" t="inlineStr">
        <is>
          <t>NA</t>
        </is>
      </c>
      <c r="BA111" t="n">
        <v>123.18</v>
      </c>
      <c r="BB111" t="inlineStr">
        <is>
          <t>d1ae8d8443a195f068423e9937c8049ee67391f57cee67d0e913de359de6f69e</t>
        </is>
      </c>
    </row>
    <row r="112">
      <c r="A112" t="inlineStr">
        <is>
          <t>107</t>
        </is>
      </c>
      <c r="B112" t="inlineStr">
        <is>
          <t>7740736100</t>
        </is>
      </c>
      <c r="C112" t="inlineStr">
        <is>
          <t>2026-01-29 13:09:37</t>
        </is>
      </c>
      <c r="D112" t="inlineStr">
        <is>
          <t>5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229</v>
      </c>
      <c r="P112" t="n">
        <v>3.5</v>
      </c>
      <c r="Q112" t="n">
        <v>0</v>
      </c>
      <c r="R112" t="n">
        <v>68.7</v>
      </c>
      <c r="S112" t="n">
        <v>0</v>
      </c>
      <c r="T112" t="n">
        <v>0</v>
      </c>
      <c r="U112" t="n">
        <v>0</v>
      </c>
      <c r="V112" t="n">
        <v>8.19</v>
      </c>
      <c r="W112" t="n">
        <v>171.99</v>
      </c>
      <c r="X112" t="n">
        <v>163.8</v>
      </c>
      <c r="Y112" t="n">
        <v>19</v>
      </c>
      <c r="Z112" t="n">
        <v>31.12</v>
      </c>
      <c r="AA112" t="n">
        <v>3.16</v>
      </c>
      <c r="AB112" t="n">
        <v>34.28</v>
      </c>
      <c r="AC112" t="n">
        <v>6.17</v>
      </c>
      <c r="AD112" t="n">
        <v>0</v>
      </c>
      <c r="AE112" t="n">
        <v>163.8</v>
      </c>
      <c r="AF112" t="n">
        <v>0</v>
      </c>
      <c r="AG112" t="n">
        <v>0</v>
      </c>
      <c r="AH112" t="n">
        <v>0.16</v>
      </c>
      <c r="AI112" t="n">
        <v>8.199999999999999</v>
      </c>
      <c r="AJ112" t="n">
        <v>-0.01</v>
      </c>
      <c r="AK112" t="n">
        <v>14.53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48.81</v>
      </c>
      <c r="AV112" t="n">
        <v>0</v>
      </c>
      <c r="AW112" t="n">
        <v>123.18</v>
      </c>
      <c r="AX112" t="inlineStr">
        <is>
          <t>pending</t>
        </is>
      </c>
      <c r="AY112" t="inlineStr">
        <is>
          <t>NA</t>
        </is>
      </c>
      <c r="AZ112" t="inlineStr">
        <is>
          <t>NA</t>
        </is>
      </c>
      <c r="BA112" t="n">
        <v>123.18</v>
      </c>
      <c r="BB112" t="inlineStr">
        <is>
          <t>691893265855ae972cf7a2fb2d85f59ed26cae6d5093c8e3d36ad78e542be467</t>
        </is>
      </c>
    </row>
    <row r="113">
      <c r="A113" t="inlineStr">
        <is>
          <t>108</t>
        </is>
      </c>
      <c r="B113" t="inlineStr">
        <is>
          <t>7739795498</t>
        </is>
      </c>
      <c r="C113" t="inlineStr">
        <is>
          <t>2026-01-29 13:28:26</t>
        </is>
      </c>
      <c r="D113" t="inlineStr">
        <is>
          <t>5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30% off upto ₹75 (2025-06-25 - 2031-01-01)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516</v>
      </c>
      <c r="P113" t="n">
        <v>3.5</v>
      </c>
      <c r="Q113" t="n">
        <v>0</v>
      </c>
      <c r="R113" t="n">
        <v>75</v>
      </c>
      <c r="S113" t="n">
        <v>0</v>
      </c>
      <c r="T113" t="n">
        <v>0</v>
      </c>
      <c r="U113" t="n">
        <v>0</v>
      </c>
      <c r="V113" t="n">
        <v>22.23</v>
      </c>
      <c r="W113" t="n">
        <v>466.73</v>
      </c>
      <c r="X113" t="n">
        <v>444.5</v>
      </c>
      <c r="Y113" t="n">
        <v>19</v>
      </c>
      <c r="Z113" t="n">
        <v>84.45999999999999</v>
      </c>
      <c r="AA113" t="n">
        <v>8.59</v>
      </c>
      <c r="AB113" t="n">
        <v>93.05</v>
      </c>
      <c r="AC113" t="n">
        <v>16.75</v>
      </c>
      <c r="AD113" t="n">
        <v>0</v>
      </c>
      <c r="AE113" t="n">
        <v>444.5</v>
      </c>
      <c r="AF113" t="n">
        <v>0</v>
      </c>
      <c r="AG113" t="n">
        <v>0</v>
      </c>
      <c r="AH113" t="n">
        <v>0.44</v>
      </c>
      <c r="AI113" t="n">
        <v>22.23</v>
      </c>
      <c r="AJ113" t="n">
        <v>0</v>
      </c>
      <c r="AK113" t="n">
        <v>39.42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132.47</v>
      </c>
      <c r="AV113" t="n">
        <v>0</v>
      </c>
      <c r="AW113" t="n">
        <v>334.26</v>
      </c>
      <c r="AX113" t="inlineStr">
        <is>
          <t>pending</t>
        </is>
      </c>
      <c r="AY113" t="inlineStr">
        <is>
          <t>NA</t>
        </is>
      </c>
      <c r="AZ113" t="inlineStr">
        <is>
          <t>NA</t>
        </is>
      </c>
      <c r="BA113" t="n">
        <v>334.26</v>
      </c>
      <c r="BB113" t="inlineStr">
        <is>
          <t>5ad4c2f82b59c2bee0fef37c8e0e7d44dc94188f32d5b1dbd702f122165241af</t>
        </is>
      </c>
    </row>
    <row r="114">
      <c r="A114" t="inlineStr">
        <is>
          <t>109</t>
        </is>
      </c>
      <c r="B114" t="inlineStr">
        <is>
          <t>7739112281</t>
        </is>
      </c>
      <c r="C114" t="inlineStr">
        <is>
          <t>2026-01-29 13:46:17</t>
        </is>
      </c>
      <c r="D114" t="inlineStr">
        <is>
          <t>5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NA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229</v>
      </c>
      <c r="P114" t="n">
        <v>3.5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11.63</v>
      </c>
      <c r="W114" t="n">
        <v>244.13</v>
      </c>
      <c r="X114" t="n">
        <v>232.5</v>
      </c>
      <c r="Y114" t="n">
        <v>19</v>
      </c>
      <c r="Z114" t="n">
        <v>44.18</v>
      </c>
      <c r="AA114" t="n">
        <v>4.49</v>
      </c>
      <c r="AB114" t="n">
        <v>48.67</v>
      </c>
      <c r="AC114" t="n">
        <v>8.76</v>
      </c>
      <c r="AD114" t="n">
        <v>0</v>
      </c>
      <c r="AE114" t="n">
        <v>232.5</v>
      </c>
      <c r="AF114" t="n">
        <v>0</v>
      </c>
      <c r="AG114" t="n">
        <v>0</v>
      </c>
      <c r="AH114" t="n">
        <v>0.23</v>
      </c>
      <c r="AI114" t="n">
        <v>11.63</v>
      </c>
      <c r="AJ114" t="n">
        <v>0</v>
      </c>
      <c r="AK114" t="n">
        <v>20.62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69.29000000000001</v>
      </c>
      <c r="AV114" t="n">
        <v>0</v>
      </c>
      <c r="AW114" t="n">
        <v>174.84</v>
      </c>
      <c r="AX114" t="inlineStr">
        <is>
          <t>pending</t>
        </is>
      </c>
      <c r="AY114" t="inlineStr">
        <is>
          <t>NA</t>
        </is>
      </c>
      <c r="AZ114" t="inlineStr">
        <is>
          <t>NA</t>
        </is>
      </c>
      <c r="BA114" t="n">
        <v>174.84</v>
      </c>
      <c r="BB114" t="inlineStr">
        <is>
          <t>d8fda5dee1b1ec82d615c090a87686477bbc3d4b97a95b46af40f364ce0d1cf4</t>
        </is>
      </c>
    </row>
    <row r="115">
      <c r="A115" t="inlineStr">
        <is>
          <t>110</t>
        </is>
      </c>
      <c r="B115" t="inlineStr">
        <is>
          <t>7739542989</t>
        </is>
      </c>
      <c r="C115" t="inlineStr">
        <is>
          <t>2026-01-29 14:49:33</t>
        </is>
      </c>
      <c r="D115" t="inlineStr">
        <is>
          <t>5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229</v>
      </c>
      <c r="P115" t="n">
        <v>3.5</v>
      </c>
      <c r="Q115" t="n">
        <v>0</v>
      </c>
      <c r="R115" t="n">
        <v>68.7</v>
      </c>
      <c r="S115" t="n">
        <v>0</v>
      </c>
      <c r="T115" t="n">
        <v>0</v>
      </c>
      <c r="U115" t="n">
        <v>0</v>
      </c>
      <c r="V115" t="n">
        <v>8.19</v>
      </c>
      <c r="W115" t="n">
        <v>171.99</v>
      </c>
      <c r="X115" t="n">
        <v>163.8</v>
      </c>
      <c r="Y115" t="n">
        <v>19</v>
      </c>
      <c r="Z115" t="n">
        <v>31.12</v>
      </c>
      <c r="AA115" t="n">
        <v>3.16</v>
      </c>
      <c r="AB115" t="n">
        <v>34.28</v>
      </c>
      <c r="AC115" t="n">
        <v>6.17</v>
      </c>
      <c r="AD115" t="n">
        <v>0</v>
      </c>
      <c r="AE115" t="n">
        <v>163.8</v>
      </c>
      <c r="AF115" t="n">
        <v>0</v>
      </c>
      <c r="AG115" t="n">
        <v>0</v>
      </c>
      <c r="AH115" t="n">
        <v>0.16</v>
      </c>
      <c r="AI115" t="n">
        <v>8.199999999999999</v>
      </c>
      <c r="AJ115" t="n">
        <v>-0.01</v>
      </c>
      <c r="AK115" t="n">
        <v>14.53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48.81</v>
      </c>
      <c r="AV115" t="n">
        <v>0</v>
      </c>
      <c r="AW115" t="n">
        <v>123.18</v>
      </c>
      <c r="AX115" t="inlineStr">
        <is>
          <t>pending</t>
        </is>
      </c>
      <c r="AY115" t="inlineStr">
        <is>
          <t>NA</t>
        </is>
      </c>
      <c r="AZ115" t="inlineStr">
        <is>
          <t>NA</t>
        </is>
      </c>
      <c r="BA115" t="n">
        <v>123.18</v>
      </c>
      <c r="BB115" t="inlineStr">
        <is>
          <t>3159cd8d0f5ff123a1cff3b35ddbdba173220e5ee8b2befa7b865ba91dc09da1</t>
        </is>
      </c>
    </row>
    <row r="116">
      <c r="A116" t="inlineStr">
        <is>
          <t>111</t>
        </is>
      </c>
      <c r="B116" t="inlineStr">
        <is>
          <t>7740628537</t>
        </is>
      </c>
      <c r="C116" t="inlineStr">
        <is>
          <t>2026-01-29 15:37:28</t>
        </is>
      </c>
      <c r="D116" t="inlineStr">
        <is>
          <t>5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358</v>
      </c>
      <c r="P116" t="n">
        <v>3.5</v>
      </c>
      <c r="Q116" t="n">
        <v>0</v>
      </c>
      <c r="R116" t="n">
        <v>75</v>
      </c>
      <c r="S116" t="n">
        <v>0</v>
      </c>
      <c r="T116" t="n">
        <v>0</v>
      </c>
      <c r="U116" t="n">
        <v>0</v>
      </c>
      <c r="V116" t="n">
        <v>14.33</v>
      </c>
      <c r="W116" t="n">
        <v>300.83</v>
      </c>
      <c r="X116" t="n">
        <v>286.5</v>
      </c>
      <c r="Y116" t="n">
        <v>19</v>
      </c>
      <c r="Z116" t="n">
        <v>54.44</v>
      </c>
      <c r="AA116" t="n">
        <v>5.54</v>
      </c>
      <c r="AB116" t="n">
        <v>59.98</v>
      </c>
      <c r="AC116" t="n">
        <v>10.8</v>
      </c>
      <c r="AD116" t="n">
        <v>0</v>
      </c>
      <c r="AE116" t="n">
        <v>286.5</v>
      </c>
      <c r="AF116" t="n">
        <v>0</v>
      </c>
      <c r="AG116" t="n">
        <v>0</v>
      </c>
      <c r="AH116" t="n">
        <v>0.29</v>
      </c>
      <c r="AI116" t="n">
        <v>14.33</v>
      </c>
      <c r="AJ116" t="n">
        <v>0</v>
      </c>
      <c r="AK116" t="n">
        <v>25.42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85.40000000000001</v>
      </c>
      <c r="AV116" t="n">
        <v>0</v>
      </c>
      <c r="AW116" t="n">
        <v>215.43</v>
      </c>
      <c r="AX116" t="inlineStr">
        <is>
          <t>pending</t>
        </is>
      </c>
      <c r="AY116" t="inlineStr">
        <is>
          <t>NA</t>
        </is>
      </c>
      <c r="AZ116" t="inlineStr">
        <is>
          <t>NA</t>
        </is>
      </c>
      <c r="BA116" t="n">
        <v>215.43</v>
      </c>
      <c r="BB116" t="inlineStr">
        <is>
          <t>d83fe9a6e88d91106b1289c7e37ce5a4f6356a320a8aec3b81a341c2b1012691</t>
        </is>
      </c>
    </row>
    <row r="117">
      <c r="A117" t="inlineStr">
        <is>
          <t>112</t>
        </is>
      </c>
      <c r="B117" t="inlineStr">
        <is>
          <t>7741170537</t>
        </is>
      </c>
      <c r="C117" t="inlineStr">
        <is>
          <t>2026-01-29 16:16:04</t>
        </is>
      </c>
      <c r="D117" t="inlineStr">
        <is>
          <t>5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NA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229</v>
      </c>
      <c r="P117" t="n">
        <v>3.5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11.63</v>
      </c>
      <c r="W117" t="n">
        <v>244.13</v>
      </c>
      <c r="X117" t="n">
        <v>232.5</v>
      </c>
      <c r="Y117" t="n">
        <v>19</v>
      </c>
      <c r="Z117" t="n">
        <v>44.18</v>
      </c>
      <c r="AA117" t="n">
        <v>4.49</v>
      </c>
      <c r="AB117" t="n">
        <v>48.67</v>
      </c>
      <c r="AC117" t="n">
        <v>8.76</v>
      </c>
      <c r="AD117" t="n">
        <v>0</v>
      </c>
      <c r="AE117" t="n">
        <v>232.5</v>
      </c>
      <c r="AF117" t="n">
        <v>0</v>
      </c>
      <c r="AG117" t="n">
        <v>0</v>
      </c>
      <c r="AH117" t="n">
        <v>0.23</v>
      </c>
      <c r="AI117" t="n">
        <v>11.63</v>
      </c>
      <c r="AJ117" t="n">
        <v>0</v>
      </c>
      <c r="AK117" t="n">
        <v>20.62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69.29000000000001</v>
      </c>
      <c r="AV117" t="n">
        <v>0</v>
      </c>
      <c r="AW117" t="n">
        <v>174.84</v>
      </c>
      <c r="AX117" t="inlineStr">
        <is>
          <t>pending</t>
        </is>
      </c>
      <c r="AY117" t="inlineStr">
        <is>
          <t>NA</t>
        </is>
      </c>
      <c r="AZ117" t="inlineStr">
        <is>
          <t>NA</t>
        </is>
      </c>
      <c r="BA117" t="n">
        <v>174.84</v>
      </c>
      <c r="BB117" t="inlineStr">
        <is>
          <t>3511bdf9179e5427fd84eede4381dc6b37250bc7d8f18939d7e3ff519a966cdc</t>
        </is>
      </c>
    </row>
    <row r="118">
      <c r="A118" t="inlineStr">
        <is>
          <t>113</t>
        </is>
      </c>
      <c r="B118" t="inlineStr">
        <is>
          <t>7741341699</t>
        </is>
      </c>
      <c r="C118" t="inlineStr">
        <is>
          <t>2026-01-29 16:22:05</t>
        </is>
      </c>
      <c r="D118" t="inlineStr">
        <is>
          <t>5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199</v>
      </c>
      <c r="P118" t="n">
        <v>3.5</v>
      </c>
      <c r="Q118" t="n">
        <v>0</v>
      </c>
      <c r="R118" t="n">
        <v>59.7</v>
      </c>
      <c r="S118" t="n">
        <v>0</v>
      </c>
      <c r="T118" t="n">
        <v>0</v>
      </c>
      <c r="U118" t="n">
        <v>0</v>
      </c>
      <c r="V118" t="n">
        <v>7.14</v>
      </c>
      <c r="W118" t="n">
        <v>149.94</v>
      </c>
      <c r="X118" t="n">
        <v>142.8</v>
      </c>
      <c r="Y118" t="n">
        <v>19</v>
      </c>
      <c r="Z118" t="n">
        <v>27.13</v>
      </c>
      <c r="AA118" t="n">
        <v>2.76</v>
      </c>
      <c r="AB118" t="n">
        <v>29.89</v>
      </c>
      <c r="AC118" t="n">
        <v>5.38</v>
      </c>
      <c r="AD118" t="n">
        <v>0</v>
      </c>
      <c r="AE118" t="n">
        <v>142.8</v>
      </c>
      <c r="AF118" t="n">
        <v>0</v>
      </c>
      <c r="AG118" t="n">
        <v>0</v>
      </c>
      <c r="AH118" t="n">
        <v>0.14</v>
      </c>
      <c r="AI118" t="n">
        <v>7.15</v>
      </c>
      <c r="AJ118" t="n">
        <v>-0.01</v>
      </c>
      <c r="AK118" t="n">
        <v>12.67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42.56</v>
      </c>
      <c r="AV118" t="n">
        <v>0</v>
      </c>
      <c r="AW118" t="n">
        <v>107.38</v>
      </c>
      <c r="AX118" t="inlineStr">
        <is>
          <t>pending</t>
        </is>
      </c>
      <c r="AY118" t="inlineStr">
        <is>
          <t>NA</t>
        </is>
      </c>
      <c r="AZ118" t="inlineStr">
        <is>
          <t>NA</t>
        </is>
      </c>
      <c r="BA118" t="n">
        <v>107.38</v>
      </c>
      <c r="BB118" t="inlineStr">
        <is>
          <t>e7d7789c68b29327dfcae15056d2b5b17f77173b659e59c3773490832d21577b</t>
        </is>
      </c>
    </row>
    <row r="119">
      <c r="A119" t="inlineStr">
        <is>
          <t>114</t>
        </is>
      </c>
      <c r="B119" t="inlineStr">
        <is>
          <t>7733707784</t>
        </is>
      </c>
      <c r="C119" t="inlineStr">
        <is>
          <t>2026-01-29 16:23:19</t>
        </is>
      </c>
      <c r="D119" t="inlineStr">
        <is>
          <t>5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NA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188</v>
      </c>
      <c r="P119" t="n">
        <v>3.5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9.58</v>
      </c>
      <c r="W119" t="n">
        <v>201.08</v>
      </c>
      <c r="X119" t="n">
        <v>191.5</v>
      </c>
      <c r="Y119" t="n">
        <v>19</v>
      </c>
      <c r="Z119" t="n">
        <v>36.38</v>
      </c>
      <c r="AA119" t="n">
        <v>3.7</v>
      </c>
      <c r="AB119" t="n">
        <v>40.08</v>
      </c>
      <c r="AC119" t="n">
        <v>7.22</v>
      </c>
      <c r="AD119" t="n">
        <v>0</v>
      </c>
      <c r="AE119" t="n">
        <v>191.5</v>
      </c>
      <c r="AF119" t="n">
        <v>0</v>
      </c>
      <c r="AG119" t="n">
        <v>0</v>
      </c>
      <c r="AH119" t="n">
        <v>0.19</v>
      </c>
      <c r="AI119" t="n">
        <v>9.58</v>
      </c>
      <c r="AJ119" t="n">
        <v>0</v>
      </c>
      <c r="AK119" t="n">
        <v>16.99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57.07</v>
      </c>
      <c r="AV119" t="n">
        <v>0</v>
      </c>
      <c r="AW119" t="n">
        <v>144.01</v>
      </c>
      <c r="AX119" t="inlineStr">
        <is>
          <t>pending</t>
        </is>
      </c>
      <c r="AY119" t="inlineStr">
        <is>
          <t>NA</t>
        </is>
      </c>
      <c r="AZ119" t="inlineStr">
        <is>
          <t>NA</t>
        </is>
      </c>
      <c r="BA119" t="n">
        <v>144.01</v>
      </c>
      <c r="BB119" t="inlineStr">
        <is>
          <t>e7d7789c68b29327dfcae15056d2b5b17f77173b659e59c3773490832d21577b</t>
        </is>
      </c>
    </row>
    <row r="120">
      <c r="A120" t="inlineStr">
        <is>
          <t>115</t>
        </is>
      </c>
      <c r="B120" t="inlineStr">
        <is>
          <t>7733323233</t>
        </is>
      </c>
      <c r="C120" t="inlineStr">
        <is>
          <t>2026-01-29 16:23:44</t>
        </is>
      </c>
      <c r="D120" t="inlineStr">
        <is>
          <t>5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NA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229</v>
      </c>
      <c r="P120" t="n">
        <v>3.5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11.63</v>
      </c>
      <c r="W120" t="n">
        <v>244.13</v>
      </c>
      <c r="X120" t="n">
        <v>232.5</v>
      </c>
      <c r="Y120" t="n">
        <v>19</v>
      </c>
      <c r="Z120" t="n">
        <v>44.18</v>
      </c>
      <c r="AA120" t="n">
        <v>4.49</v>
      </c>
      <c r="AB120" t="n">
        <v>48.67</v>
      </c>
      <c r="AC120" t="n">
        <v>8.76</v>
      </c>
      <c r="AD120" t="n">
        <v>0</v>
      </c>
      <c r="AE120" t="n">
        <v>232.5</v>
      </c>
      <c r="AF120" t="n">
        <v>0</v>
      </c>
      <c r="AG120" t="n">
        <v>0</v>
      </c>
      <c r="AH120" t="n">
        <v>0.23</v>
      </c>
      <c r="AI120" t="n">
        <v>11.63</v>
      </c>
      <c r="AJ120" t="n">
        <v>0</v>
      </c>
      <c r="AK120" t="n">
        <v>20.62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69.29000000000001</v>
      </c>
      <c r="AV120" t="n">
        <v>0</v>
      </c>
      <c r="AW120" t="n">
        <v>174.84</v>
      </c>
      <c r="AX120" t="inlineStr">
        <is>
          <t>pending</t>
        </is>
      </c>
      <c r="AY120" t="inlineStr">
        <is>
          <t>NA</t>
        </is>
      </c>
      <c r="AZ120" t="inlineStr">
        <is>
          <t>NA</t>
        </is>
      </c>
      <c r="BA120" t="n">
        <v>174.84</v>
      </c>
      <c r="BB120" t="inlineStr">
        <is>
          <t>3ebdce2492850442f90058c8af09effd692b49b192d76197bac69adb19baeadd</t>
        </is>
      </c>
    </row>
    <row r="121">
      <c r="A121" t="inlineStr">
        <is>
          <t>116</t>
        </is>
      </c>
      <c r="B121" t="inlineStr">
        <is>
          <t>7739563452</t>
        </is>
      </c>
      <c r="C121" t="inlineStr">
        <is>
          <t>2026-01-29 16:24:29</t>
        </is>
      </c>
      <c r="D121" t="inlineStr">
        <is>
          <t>5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NA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219</v>
      </c>
      <c r="P121" t="n">
        <v>3.5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11.13</v>
      </c>
      <c r="W121" t="n">
        <v>233.63</v>
      </c>
      <c r="X121" t="n">
        <v>222.5</v>
      </c>
      <c r="Y121" t="n">
        <v>19</v>
      </c>
      <c r="Z121" t="n">
        <v>42.28</v>
      </c>
      <c r="AA121" t="n">
        <v>4.3</v>
      </c>
      <c r="AB121" t="n">
        <v>46.58</v>
      </c>
      <c r="AC121" t="n">
        <v>8.380000000000001</v>
      </c>
      <c r="AD121" t="n">
        <v>0</v>
      </c>
      <c r="AE121" t="n">
        <v>222.5</v>
      </c>
      <c r="AF121" t="n">
        <v>0</v>
      </c>
      <c r="AG121" t="n">
        <v>0</v>
      </c>
      <c r="AH121" t="n">
        <v>0.22</v>
      </c>
      <c r="AI121" t="n">
        <v>11.13</v>
      </c>
      <c r="AJ121" t="n">
        <v>0</v>
      </c>
      <c r="AK121" t="n">
        <v>19.73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66.31</v>
      </c>
      <c r="AV121" t="n">
        <v>0</v>
      </c>
      <c r="AW121" t="n">
        <v>167.32</v>
      </c>
      <c r="AX121" t="inlineStr">
        <is>
          <t>pending</t>
        </is>
      </c>
      <c r="AY121" t="inlineStr">
        <is>
          <t>NA</t>
        </is>
      </c>
      <c r="AZ121" t="inlineStr">
        <is>
          <t>NA</t>
        </is>
      </c>
      <c r="BA121" t="n">
        <v>167.32</v>
      </c>
      <c r="BB121" t="inlineStr">
        <is>
          <t>5cd8b0a707350ed6a96ad56fd384aeec1098eb7e8e40c30a8e5edf9acb89a8b8</t>
        </is>
      </c>
    </row>
    <row r="122">
      <c r="A122" t="inlineStr">
        <is>
          <t>117</t>
        </is>
      </c>
      <c r="B122" t="inlineStr">
        <is>
          <t>7727759932</t>
        </is>
      </c>
      <c r="C122" t="inlineStr">
        <is>
          <t>2026-01-29 16:59:30</t>
        </is>
      </c>
      <c r="D122" t="inlineStr">
        <is>
          <t>5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30% off upto ₹75 (2025-06-25 - 2031-01-01)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518</v>
      </c>
      <c r="P122" t="n">
        <v>3.5</v>
      </c>
      <c r="Q122" t="n">
        <v>0</v>
      </c>
      <c r="R122" t="n">
        <v>75</v>
      </c>
      <c r="S122" t="n">
        <v>0</v>
      </c>
      <c r="T122" t="n">
        <v>0</v>
      </c>
      <c r="U122" t="n">
        <v>0</v>
      </c>
      <c r="V122" t="n">
        <v>22.33</v>
      </c>
      <c r="W122" t="n">
        <v>468.83</v>
      </c>
      <c r="X122" t="n">
        <v>446.5</v>
      </c>
      <c r="Y122" t="n">
        <v>19</v>
      </c>
      <c r="Z122" t="n">
        <v>84.84</v>
      </c>
      <c r="AA122" t="n">
        <v>8.630000000000001</v>
      </c>
      <c r="AB122" t="n">
        <v>93.47</v>
      </c>
      <c r="AC122" t="n">
        <v>16.82</v>
      </c>
      <c r="AD122" t="n">
        <v>0</v>
      </c>
      <c r="AE122" t="n">
        <v>446.5</v>
      </c>
      <c r="AF122" t="n">
        <v>0</v>
      </c>
      <c r="AG122" t="n">
        <v>0</v>
      </c>
      <c r="AH122" t="n">
        <v>0.45</v>
      </c>
      <c r="AI122" t="n">
        <v>22.33</v>
      </c>
      <c r="AJ122" t="n">
        <v>0</v>
      </c>
      <c r="AK122" t="n">
        <v>39.6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133.07</v>
      </c>
      <c r="AV122" t="n">
        <v>0</v>
      </c>
      <c r="AW122" t="n">
        <v>335.76</v>
      </c>
      <c r="AX122" t="inlineStr">
        <is>
          <t>pending</t>
        </is>
      </c>
      <c r="AY122" t="inlineStr">
        <is>
          <t>NA</t>
        </is>
      </c>
      <c r="AZ122" t="inlineStr">
        <is>
          <t>NA</t>
        </is>
      </c>
      <c r="BA122" t="n">
        <v>335.76</v>
      </c>
      <c r="BB122" t="inlineStr">
        <is>
          <t>5b51b052c1350359a1521f15821938c2ea51d78b873bf08bf180712aaad37c85</t>
        </is>
      </c>
    </row>
    <row r="123">
      <c r="A123" t="inlineStr">
        <is>
          <t>118</t>
        </is>
      </c>
      <c r="B123" t="inlineStr">
        <is>
          <t>7739376849</t>
        </is>
      </c>
      <c r="C123" t="inlineStr">
        <is>
          <t>2026-01-29 17:01:34</t>
        </is>
      </c>
      <c r="D123" t="inlineStr">
        <is>
          <t>5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NA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219</v>
      </c>
      <c r="P123" t="n">
        <v>3.5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11.13</v>
      </c>
      <c r="W123" t="n">
        <v>233.63</v>
      </c>
      <c r="X123" t="n">
        <v>222.5</v>
      </c>
      <c r="Y123" t="n">
        <v>19</v>
      </c>
      <c r="Z123" t="n">
        <v>42.28</v>
      </c>
      <c r="AA123" t="n">
        <v>4.3</v>
      </c>
      <c r="AB123" t="n">
        <v>46.58</v>
      </c>
      <c r="AC123" t="n">
        <v>8.380000000000001</v>
      </c>
      <c r="AD123" t="n">
        <v>0</v>
      </c>
      <c r="AE123" t="n">
        <v>222.5</v>
      </c>
      <c r="AF123" t="n">
        <v>0</v>
      </c>
      <c r="AG123" t="n">
        <v>0</v>
      </c>
      <c r="AH123" t="n">
        <v>0.22</v>
      </c>
      <c r="AI123" t="n">
        <v>11.13</v>
      </c>
      <c r="AJ123" t="n">
        <v>0</v>
      </c>
      <c r="AK123" t="n">
        <v>19.73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66.31</v>
      </c>
      <c r="AV123" t="n">
        <v>0</v>
      </c>
      <c r="AW123" t="n">
        <v>167.32</v>
      </c>
      <c r="AX123" t="inlineStr">
        <is>
          <t>pending</t>
        </is>
      </c>
      <c r="AY123" t="inlineStr">
        <is>
          <t>NA</t>
        </is>
      </c>
      <c r="AZ123" t="inlineStr">
        <is>
          <t>NA</t>
        </is>
      </c>
      <c r="BA123" t="n">
        <v>167.32</v>
      </c>
      <c r="BB123" t="inlineStr">
        <is>
          <t>addfa40b1b88803ba5dc5b111cce752267e4435d48b23a4c90022998053b6113</t>
        </is>
      </c>
    </row>
    <row r="124">
      <c r="A124" t="inlineStr">
        <is>
          <t>119</t>
        </is>
      </c>
      <c r="B124" t="inlineStr">
        <is>
          <t>7735496850</t>
        </is>
      </c>
      <c r="C124" t="inlineStr">
        <is>
          <t>2026-01-29 17:12:37</t>
        </is>
      </c>
      <c r="D124" t="inlineStr">
        <is>
          <t>5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377</v>
      </c>
      <c r="P124" t="n">
        <v>3.5</v>
      </c>
      <c r="Q124" t="n">
        <v>0</v>
      </c>
      <c r="R124" t="n">
        <v>75</v>
      </c>
      <c r="S124" t="n">
        <v>0</v>
      </c>
      <c r="T124" t="n">
        <v>0</v>
      </c>
      <c r="U124" t="n">
        <v>0</v>
      </c>
      <c r="V124" t="n">
        <v>15.28</v>
      </c>
      <c r="W124" t="n">
        <v>320.78</v>
      </c>
      <c r="X124" t="n">
        <v>305.5</v>
      </c>
      <c r="Y124" t="n">
        <v>19</v>
      </c>
      <c r="Z124" t="n">
        <v>58.04</v>
      </c>
      <c r="AA124" t="n">
        <v>5.9</v>
      </c>
      <c r="AB124" t="n">
        <v>63.94</v>
      </c>
      <c r="AC124" t="n">
        <v>11.51</v>
      </c>
      <c r="AD124" t="n">
        <v>0</v>
      </c>
      <c r="AE124" t="n">
        <v>305.5</v>
      </c>
      <c r="AF124" t="n">
        <v>0</v>
      </c>
      <c r="AG124" t="n">
        <v>0</v>
      </c>
      <c r="AH124" t="n">
        <v>0.31</v>
      </c>
      <c r="AI124" t="n">
        <v>15.28</v>
      </c>
      <c r="AJ124" t="n">
        <v>0</v>
      </c>
      <c r="AK124" t="n">
        <v>27.1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91.04000000000001</v>
      </c>
      <c r="AV124" t="n">
        <v>0</v>
      </c>
      <c r="AW124" t="n">
        <v>229.74</v>
      </c>
      <c r="AX124" t="inlineStr">
        <is>
          <t>pending</t>
        </is>
      </c>
      <c r="AY124" t="inlineStr">
        <is>
          <t>NA</t>
        </is>
      </c>
      <c r="AZ124" t="inlineStr">
        <is>
          <t>NA</t>
        </is>
      </c>
      <c r="BA124" t="n">
        <v>229.74</v>
      </c>
      <c r="BB124" t="inlineStr">
        <is>
          <t>edd53900f097694555438d571c02576fcbde977816370656961e1e3393fb9542</t>
        </is>
      </c>
    </row>
    <row r="125">
      <c r="A125" t="inlineStr">
        <is>
          <t>120</t>
        </is>
      </c>
      <c r="B125" t="inlineStr">
        <is>
          <t>7737683568</t>
        </is>
      </c>
      <c r="C125" t="inlineStr">
        <is>
          <t>2026-01-29 17:24:01</t>
        </is>
      </c>
      <c r="D125" t="inlineStr">
        <is>
          <t>5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pending</t>
        </is>
      </c>
      <c r="AY125" t="inlineStr">
        <is>
          <t>NA</t>
        </is>
      </c>
      <c r="AZ125" t="inlineStr">
        <is>
          <t>NA</t>
        </is>
      </c>
      <c r="BA125" t="n">
        <v>123.18</v>
      </c>
      <c r="BB125" t="inlineStr">
        <is>
          <t>db8cc3d58cc23f5e9e88ae7c8040f0ad24d725714a290a17d6822bd2564c992a</t>
        </is>
      </c>
    </row>
    <row r="126">
      <c r="A126" t="inlineStr">
        <is>
          <t>121</t>
        </is>
      </c>
      <c r="B126" t="inlineStr">
        <is>
          <t>7737912851</t>
        </is>
      </c>
      <c r="C126" t="inlineStr">
        <is>
          <t>2026-01-29 17:25:18</t>
        </is>
      </c>
      <c r="D126" t="inlineStr">
        <is>
          <t>5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298</v>
      </c>
      <c r="P126" t="n">
        <v>3.5</v>
      </c>
      <c r="Q126" t="n">
        <v>0</v>
      </c>
      <c r="R126" t="n">
        <v>75</v>
      </c>
      <c r="S126" t="n">
        <v>0</v>
      </c>
      <c r="T126" t="n">
        <v>0</v>
      </c>
      <c r="U126" t="n">
        <v>0</v>
      </c>
      <c r="V126" t="n">
        <v>11.33</v>
      </c>
      <c r="W126" t="n">
        <v>237.83</v>
      </c>
      <c r="X126" t="n">
        <v>226.5</v>
      </c>
      <c r="Y126" t="n">
        <v>19</v>
      </c>
      <c r="Z126" t="n">
        <v>43.04</v>
      </c>
      <c r="AA126" t="n">
        <v>4.38</v>
      </c>
      <c r="AB126" t="n">
        <v>47.42</v>
      </c>
      <c r="AC126" t="n">
        <v>8.539999999999999</v>
      </c>
      <c r="AD126" t="n">
        <v>0</v>
      </c>
      <c r="AE126" t="n">
        <v>226.5</v>
      </c>
      <c r="AF126" t="n">
        <v>0</v>
      </c>
      <c r="AG126" t="n">
        <v>0</v>
      </c>
      <c r="AH126" t="n">
        <v>0.23</v>
      </c>
      <c r="AI126" t="n">
        <v>11.33</v>
      </c>
      <c r="AJ126" t="n">
        <v>0</v>
      </c>
      <c r="AK126" t="n">
        <v>20.1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67.52</v>
      </c>
      <c r="AV126" t="n">
        <v>0</v>
      </c>
      <c r="AW126" t="n">
        <v>170.31</v>
      </c>
      <c r="AX126" t="inlineStr">
        <is>
          <t>pending</t>
        </is>
      </c>
      <c r="AY126" t="inlineStr">
        <is>
          <t>NA</t>
        </is>
      </c>
      <c r="AZ126" t="inlineStr">
        <is>
          <t>NA</t>
        </is>
      </c>
      <c r="BA126" t="n">
        <v>170.31</v>
      </c>
      <c r="BB126" t="inlineStr">
        <is>
          <t>1b4b5cee8b3ed559c1ca8b4e1a2f531968a5d80bae9639c6319576e6ab7ba86b</t>
        </is>
      </c>
    </row>
    <row r="127">
      <c r="A127" t="inlineStr">
        <is>
          <t>122</t>
        </is>
      </c>
      <c r="B127" t="inlineStr">
        <is>
          <t>7737223007</t>
        </is>
      </c>
      <c r="C127" t="inlineStr">
        <is>
          <t>2026-01-29 17:33:12</t>
        </is>
      </c>
      <c r="D127" t="inlineStr">
        <is>
          <t>5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30% off upto ₹75 (2025-06-25 - 2031-01-01)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229</v>
      </c>
      <c r="P127" t="n">
        <v>3.5</v>
      </c>
      <c r="Q127" t="n">
        <v>0</v>
      </c>
      <c r="R127" t="n">
        <v>68.7</v>
      </c>
      <c r="S127" t="n">
        <v>0</v>
      </c>
      <c r="T127" t="n">
        <v>0</v>
      </c>
      <c r="U127" t="n">
        <v>0</v>
      </c>
      <c r="V127" t="n">
        <v>8.19</v>
      </c>
      <c r="W127" t="n">
        <v>171.99</v>
      </c>
      <c r="X127" t="n">
        <v>163.8</v>
      </c>
      <c r="Y127" t="n">
        <v>19</v>
      </c>
      <c r="Z127" t="n">
        <v>31.12</v>
      </c>
      <c r="AA127" t="n">
        <v>3.16</v>
      </c>
      <c r="AB127" t="n">
        <v>34.28</v>
      </c>
      <c r="AC127" t="n">
        <v>6.17</v>
      </c>
      <c r="AD127" t="n">
        <v>0</v>
      </c>
      <c r="AE127" t="n">
        <v>163.8</v>
      </c>
      <c r="AF127" t="n">
        <v>0</v>
      </c>
      <c r="AG127" t="n">
        <v>0</v>
      </c>
      <c r="AH127" t="n">
        <v>0.16</v>
      </c>
      <c r="AI127" t="n">
        <v>8.199999999999999</v>
      </c>
      <c r="AJ127" t="n">
        <v>-0.01</v>
      </c>
      <c r="AK127" t="n">
        <v>14.53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48.81</v>
      </c>
      <c r="AV127" t="n">
        <v>0</v>
      </c>
      <c r="AW127" t="n">
        <v>123.18</v>
      </c>
      <c r="AX127" t="inlineStr">
        <is>
          <t>pending</t>
        </is>
      </c>
      <c r="AY127" t="inlineStr">
        <is>
          <t>NA</t>
        </is>
      </c>
      <c r="AZ127" t="inlineStr">
        <is>
          <t>NA</t>
        </is>
      </c>
      <c r="BA127" t="n">
        <v>123.18</v>
      </c>
      <c r="BB127" t="inlineStr">
        <is>
          <t>f2542e437c4ed8db6eb6165937e7a544464cac0236c33d06e9d8fd81f6f28ec9</t>
        </is>
      </c>
    </row>
    <row r="128">
      <c r="A128" t="inlineStr">
        <is>
          <t>123</t>
        </is>
      </c>
      <c r="B128" t="inlineStr">
        <is>
          <t>7741089679</t>
        </is>
      </c>
      <c r="C128" t="inlineStr">
        <is>
          <t>2026-01-29 17:34:24</t>
        </is>
      </c>
      <c r="D128" t="inlineStr">
        <is>
          <t>5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NA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229</v>
      </c>
      <c r="P128" t="n">
        <v>3.5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11.63</v>
      </c>
      <c r="W128" t="n">
        <v>244.13</v>
      </c>
      <c r="X128" t="n">
        <v>232.5</v>
      </c>
      <c r="Y128" t="n">
        <v>19</v>
      </c>
      <c r="Z128" t="n">
        <v>44.18</v>
      </c>
      <c r="AA128" t="n">
        <v>4.49</v>
      </c>
      <c r="AB128" t="n">
        <v>48.67</v>
      </c>
      <c r="AC128" t="n">
        <v>8.76</v>
      </c>
      <c r="AD128" t="n">
        <v>0</v>
      </c>
      <c r="AE128" t="n">
        <v>232.5</v>
      </c>
      <c r="AF128" t="n">
        <v>0</v>
      </c>
      <c r="AG128" t="n">
        <v>0</v>
      </c>
      <c r="AH128" t="n">
        <v>0.23</v>
      </c>
      <c r="AI128" t="n">
        <v>11.63</v>
      </c>
      <c r="AJ128" t="n">
        <v>0</v>
      </c>
      <c r="AK128" t="n">
        <v>20.62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69.29000000000001</v>
      </c>
      <c r="AV128" t="n">
        <v>0</v>
      </c>
      <c r="AW128" t="n">
        <v>174.84</v>
      </c>
      <c r="AX128" t="inlineStr">
        <is>
          <t>pending</t>
        </is>
      </c>
      <c r="AY128" t="inlineStr">
        <is>
          <t>NA</t>
        </is>
      </c>
      <c r="AZ128" t="inlineStr">
        <is>
          <t>NA</t>
        </is>
      </c>
      <c r="BA128" t="n">
        <v>174.84</v>
      </c>
      <c r="BB128" t="inlineStr">
        <is>
          <t>b3accd37a508e8400a60006f1792f1204733368e34ca75fd4920ff7f90455a45</t>
        </is>
      </c>
    </row>
    <row r="129">
      <c r="A129" t="inlineStr">
        <is>
          <t>124</t>
        </is>
      </c>
      <c r="B129" t="inlineStr">
        <is>
          <t>7726386041</t>
        </is>
      </c>
      <c r="C129" t="inlineStr">
        <is>
          <t>2026-01-29 17:52:24</t>
        </is>
      </c>
      <c r="D129" t="inlineStr">
        <is>
          <t>5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219</v>
      </c>
      <c r="P129" t="n">
        <v>3.5</v>
      </c>
      <c r="Q129" t="n">
        <v>0</v>
      </c>
      <c r="R129" t="n">
        <v>65.7</v>
      </c>
      <c r="S129" t="n">
        <v>0</v>
      </c>
      <c r="T129" t="n">
        <v>0</v>
      </c>
      <c r="U129" t="n">
        <v>0</v>
      </c>
      <c r="V129" t="n">
        <v>7.84</v>
      </c>
      <c r="W129" t="n">
        <v>164.64</v>
      </c>
      <c r="X129" t="n">
        <v>156.8</v>
      </c>
      <c r="Y129" t="n">
        <v>19</v>
      </c>
      <c r="Z129" t="n">
        <v>29.79</v>
      </c>
      <c r="AA129" t="n">
        <v>3.03</v>
      </c>
      <c r="AB129" t="n">
        <v>32.82</v>
      </c>
      <c r="AC129" t="n">
        <v>5.91</v>
      </c>
      <c r="AD129" t="n">
        <v>0</v>
      </c>
      <c r="AE129" t="n">
        <v>156.8</v>
      </c>
      <c r="AF129" t="n">
        <v>0</v>
      </c>
      <c r="AG129" t="n">
        <v>0</v>
      </c>
      <c r="AH129" t="n">
        <v>0.16</v>
      </c>
      <c r="AI129" t="n">
        <v>7.85</v>
      </c>
      <c r="AJ129" t="n">
        <v>-0.01</v>
      </c>
      <c r="AK129" t="n">
        <v>13.92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46.74</v>
      </c>
      <c r="AV129" t="n">
        <v>0</v>
      </c>
      <c r="AW129" t="n">
        <v>117.9</v>
      </c>
      <c r="AX129" t="inlineStr">
        <is>
          <t>pending</t>
        </is>
      </c>
      <c r="AY129" t="inlineStr">
        <is>
          <t>NA</t>
        </is>
      </c>
      <c r="AZ129" t="inlineStr">
        <is>
          <t>NA</t>
        </is>
      </c>
      <c r="BA129" t="n">
        <v>117.9</v>
      </c>
      <c r="BB129" t="inlineStr">
        <is>
          <t>255b7498145afeb6eb30414fd91befba03cc7026052dc9ed95376e17b424e1f3</t>
        </is>
      </c>
    </row>
    <row r="130">
      <c r="A130" t="inlineStr">
        <is>
          <t>125</t>
        </is>
      </c>
      <c r="B130" t="inlineStr">
        <is>
          <t>7733151334</t>
        </is>
      </c>
      <c r="C130" t="inlineStr">
        <is>
          <t>2026-01-29 18:11:02</t>
        </is>
      </c>
      <c r="D130" t="inlineStr">
        <is>
          <t>5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30% off upto ₹75 (2025-06-25 - 2031-01-01)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229</v>
      </c>
      <c r="P130" t="n">
        <v>3.5</v>
      </c>
      <c r="Q130" t="n">
        <v>0</v>
      </c>
      <c r="R130" t="n">
        <v>68.7</v>
      </c>
      <c r="S130" t="n">
        <v>0</v>
      </c>
      <c r="T130" t="n">
        <v>0</v>
      </c>
      <c r="U130" t="n">
        <v>0</v>
      </c>
      <c r="V130" t="n">
        <v>8.19</v>
      </c>
      <c r="W130" t="n">
        <v>171.99</v>
      </c>
      <c r="X130" t="n">
        <v>163.8</v>
      </c>
      <c r="Y130" t="n">
        <v>19</v>
      </c>
      <c r="Z130" t="n">
        <v>31.12</v>
      </c>
      <c r="AA130" t="n">
        <v>3.16</v>
      </c>
      <c r="AB130" t="n">
        <v>34.28</v>
      </c>
      <c r="AC130" t="n">
        <v>6.17</v>
      </c>
      <c r="AD130" t="n">
        <v>0</v>
      </c>
      <c r="AE130" t="n">
        <v>163.8</v>
      </c>
      <c r="AF130" t="n">
        <v>0</v>
      </c>
      <c r="AG130" t="n">
        <v>0</v>
      </c>
      <c r="AH130" t="n">
        <v>0.16</v>
      </c>
      <c r="AI130" t="n">
        <v>8.199999999999999</v>
      </c>
      <c r="AJ130" t="n">
        <v>-0.01</v>
      </c>
      <c r="AK130" t="n">
        <v>14.53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48.81</v>
      </c>
      <c r="AV130" t="n">
        <v>0</v>
      </c>
      <c r="AW130" t="n">
        <v>123.18</v>
      </c>
      <c r="AX130" t="inlineStr">
        <is>
          <t>pending</t>
        </is>
      </c>
      <c r="AY130" t="inlineStr">
        <is>
          <t>NA</t>
        </is>
      </c>
      <c r="AZ130" t="inlineStr">
        <is>
          <t>NA</t>
        </is>
      </c>
      <c r="BA130" t="n">
        <v>123.18</v>
      </c>
      <c r="BB130" t="inlineStr">
        <is>
          <t>e58b616b4f8bc9cb9068637c0c7cb0d4149bd91d2e1fe300b6a5c963f2ee9254</t>
        </is>
      </c>
    </row>
    <row r="131">
      <c r="A131" t="inlineStr">
        <is>
          <t>126</t>
        </is>
      </c>
      <c r="B131" t="inlineStr">
        <is>
          <t>7738908446</t>
        </is>
      </c>
      <c r="C131" t="inlineStr">
        <is>
          <t>2026-01-29 18:35:19</t>
        </is>
      </c>
      <c r="D131" t="inlineStr">
        <is>
          <t>5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30% off upto ₹75 (2025-06-25 - 2031-01-01)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428</v>
      </c>
      <c r="P131" t="n">
        <v>3.5</v>
      </c>
      <c r="Q131" t="n">
        <v>0</v>
      </c>
      <c r="R131" t="n">
        <v>75</v>
      </c>
      <c r="S131" t="n">
        <v>0</v>
      </c>
      <c r="T131" t="n">
        <v>0</v>
      </c>
      <c r="U131" t="n">
        <v>0</v>
      </c>
      <c r="V131" t="n">
        <v>17.83</v>
      </c>
      <c r="W131" t="n">
        <v>374.33</v>
      </c>
      <c r="X131" t="n">
        <v>356.5</v>
      </c>
      <c r="Y131" t="n">
        <v>19</v>
      </c>
      <c r="Z131" t="n">
        <v>67.73999999999999</v>
      </c>
      <c r="AA131" t="n">
        <v>6.89</v>
      </c>
      <c r="AB131" t="n">
        <v>74.63</v>
      </c>
      <c r="AC131" t="n">
        <v>13.43</v>
      </c>
      <c r="AD131" t="n">
        <v>0</v>
      </c>
      <c r="AE131" t="n">
        <v>356.5</v>
      </c>
      <c r="AF131" t="n">
        <v>0</v>
      </c>
      <c r="AG131" t="n">
        <v>0</v>
      </c>
      <c r="AH131" t="n">
        <v>0.36</v>
      </c>
      <c r="AI131" t="n">
        <v>17.83</v>
      </c>
      <c r="AJ131" t="n">
        <v>0</v>
      </c>
      <c r="AK131" t="n">
        <v>31.62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106.25</v>
      </c>
      <c r="AV131" t="n">
        <v>0</v>
      </c>
      <c r="AW131" t="n">
        <v>268.08</v>
      </c>
      <c r="AX131" t="inlineStr">
        <is>
          <t>pending</t>
        </is>
      </c>
      <c r="AY131" t="inlineStr">
        <is>
          <t>NA</t>
        </is>
      </c>
      <c r="AZ131" t="inlineStr">
        <is>
          <t>NA</t>
        </is>
      </c>
      <c r="BA131" t="n">
        <v>268.08</v>
      </c>
      <c r="BB131" t="inlineStr">
        <is>
          <t>da95d0914c095c1f6225950eba7ba56e408f7fde6f2a0080219fa8baa710539b</t>
        </is>
      </c>
    </row>
    <row r="132">
      <c r="A132" t="inlineStr">
        <is>
          <t>127</t>
        </is>
      </c>
      <c r="B132" t="inlineStr">
        <is>
          <t>7730483612</t>
        </is>
      </c>
      <c r="C132" t="inlineStr">
        <is>
          <t>2026-01-29 18:39:46</t>
        </is>
      </c>
      <c r="D132" t="inlineStr">
        <is>
          <t>5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268</v>
      </c>
      <c r="P132" t="n">
        <v>3.5</v>
      </c>
      <c r="Q132" t="n">
        <v>0</v>
      </c>
      <c r="R132" t="n">
        <v>75</v>
      </c>
      <c r="S132" t="n">
        <v>0</v>
      </c>
      <c r="T132" t="n">
        <v>0</v>
      </c>
      <c r="U132" t="n">
        <v>0</v>
      </c>
      <c r="V132" t="n">
        <v>9.83</v>
      </c>
      <c r="W132" t="n">
        <v>206.33</v>
      </c>
      <c r="X132" t="n">
        <v>196.5</v>
      </c>
      <c r="Y132" t="n">
        <v>19</v>
      </c>
      <c r="Z132" t="n">
        <v>37.34</v>
      </c>
      <c r="AA132" t="n">
        <v>3.8</v>
      </c>
      <c r="AB132" t="n">
        <v>41.14</v>
      </c>
      <c r="AC132" t="n">
        <v>7.4</v>
      </c>
      <c r="AD132" t="n">
        <v>0</v>
      </c>
      <c r="AE132" t="n">
        <v>196.5</v>
      </c>
      <c r="AF132" t="n">
        <v>0</v>
      </c>
      <c r="AG132" t="n">
        <v>0</v>
      </c>
      <c r="AH132" t="n">
        <v>0.2</v>
      </c>
      <c r="AI132" t="n">
        <v>9.83</v>
      </c>
      <c r="AJ132" t="n">
        <v>0</v>
      </c>
      <c r="AK132" t="n">
        <v>17.43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58.57</v>
      </c>
      <c r="AV132" t="n">
        <v>0</v>
      </c>
      <c r="AW132" t="n">
        <v>147.76</v>
      </c>
      <c r="AX132" t="inlineStr">
        <is>
          <t>pending</t>
        </is>
      </c>
      <c r="AY132" t="inlineStr">
        <is>
          <t>NA</t>
        </is>
      </c>
      <c r="AZ132" t="inlineStr">
        <is>
          <t>NA</t>
        </is>
      </c>
      <c r="BA132" t="n">
        <v>147.76</v>
      </c>
      <c r="BB132" t="inlineStr">
        <is>
          <t>84f90c5b483ee92566155b02ab3f7f28025e732d705eacedb4b5992821b711ff</t>
        </is>
      </c>
    </row>
    <row r="133">
      <c r="A133" t="inlineStr">
        <is>
          <t>128</t>
        </is>
      </c>
      <c r="B133" t="inlineStr">
        <is>
          <t>7739413438</t>
        </is>
      </c>
      <c r="C133" t="inlineStr">
        <is>
          <t>2026-01-29 18:40:40</t>
        </is>
      </c>
      <c r="D133" t="inlineStr">
        <is>
          <t>5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219</v>
      </c>
      <c r="P133" t="n">
        <v>3.5</v>
      </c>
      <c r="Q133" t="n">
        <v>0</v>
      </c>
      <c r="R133" t="n">
        <v>65.7</v>
      </c>
      <c r="S133" t="n">
        <v>0</v>
      </c>
      <c r="T133" t="n">
        <v>0</v>
      </c>
      <c r="U133" t="n">
        <v>0</v>
      </c>
      <c r="V133" t="n">
        <v>7.84</v>
      </c>
      <c r="W133" t="n">
        <v>164.64</v>
      </c>
      <c r="X133" t="n">
        <v>156.8</v>
      </c>
      <c r="Y133" t="n">
        <v>19</v>
      </c>
      <c r="Z133" t="n">
        <v>29.79</v>
      </c>
      <c r="AA133" t="n">
        <v>3.03</v>
      </c>
      <c r="AB133" t="n">
        <v>32.82</v>
      </c>
      <c r="AC133" t="n">
        <v>5.91</v>
      </c>
      <c r="AD133" t="n">
        <v>0</v>
      </c>
      <c r="AE133" t="n">
        <v>156.8</v>
      </c>
      <c r="AF133" t="n">
        <v>0</v>
      </c>
      <c r="AG133" t="n">
        <v>0</v>
      </c>
      <c r="AH133" t="n">
        <v>0.16</v>
      </c>
      <c r="AI133" t="n">
        <v>7.85</v>
      </c>
      <c r="AJ133" t="n">
        <v>-0.01</v>
      </c>
      <c r="AK133" t="n">
        <v>13.92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46.74</v>
      </c>
      <c r="AV133" t="n">
        <v>0</v>
      </c>
      <c r="AW133" t="n">
        <v>117.9</v>
      </c>
      <c r="AX133" t="inlineStr">
        <is>
          <t>pending</t>
        </is>
      </c>
      <c r="AY133" t="inlineStr">
        <is>
          <t>NA</t>
        </is>
      </c>
      <c r="AZ133" t="inlineStr">
        <is>
          <t>NA</t>
        </is>
      </c>
      <c r="BA133" t="n">
        <v>117.9</v>
      </c>
      <c r="BB133" t="inlineStr">
        <is>
          <t>7f51d14f63eab287d1a485239afbc492c5460b44948fee5eca9704a9a21a9374</t>
        </is>
      </c>
    </row>
    <row r="134">
      <c r="A134" t="inlineStr">
        <is>
          <t>129</t>
        </is>
      </c>
      <c r="B134" t="inlineStr">
        <is>
          <t>7730551733</t>
        </is>
      </c>
      <c r="C134" t="inlineStr">
        <is>
          <t>2026-01-29 18:42:48</t>
        </is>
      </c>
      <c r="D134" t="inlineStr">
        <is>
          <t>5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30% off upto ₹75 (2025-06-25 - 2031-01-01)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219</v>
      </c>
      <c r="P134" t="n">
        <v>3.5</v>
      </c>
      <c r="Q134" t="n">
        <v>0</v>
      </c>
      <c r="R134" t="n">
        <v>65.7</v>
      </c>
      <c r="S134" t="n">
        <v>0</v>
      </c>
      <c r="T134" t="n">
        <v>0</v>
      </c>
      <c r="U134" t="n">
        <v>0</v>
      </c>
      <c r="V134" t="n">
        <v>7.84</v>
      </c>
      <c r="W134" t="n">
        <v>164.64</v>
      </c>
      <c r="X134" t="n">
        <v>156.8</v>
      </c>
      <c r="Y134" t="n">
        <v>19</v>
      </c>
      <c r="Z134" t="n">
        <v>29.79</v>
      </c>
      <c r="AA134" t="n">
        <v>3.03</v>
      </c>
      <c r="AB134" t="n">
        <v>32.82</v>
      </c>
      <c r="AC134" t="n">
        <v>5.91</v>
      </c>
      <c r="AD134" t="n">
        <v>0</v>
      </c>
      <c r="AE134" t="n">
        <v>156.8</v>
      </c>
      <c r="AF134" t="n">
        <v>0</v>
      </c>
      <c r="AG134" t="n">
        <v>0</v>
      </c>
      <c r="AH134" t="n">
        <v>0.16</v>
      </c>
      <c r="AI134" t="n">
        <v>7.85</v>
      </c>
      <c r="AJ134" t="n">
        <v>-0.01</v>
      </c>
      <c r="AK134" t="n">
        <v>13.92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46.74</v>
      </c>
      <c r="AV134" t="n">
        <v>0</v>
      </c>
      <c r="AW134" t="n">
        <v>117.9</v>
      </c>
      <c r="AX134" t="inlineStr">
        <is>
          <t>pending</t>
        </is>
      </c>
      <c r="AY134" t="inlineStr">
        <is>
          <t>NA</t>
        </is>
      </c>
      <c r="AZ134" t="inlineStr">
        <is>
          <t>NA</t>
        </is>
      </c>
      <c r="BA134" t="n">
        <v>117.9</v>
      </c>
      <c r="BB134" t="inlineStr">
        <is>
          <t>91cbe29850514d755d800db643e3553bbd17bd6eadb6d5d68f4fd6c3a17dcbb8</t>
        </is>
      </c>
    </row>
    <row r="135">
      <c r="A135" t="inlineStr">
        <is>
          <t>130</t>
        </is>
      </c>
      <c r="B135" t="inlineStr">
        <is>
          <t>7736126922</t>
        </is>
      </c>
      <c r="C135" t="inlineStr">
        <is>
          <t>2026-01-29 19:32:12</t>
        </is>
      </c>
      <c r="D135" t="inlineStr">
        <is>
          <t>5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30% off upto ₹75 (2025-06-25 - 2031-01-01)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219</v>
      </c>
      <c r="P135" t="n">
        <v>3.5</v>
      </c>
      <c r="Q135" t="n">
        <v>0</v>
      </c>
      <c r="R135" t="n">
        <v>65.7</v>
      </c>
      <c r="S135" t="n">
        <v>0</v>
      </c>
      <c r="T135" t="n">
        <v>0</v>
      </c>
      <c r="U135" t="n">
        <v>0</v>
      </c>
      <c r="V135" t="n">
        <v>7.84</v>
      </c>
      <c r="W135" t="n">
        <v>164.64</v>
      </c>
      <c r="X135" t="n">
        <v>156.8</v>
      </c>
      <c r="Y135" t="n">
        <v>19</v>
      </c>
      <c r="Z135" t="n">
        <v>29.79</v>
      </c>
      <c r="AA135" t="n">
        <v>3.03</v>
      </c>
      <c r="AB135" t="n">
        <v>32.82</v>
      </c>
      <c r="AC135" t="n">
        <v>5.91</v>
      </c>
      <c r="AD135" t="n">
        <v>0</v>
      </c>
      <c r="AE135" t="n">
        <v>156.8</v>
      </c>
      <c r="AF135" t="n">
        <v>0</v>
      </c>
      <c r="AG135" t="n">
        <v>0</v>
      </c>
      <c r="AH135" t="n">
        <v>0.16</v>
      </c>
      <c r="AI135" t="n">
        <v>7.85</v>
      </c>
      <c r="AJ135" t="n">
        <v>-0.01</v>
      </c>
      <c r="AK135" t="n">
        <v>13.92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46.74</v>
      </c>
      <c r="AV135" t="n">
        <v>0</v>
      </c>
      <c r="AW135" t="n">
        <v>117.9</v>
      </c>
      <c r="AX135" t="inlineStr">
        <is>
          <t>pending</t>
        </is>
      </c>
      <c r="AY135" t="inlineStr">
        <is>
          <t>NA</t>
        </is>
      </c>
      <c r="AZ135" t="inlineStr">
        <is>
          <t>NA</t>
        </is>
      </c>
      <c r="BA135" t="n">
        <v>117.9</v>
      </c>
      <c r="BB135" t="inlineStr">
        <is>
          <t>774c3d7e59b47fe34091e7caaa355f0ee6885d61180b7a56122a577729510f0a</t>
        </is>
      </c>
    </row>
    <row r="136">
      <c r="A136" t="inlineStr">
        <is>
          <t>131</t>
        </is>
      </c>
      <c r="B136" t="inlineStr">
        <is>
          <t>7736164093</t>
        </is>
      </c>
      <c r="C136" t="inlineStr">
        <is>
          <t>2026-01-29 20:04:03</t>
        </is>
      </c>
      <c r="D136" t="inlineStr">
        <is>
          <t>5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NA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229</v>
      </c>
      <c r="P136" t="n">
        <v>3.5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11.63</v>
      </c>
      <c r="W136" t="n">
        <v>244.13</v>
      </c>
      <c r="X136" t="n">
        <v>232.5</v>
      </c>
      <c r="Y136" t="n">
        <v>19</v>
      </c>
      <c r="Z136" t="n">
        <v>44.18</v>
      </c>
      <c r="AA136" t="n">
        <v>4.49</v>
      </c>
      <c r="AB136" t="n">
        <v>48.67</v>
      </c>
      <c r="AC136" t="n">
        <v>8.76</v>
      </c>
      <c r="AD136" t="n">
        <v>0</v>
      </c>
      <c r="AE136" t="n">
        <v>232.5</v>
      </c>
      <c r="AF136" t="n">
        <v>0</v>
      </c>
      <c r="AG136" t="n">
        <v>0</v>
      </c>
      <c r="AH136" t="n">
        <v>0.23</v>
      </c>
      <c r="AI136" t="n">
        <v>11.63</v>
      </c>
      <c r="AJ136" t="n">
        <v>0</v>
      </c>
      <c r="AK136" t="n">
        <v>20.62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69.29000000000001</v>
      </c>
      <c r="AV136" t="n">
        <v>0</v>
      </c>
      <c r="AW136" t="n">
        <v>174.84</v>
      </c>
      <c r="AX136" t="inlineStr">
        <is>
          <t>pending</t>
        </is>
      </c>
      <c r="AY136" t="inlineStr">
        <is>
          <t>NA</t>
        </is>
      </c>
      <c r="AZ136" t="inlineStr">
        <is>
          <t>NA</t>
        </is>
      </c>
      <c r="BA136" t="n">
        <v>174.84</v>
      </c>
      <c r="BB136" t="inlineStr">
        <is>
          <t>6e66c1a13fe5f9f2652e9b9f94ab188ef5f7bae5d55b587755e02bbb42d328e4</t>
        </is>
      </c>
    </row>
    <row r="137">
      <c r="A137" t="inlineStr">
        <is>
          <t>132</t>
        </is>
      </c>
      <c r="B137" t="inlineStr">
        <is>
          <t>7740483640</t>
        </is>
      </c>
      <c r="C137" t="inlineStr">
        <is>
          <t>2026-01-29 20:44:46</t>
        </is>
      </c>
      <c r="D137" t="inlineStr">
        <is>
          <t>5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229</v>
      </c>
      <c r="P137" t="n">
        <v>3.5</v>
      </c>
      <c r="Q137" t="n">
        <v>0</v>
      </c>
      <c r="R137" t="n">
        <v>68.7</v>
      </c>
      <c r="S137" t="n">
        <v>0</v>
      </c>
      <c r="T137" t="n">
        <v>0</v>
      </c>
      <c r="U137" t="n">
        <v>0</v>
      </c>
      <c r="V137" t="n">
        <v>8.19</v>
      </c>
      <c r="W137" t="n">
        <v>171.99</v>
      </c>
      <c r="X137" t="n">
        <v>163.8</v>
      </c>
      <c r="Y137" t="n">
        <v>19</v>
      </c>
      <c r="Z137" t="n">
        <v>31.12</v>
      </c>
      <c r="AA137" t="n">
        <v>3.16</v>
      </c>
      <c r="AB137" t="n">
        <v>34.28</v>
      </c>
      <c r="AC137" t="n">
        <v>6.17</v>
      </c>
      <c r="AD137" t="n">
        <v>0</v>
      </c>
      <c r="AE137" t="n">
        <v>163.8</v>
      </c>
      <c r="AF137" t="n">
        <v>0</v>
      </c>
      <c r="AG137" t="n">
        <v>0</v>
      </c>
      <c r="AH137" t="n">
        <v>0.16</v>
      </c>
      <c r="AI137" t="n">
        <v>8.199999999999999</v>
      </c>
      <c r="AJ137" t="n">
        <v>-0.01</v>
      </c>
      <c r="AK137" t="n">
        <v>14.53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48.81</v>
      </c>
      <c r="AV137" t="n">
        <v>0</v>
      </c>
      <c r="AW137" t="n">
        <v>123.18</v>
      </c>
      <c r="AX137" t="inlineStr">
        <is>
          <t>pending</t>
        </is>
      </c>
      <c r="AY137" t="inlineStr">
        <is>
          <t>NA</t>
        </is>
      </c>
      <c r="AZ137" t="inlineStr">
        <is>
          <t>NA</t>
        </is>
      </c>
      <c r="BA137" t="n">
        <v>123.18</v>
      </c>
      <c r="BB137" t="inlineStr">
        <is>
          <t>273af0b5f37ff3a89dcf3573ad93a73f826d3bfd3ae8251688ceb6128041aa94</t>
        </is>
      </c>
    </row>
    <row r="138">
      <c r="A138" t="inlineStr">
        <is>
          <t>133</t>
        </is>
      </c>
      <c r="B138" t="inlineStr">
        <is>
          <t>7742391679</t>
        </is>
      </c>
      <c r="C138" t="inlineStr">
        <is>
          <t>2026-01-29 21:00:15</t>
        </is>
      </c>
      <c r="D138" t="inlineStr">
        <is>
          <t>5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NA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219</v>
      </c>
      <c r="P138" t="n">
        <v>3.5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11.13</v>
      </c>
      <c r="W138" t="n">
        <v>233.63</v>
      </c>
      <c r="X138" t="n">
        <v>222.5</v>
      </c>
      <c r="Y138" t="n">
        <v>19</v>
      </c>
      <c r="Z138" t="n">
        <v>42.28</v>
      </c>
      <c r="AA138" t="n">
        <v>4.3</v>
      </c>
      <c r="AB138" t="n">
        <v>46.58</v>
      </c>
      <c r="AC138" t="n">
        <v>8.380000000000001</v>
      </c>
      <c r="AD138" t="n">
        <v>0</v>
      </c>
      <c r="AE138" t="n">
        <v>222.5</v>
      </c>
      <c r="AF138" t="n">
        <v>0</v>
      </c>
      <c r="AG138" t="n">
        <v>0</v>
      </c>
      <c r="AH138" t="n">
        <v>0.22</v>
      </c>
      <c r="AI138" t="n">
        <v>11.13</v>
      </c>
      <c r="AJ138" t="n">
        <v>0</v>
      </c>
      <c r="AK138" t="n">
        <v>19.73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66.31</v>
      </c>
      <c r="AV138" t="n">
        <v>0</v>
      </c>
      <c r="AW138" t="n">
        <v>167.32</v>
      </c>
      <c r="AX138" t="inlineStr">
        <is>
          <t>pending</t>
        </is>
      </c>
      <c r="AY138" t="inlineStr">
        <is>
          <t>NA</t>
        </is>
      </c>
      <c r="AZ138" t="inlineStr">
        <is>
          <t>NA</t>
        </is>
      </c>
      <c r="BA138" t="n">
        <v>167.32</v>
      </c>
      <c r="BB138" t="inlineStr">
        <is>
          <t>a50d5692b067f923d9c156dfcc225992eb50e48fe5cd1d2d49201fd8297adf0e</t>
        </is>
      </c>
    </row>
    <row r="139">
      <c r="A139" t="inlineStr">
        <is>
          <t>134</t>
        </is>
      </c>
      <c r="B139" t="inlineStr">
        <is>
          <t>7740299001</t>
        </is>
      </c>
      <c r="C139" t="inlineStr">
        <is>
          <t>2026-01-29 21:09:13</t>
        </is>
      </c>
      <c r="D139" t="inlineStr">
        <is>
          <t>5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229</v>
      </c>
      <c r="P139" t="n">
        <v>3.5</v>
      </c>
      <c r="Q139" t="n">
        <v>0</v>
      </c>
      <c r="R139" t="n">
        <v>68.7</v>
      </c>
      <c r="S139" t="n">
        <v>0</v>
      </c>
      <c r="T139" t="n">
        <v>0</v>
      </c>
      <c r="U139" t="n">
        <v>0</v>
      </c>
      <c r="V139" t="n">
        <v>8.19</v>
      </c>
      <c r="W139" t="n">
        <v>171.99</v>
      </c>
      <c r="X139" t="n">
        <v>163.8</v>
      </c>
      <c r="Y139" t="n">
        <v>19</v>
      </c>
      <c r="Z139" t="n">
        <v>31.12</v>
      </c>
      <c r="AA139" t="n">
        <v>3.16</v>
      </c>
      <c r="AB139" t="n">
        <v>34.28</v>
      </c>
      <c r="AC139" t="n">
        <v>6.17</v>
      </c>
      <c r="AD139" t="n">
        <v>0</v>
      </c>
      <c r="AE139" t="n">
        <v>163.8</v>
      </c>
      <c r="AF139" t="n">
        <v>0</v>
      </c>
      <c r="AG139" t="n">
        <v>0</v>
      </c>
      <c r="AH139" t="n">
        <v>0.16</v>
      </c>
      <c r="AI139" t="n">
        <v>8.199999999999999</v>
      </c>
      <c r="AJ139" t="n">
        <v>-0.01</v>
      </c>
      <c r="AK139" t="n">
        <v>14.53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48.81</v>
      </c>
      <c r="AV139" t="n">
        <v>0</v>
      </c>
      <c r="AW139" t="n">
        <v>123.18</v>
      </c>
      <c r="AX139" t="inlineStr">
        <is>
          <t>pending</t>
        </is>
      </c>
      <c r="AY139" t="inlineStr">
        <is>
          <t>NA</t>
        </is>
      </c>
      <c r="AZ139" t="inlineStr">
        <is>
          <t>NA</t>
        </is>
      </c>
      <c r="BA139" t="n">
        <v>123.18</v>
      </c>
      <c r="BB139" t="inlineStr">
        <is>
          <t>06c85cf986fbdcd2db13f06b7e4dcd5276bd9b4772d7829ec5c9a48a5db0fe0e</t>
        </is>
      </c>
    </row>
    <row r="140">
      <c r="A140" t="inlineStr">
        <is>
          <t>135</t>
        </is>
      </c>
      <c r="B140" t="inlineStr">
        <is>
          <t>7741845208</t>
        </is>
      </c>
      <c r="C140" t="inlineStr">
        <is>
          <t>2026-01-29 21:26:47</t>
        </is>
      </c>
      <c r="D140" t="inlineStr">
        <is>
          <t>5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30% off upto ₹75 (2025-06-25 - 2031-01-01)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468</v>
      </c>
      <c r="P140" t="n">
        <v>3.5</v>
      </c>
      <c r="Q140" t="n">
        <v>0</v>
      </c>
      <c r="R140" t="n">
        <v>75</v>
      </c>
      <c r="S140" t="n">
        <v>0</v>
      </c>
      <c r="T140" t="n">
        <v>0</v>
      </c>
      <c r="U140" t="n">
        <v>0</v>
      </c>
      <c r="V140" t="n">
        <v>19.83</v>
      </c>
      <c r="W140" t="n">
        <v>416.33</v>
      </c>
      <c r="X140" t="n">
        <v>396.5</v>
      </c>
      <c r="Y140" t="n">
        <v>19</v>
      </c>
      <c r="Z140" t="n">
        <v>75.34</v>
      </c>
      <c r="AA140" t="n">
        <v>7.66</v>
      </c>
      <c r="AB140" t="n">
        <v>83</v>
      </c>
      <c r="AC140" t="n">
        <v>14.94</v>
      </c>
      <c r="AD140" t="n">
        <v>0</v>
      </c>
      <c r="AE140" t="n">
        <v>396.5</v>
      </c>
      <c r="AF140" t="n">
        <v>0</v>
      </c>
      <c r="AG140" t="n">
        <v>0</v>
      </c>
      <c r="AH140" t="n">
        <v>0.4</v>
      </c>
      <c r="AI140" t="n">
        <v>19.83</v>
      </c>
      <c r="AJ140" t="n">
        <v>0</v>
      </c>
      <c r="AK140" t="n">
        <v>35.17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118.17</v>
      </c>
      <c r="AV140" t="n">
        <v>0</v>
      </c>
      <c r="AW140" t="n">
        <v>298.16</v>
      </c>
      <c r="AX140" t="inlineStr">
        <is>
          <t>pending</t>
        </is>
      </c>
      <c r="AY140" t="inlineStr">
        <is>
          <t>NA</t>
        </is>
      </c>
      <c r="AZ140" t="inlineStr">
        <is>
          <t>NA</t>
        </is>
      </c>
      <c r="BA140" t="n">
        <v>298.16</v>
      </c>
      <c r="BB140" t="inlineStr">
        <is>
          <t>f829c47577a76466aaa6623d5d59783e6b6721dbb66744d4b0d9945821b8a161</t>
        </is>
      </c>
    </row>
    <row r="141">
      <c r="A141" t="inlineStr">
        <is>
          <t>136</t>
        </is>
      </c>
      <c r="B141" t="inlineStr">
        <is>
          <t>7740167206</t>
        </is>
      </c>
      <c r="C141" t="inlineStr">
        <is>
          <t>2026-01-29 21:59:11</t>
        </is>
      </c>
      <c r="D141" t="inlineStr">
        <is>
          <t>5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NA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219</v>
      </c>
      <c r="P141" t="n">
        <v>3.5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11.13</v>
      </c>
      <c r="W141" t="n">
        <v>233.63</v>
      </c>
      <c r="X141" t="n">
        <v>222.5</v>
      </c>
      <c r="Y141" t="n">
        <v>19</v>
      </c>
      <c r="Z141" t="n">
        <v>42.28</v>
      </c>
      <c r="AA141" t="n">
        <v>4.3</v>
      </c>
      <c r="AB141" t="n">
        <v>46.58</v>
      </c>
      <c r="AC141" t="n">
        <v>8.380000000000001</v>
      </c>
      <c r="AD141" t="n">
        <v>0</v>
      </c>
      <c r="AE141" t="n">
        <v>222.5</v>
      </c>
      <c r="AF141" t="n">
        <v>0</v>
      </c>
      <c r="AG141" t="n">
        <v>0</v>
      </c>
      <c r="AH141" t="n">
        <v>0.22</v>
      </c>
      <c r="AI141" t="n">
        <v>11.13</v>
      </c>
      <c r="AJ141" t="n">
        <v>0</v>
      </c>
      <c r="AK141" t="n">
        <v>19.73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66.31</v>
      </c>
      <c r="AV141" t="n">
        <v>0</v>
      </c>
      <c r="AW141" t="n">
        <v>167.32</v>
      </c>
      <c r="AX141" t="inlineStr">
        <is>
          <t>pending</t>
        </is>
      </c>
      <c r="AY141" t="inlineStr">
        <is>
          <t>NA</t>
        </is>
      </c>
      <c r="AZ141" t="inlineStr">
        <is>
          <t>NA</t>
        </is>
      </c>
      <c r="BA141" t="n">
        <v>167.32</v>
      </c>
      <c r="BB141" t="inlineStr">
        <is>
          <t>fa335105d61b9f698313c49ef3a51d7aeee0651cdb38fdaadf73a7f5fab8bfa8</t>
        </is>
      </c>
    </row>
    <row r="142">
      <c r="A142" t="inlineStr">
        <is>
          <t>137</t>
        </is>
      </c>
      <c r="B142" t="inlineStr">
        <is>
          <t>7717306090</t>
        </is>
      </c>
      <c r="C142" t="inlineStr">
        <is>
          <t>2026-01-29 22:17:39</t>
        </is>
      </c>
      <c r="D142" t="inlineStr">
        <is>
          <t>5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NA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355</v>
      </c>
      <c r="P142" t="n">
        <v>3.5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17.93</v>
      </c>
      <c r="W142" t="n">
        <v>376.43</v>
      </c>
      <c r="X142" t="n">
        <v>358.5</v>
      </c>
      <c r="Y142" t="n">
        <v>19</v>
      </c>
      <c r="Z142" t="n">
        <v>68.12</v>
      </c>
      <c r="AA142" t="n">
        <v>6.93</v>
      </c>
      <c r="AB142" t="n">
        <v>75.05</v>
      </c>
      <c r="AC142" t="n">
        <v>13.51</v>
      </c>
      <c r="AD142" t="n">
        <v>0</v>
      </c>
      <c r="AE142" t="n">
        <v>358.5</v>
      </c>
      <c r="AF142" t="n">
        <v>0</v>
      </c>
      <c r="AG142" t="n">
        <v>0</v>
      </c>
      <c r="AH142" t="n">
        <v>0.36</v>
      </c>
      <c r="AI142" t="n">
        <v>17.93</v>
      </c>
      <c r="AJ142" t="n">
        <v>0</v>
      </c>
      <c r="AK142" t="n">
        <v>31.8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106.85</v>
      </c>
      <c r="AV142" t="n">
        <v>0</v>
      </c>
      <c r="AW142" t="n">
        <v>269.58</v>
      </c>
      <c r="AX142" t="inlineStr">
        <is>
          <t>pending</t>
        </is>
      </c>
      <c r="AY142" t="inlineStr">
        <is>
          <t>NA</t>
        </is>
      </c>
      <c r="AZ142" t="inlineStr">
        <is>
          <t>NA</t>
        </is>
      </c>
      <c r="BA142" t="n">
        <v>269.58</v>
      </c>
      <c r="BB142" t="inlineStr">
        <is>
          <t>9b2dee6eafa0733d19ec67d923570808086b9ff34c79c2faecd1d93a8739f514</t>
        </is>
      </c>
    </row>
    <row r="143">
      <c r="A143" t="inlineStr">
        <is>
          <t>138</t>
        </is>
      </c>
      <c r="B143" t="inlineStr">
        <is>
          <t>7741468078</t>
        </is>
      </c>
      <c r="C143" t="inlineStr">
        <is>
          <t>2026-01-29 22:24:36</t>
        </is>
      </c>
      <c r="D143" t="inlineStr">
        <is>
          <t>5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NA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229</v>
      </c>
      <c r="P143" t="n">
        <v>3.5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11.63</v>
      </c>
      <c r="W143" t="n">
        <v>244.13</v>
      </c>
      <c r="X143" t="n">
        <v>232.5</v>
      </c>
      <c r="Y143" t="n">
        <v>19</v>
      </c>
      <c r="Z143" t="n">
        <v>44.18</v>
      </c>
      <c r="AA143" t="n">
        <v>4.49</v>
      </c>
      <c r="AB143" t="n">
        <v>48.67</v>
      </c>
      <c r="AC143" t="n">
        <v>8.76</v>
      </c>
      <c r="AD143" t="n">
        <v>0</v>
      </c>
      <c r="AE143" t="n">
        <v>232.5</v>
      </c>
      <c r="AF143" t="n">
        <v>0</v>
      </c>
      <c r="AG143" t="n">
        <v>0</v>
      </c>
      <c r="AH143" t="n">
        <v>0.23</v>
      </c>
      <c r="AI143" t="n">
        <v>11.63</v>
      </c>
      <c r="AJ143" t="n">
        <v>0</v>
      </c>
      <c r="AK143" t="n">
        <v>20.62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69.29000000000001</v>
      </c>
      <c r="AV143" t="n">
        <v>0</v>
      </c>
      <c r="AW143" t="n">
        <v>174.84</v>
      </c>
      <c r="AX143" t="inlineStr">
        <is>
          <t>pending</t>
        </is>
      </c>
      <c r="AY143" t="inlineStr">
        <is>
          <t>NA</t>
        </is>
      </c>
      <c r="AZ143" t="inlineStr">
        <is>
          <t>NA</t>
        </is>
      </c>
      <c r="BA143" t="n">
        <v>174.84</v>
      </c>
      <c r="BB143" t="inlineStr">
        <is>
          <t>68069d00b92fe288709bbf941e1f54067b2c13f839f26f8eab3172b6c182decc</t>
        </is>
      </c>
    </row>
    <row r="144">
      <c r="A144" t="inlineStr">
        <is>
          <t>139</t>
        </is>
      </c>
      <c r="B144" t="inlineStr">
        <is>
          <t>7735185160</t>
        </is>
      </c>
      <c r="C144" t="inlineStr">
        <is>
          <t>2026-01-29 22:46:35</t>
        </is>
      </c>
      <c r="D144" t="inlineStr">
        <is>
          <t>5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458</v>
      </c>
      <c r="P144" t="n">
        <v>3.5</v>
      </c>
      <c r="Q144" t="n">
        <v>0</v>
      </c>
      <c r="R144" t="n">
        <v>75</v>
      </c>
      <c r="S144" t="n">
        <v>0</v>
      </c>
      <c r="T144" t="n">
        <v>0</v>
      </c>
      <c r="U144" t="n">
        <v>0</v>
      </c>
      <c r="V144" t="n">
        <v>19.33</v>
      </c>
      <c r="W144" t="n">
        <v>405.83</v>
      </c>
      <c r="X144" t="n">
        <v>386.5</v>
      </c>
      <c r="Y144" t="n">
        <v>19</v>
      </c>
      <c r="Z144" t="n">
        <v>73.44</v>
      </c>
      <c r="AA144" t="n">
        <v>7.47</v>
      </c>
      <c r="AB144" t="n">
        <v>80.91</v>
      </c>
      <c r="AC144" t="n">
        <v>14.56</v>
      </c>
      <c r="AD144" t="n">
        <v>0</v>
      </c>
      <c r="AE144" t="n">
        <v>386.5</v>
      </c>
      <c r="AF144" t="n">
        <v>0</v>
      </c>
      <c r="AG144" t="n">
        <v>0</v>
      </c>
      <c r="AH144" t="n">
        <v>0.39</v>
      </c>
      <c r="AI144" t="n">
        <v>19.33</v>
      </c>
      <c r="AJ144" t="n">
        <v>0</v>
      </c>
      <c r="AK144" t="n">
        <v>34.28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115.19</v>
      </c>
      <c r="AV144" t="n">
        <v>0</v>
      </c>
      <c r="AW144" t="n">
        <v>290.64</v>
      </c>
      <c r="AX144" t="inlineStr">
        <is>
          <t>pending</t>
        </is>
      </c>
      <c r="AY144" t="inlineStr">
        <is>
          <t>NA</t>
        </is>
      </c>
      <c r="AZ144" t="inlineStr">
        <is>
          <t>NA</t>
        </is>
      </c>
      <c r="BA144" t="n">
        <v>290.64</v>
      </c>
      <c r="BB144" t="inlineStr">
        <is>
          <t>a2f2dcc87068c4c7440f6f760469d7862582d3c2033b41c6753da0b8d69806bb</t>
        </is>
      </c>
    </row>
    <row r="145">
      <c r="A145" t="inlineStr">
        <is>
          <t>140</t>
        </is>
      </c>
      <c r="B145" t="inlineStr">
        <is>
          <t>7739247296</t>
        </is>
      </c>
      <c r="C145" t="inlineStr">
        <is>
          <t>2026-01-29 22:46:53</t>
        </is>
      </c>
      <c r="D145" t="inlineStr">
        <is>
          <t>5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30% off upto ₹75 (2025-06-25 - 2031-01-01)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68.7</v>
      </c>
      <c r="S145" t="n">
        <v>0</v>
      </c>
      <c r="T145" t="n">
        <v>0</v>
      </c>
      <c r="U145" t="n">
        <v>0</v>
      </c>
      <c r="V145" t="n">
        <v>8.19</v>
      </c>
      <c r="W145" t="n">
        <v>171.99</v>
      </c>
      <c r="X145" t="n">
        <v>163.8</v>
      </c>
      <c r="Y145" t="n">
        <v>19</v>
      </c>
      <c r="Z145" t="n">
        <v>31.12</v>
      </c>
      <c r="AA145" t="n">
        <v>3.16</v>
      </c>
      <c r="AB145" t="n">
        <v>34.28</v>
      </c>
      <c r="AC145" t="n">
        <v>6.17</v>
      </c>
      <c r="AD145" t="n">
        <v>0</v>
      </c>
      <c r="AE145" t="n">
        <v>163.8</v>
      </c>
      <c r="AF145" t="n">
        <v>0</v>
      </c>
      <c r="AG145" t="n">
        <v>0</v>
      </c>
      <c r="AH145" t="n">
        <v>0.16</v>
      </c>
      <c r="AI145" t="n">
        <v>8.199999999999999</v>
      </c>
      <c r="AJ145" t="n">
        <v>-0.01</v>
      </c>
      <c r="AK145" t="n">
        <v>14.53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48.81</v>
      </c>
      <c r="AV145" t="n">
        <v>0</v>
      </c>
      <c r="AW145" t="n">
        <v>123.18</v>
      </c>
      <c r="AX145" t="inlineStr">
        <is>
          <t>pending</t>
        </is>
      </c>
      <c r="AY145" t="inlineStr">
        <is>
          <t>NA</t>
        </is>
      </c>
      <c r="AZ145" t="inlineStr">
        <is>
          <t>NA</t>
        </is>
      </c>
      <c r="BA145" t="n">
        <v>123.18</v>
      </c>
      <c r="BB145" t="inlineStr">
        <is>
          <t>b0a8c170dde94b13f4e01f754a23672a867b0c427e29aef151d8f7ba0614b836</t>
        </is>
      </c>
    </row>
    <row r="146">
      <c r="A146" t="inlineStr">
        <is>
          <t>141</t>
        </is>
      </c>
      <c r="B146" t="inlineStr">
        <is>
          <t>7735757955</t>
        </is>
      </c>
      <c r="C146" t="inlineStr">
        <is>
          <t>2026-01-29 22:50:13</t>
        </is>
      </c>
      <c r="D146" t="inlineStr">
        <is>
          <t>5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30% off upto ₹75 (2025-06-25 - 2031-01-01)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219</v>
      </c>
      <c r="P146" t="n">
        <v>3.5</v>
      </c>
      <c r="Q146" t="n">
        <v>0</v>
      </c>
      <c r="R146" t="n">
        <v>65.7</v>
      </c>
      <c r="S146" t="n">
        <v>0</v>
      </c>
      <c r="T146" t="n">
        <v>0</v>
      </c>
      <c r="U146" t="n">
        <v>0</v>
      </c>
      <c r="V146" t="n">
        <v>7.84</v>
      </c>
      <c r="W146" t="n">
        <v>164.64</v>
      </c>
      <c r="X146" t="n">
        <v>156.8</v>
      </c>
      <c r="Y146" t="n">
        <v>19</v>
      </c>
      <c r="Z146" t="n">
        <v>29.79</v>
      </c>
      <c r="AA146" t="n">
        <v>3.03</v>
      </c>
      <c r="AB146" t="n">
        <v>32.82</v>
      </c>
      <c r="AC146" t="n">
        <v>5.91</v>
      </c>
      <c r="AD146" t="n">
        <v>0</v>
      </c>
      <c r="AE146" t="n">
        <v>156.8</v>
      </c>
      <c r="AF146" t="n">
        <v>0</v>
      </c>
      <c r="AG146" t="n">
        <v>0</v>
      </c>
      <c r="AH146" t="n">
        <v>0.16</v>
      </c>
      <c r="AI146" t="n">
        <v>7.85</v>
      </c>
      <c r="AJ146" t="n">
        <v>-0.01</v>
      </c>
      <c r="AK146" t="n">
        <v>13.92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46.74</v>
      </c>
      <c r="AV146" t="n">
        <v>0</v>
      </c>
      <c r="AW146" t="n">
        <v>117.9</v>
      </c>
      <c r="AX146" t="inlineStr">
        <is>
          <t>pending</t>
        </is>
      </c>
      <c r="AY146" t="inlineStr">
        <is>
          <t>NA</t>
        </is>
      </c>
      <c r="AZ146" t="inlineStr">
        <is>
          <t>NA</t>
        </is>
      </c>
      <c r="BA146" t="n">
        <v>117.9</v>
      </c>
      <c r="BB146" t="inlineStr">
        <is>
          <t>2e15fdb153832adb1c5f385320b22df40e0de8478eaf4603529aee27454b6da1</t>
        </is>
      </c>
    </row>
    <row r="147">
      <c r="A147" t="inlineStr">
        <is>
          <t>142</t>
        </is>
      </c>
      <c r="B147" t="inlineStr">
        <is>
          <t>7738062229</t>
        </is>
      </c>
      <c r="C147" t="inlineStr">
        <is>
          <t>2026-01-29 22:52:06</t>
        </is>
      </c>
      <c r="D147" t="inlineStr">
        <is>
          <t>5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NA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229</v>
      </c>
      <c r="P147" t="n">
        <v>3.5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11.63</v>
      </c>
      <c r="W147" t="n">
        <v>244.13</v>
      </c>
      <c r="X147" t="n">
        <v>232.5</v>
      </c>
      <c r="Y147" t="n">
        <v>19</v>
      </c>
      <c r="Z147" t="n">
        <v>44.18</v>
      </c>
      <c r="AA147" t="n">
        <v>4.49</v>
      </c>
      <c r="AB147" t="n">
        <v>48.67</v>
      </c>
      <c r="AC147" t="n">
        <v>8.76</v>
      </c>
      <c r="AD147" t="n">
        <v>0</v>
      </c>
      <c r="AE147" t="n">
        <v>232.5</v>
      </c>
      <c r="AF147" t="n">
        <v>0</v>
      </c>
      <c r="AG147" t="n">
        <v>0</v>
      </c>
      <c r="AH147" t="n">
        <v>0.23</v>
      </c>
      <c r="AI147" t="n">
        <v>11.63</v>
      </c>
      <c r="AJ147" t="n">
        <v>0</v>
      </c>
      <c r="AK147" t="n">
        <v>20.62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69.29000000000001</v>
      </c>
      <c r="AV147" t="n">
        <v>0</v>
      </c>
      <c r="AW147" t="n">
        <v>174.84</v>
      </c>
      <c r="AX147" t="inlineStr">
        <is>
          <t>pending</t>
        </is>
      </c>
      <c r="AY147" t="inlineStr">
        <is>
          <t>NA</t>
        </is>
      </c>
      <c r="AZ147" t="inlineStr">
        <is>
          <t>NA</t>
        </is>
      </c>
      <c r="BA147" t="n">
        <v>174.84</v>
      </c>
      <c r="BB147" t="inlineStr">
        <is>
          <t>5ca08cc3132d8a50cb62fa7f3ac7aadbc40e1e4b0df7baed6017219ff8e35041</t>
        </is>
      </c>
    </row>
    <row r="148">
      <c r="A148" t="inlineStr">
        <is>
          <t>143</t>
        </is>
      </c>
      <c r="B148" t="inlineStr">
        <is>
          <t>7737771216</t>
        </is>
      </c>
      <c r="C148" t="inlineStr">
        <is>
          <t>2026-01-29 22:55:28</t>
        </is>
      </c>
      <c r="D148" t="inlineStr">
        <is>
          <t>5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pending</t>
        </is>
      </c>
      <c r="AY148" t="inlineStr">
        <is>
          <t>NA</t>
        </is>
      </c>
      <c r="AZ148" t="inlineStr">
        <is>
          <t>NA</t>
        </is>
      </c>
      <c r="BA148" t="n">
        <v>123.18</v>
      </c>
      <c r="BB148" t="inlineStr">
        <is>
          <t>65e5116f570423e1966156c1e873b0fb2777fc14f0153bc3dac8bceb74660e10</t>
        </is>
      </c>
    </row>
    <row r="149">
      <c r="A149" t="inlineStr">
        <is>
          <t>144</t>
        </is>
      </c>
      <c r="B149" t="inlineStr">
        <is>
          <t>7741022248</t>
        </is>
      </c>
      <c r="C149" t="inlineStr">
        <is>
          <t>2026-01-29 23:02:47</t>
        </is>
      </c>
      <c r="D149" t="inlineStr">
        <is>
          <t>5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458</v>
      </c>
      <c r="P149" t="n">
        <v>3.5</v>
      </c>
      <c r="Q149" t="n">
        <v>0</v>
      </c>
      <c r="R149" t="n">
        <v>75</v>
      </c>
      <c r="S149" t="n">
        <v>0</v>
      </c>
      <c r="T149" t="n">
        <v>0</v>
      </c>
      <c r="U149" t="n">
        <v>0</v>
      </c>
      <c r="V149" t="n">
        <v>19.33</v>
      </c>
      <c r="W149" t="n">
        <v>405.83</v>
      </c>
      <c r="X149" t="n">
        <v>386.5</v>
      </c>
      <c r="Y149" t="n">
        <v>19</v>
      </c>
      <c r="Z149" t="n">
        <v>73.44</v>
      </c>
      <c r="AA149" t="n">
        <v>7.47</v>
      </c>
      <c r="AB149" t="n">
        <v>80.91</v>
      </c>
      <c r="AC149" t="n">
        <v>14.56</v>
      </c>
      <c r="AD149" t="n">
        <v>0</v>
      </c>
      <c r="AE149" t="n">
        <v>386.5</v>
      </c>
      <c r="AF149" t="n">
        <v>0</v>
      </c>
      <c r="AG149" t="n">
        <v>0</v>
      </c>
      <c r="AH149" t="n">
        <v>0.39</v>
      </c>
      <c r="AI149" t="n">
        <v>19.33</v>
      </c>
      <c r="AJ149" t="n">
        <v>0</v>
      </c>
      <c r="AK149" t="n">
        <v>34.28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115.19</v>
      </c>
      <c r="AV149" t="n">
        <v>0</v>
      </c>
      <c r="AW149" t="n">
        <v>290.64</v>
      </c>
      <c r="AX149" t="inlineStr">
        <is>
          <t>pending</t>
        </is>
      </c>
      <c r="AY149" t="inlineStr">
        <is>
          <t>NA</t>
        </is>
      </c>
      <c r="AZ149" t="inlineStr">
        <is>
          <t>NA</t>
        </is>
      </c>
      <c r="BA149" t="n">
        <v>290.64</v>
      </c>
      <c r="BB149" t="inlineStr">
        <is>
          <t>d91c40610f74ce4db9fbe098d994a49d8986709f38f4100261acffed8d2b7662</t>
        </is>
      </c>
    </row>
    <row r="150">
      <c r="A150" t="inlineStr">
        <is>
          <t>145</t>
        </is>
      </c>
      <c r="B150" t="inlineStr">
        <is>
          <t>7738602292</t>
        </is>
      </c>
      <c r="C150" t="inlineStr">
        <is>
          <t>2026-01-29 23:08:08</t>
        </is>
      </c>
      <c r="D150" t="inlineStr">
        <is>
          <t>5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30% off upto ₹75 (2025-06-25 - 2031-01-01)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518</v>
      </c>
      <c r="P150" t="n">
        <v>3.5</v>
      </c>
      <c r="Q150" t="n">
        <v>0</v>
      </c>
      <c r="R150" t="n">
        <v>75</v>
      </c>
      <c r="S150" t="n">
        <v>0</v>
      </c>
      <c r="T150" t="n">
        <v>0</v>
      </c>
      <c r="U150" t="n">
        <v>0</v>
      </c>
      <c r="V150" t="n">
        <v>22.33</v>
      </c>
      <c r="W150" t="n">
        <v>468.83</v>
      </c>
      <c r="X150" t="n">
        <v>446.5</v>
      </c>
      <c r="Y150" t="n">
        <v>19</v>
      </c>
      <c r="Z150" t="n">
        <v>84.84</v>
      </c>
      <c r="AA150" t="n">
        <v>8.630000000000001</v>
      </c>
      <c r="AB150" t="n">
        <v>93.47</v>
      </c>
      <c r="AC150" t="n">
        <v>16.82</v>
      </c>
      <c r="AD150" t="n">
        <v>0</v>
      </c>
      <c r="AE150" t="n">
        <v>446.5</v>
      </c>
      <c r="AF150" t="n">
        <v>0</v>
      </c>
      <c r="AG150" t="n">
        <v>0</v>
      </c>
      <c r="AH150" t="n">
        <v>0.45</v>
      </c>
      <c r="AI150" t="n">
        <v>22.33</v>
      </c>
      <c r="AJ150" t="n">
        <v>0</v>
      </c>
      <c r="AK150" t="n">
        <v>39.6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133.07</v>
      </c>
      <c r="AV150" t="n">
        <v>0</v>
      </c>
      <c r="AW150" t="n">
        <v>335.76</v>
      </c>
      <c r="AX150" t="inlineStr">
        <is>
          <t>pending</t>
        </is>
      </c>
      <c r="AY150" t="inlineStr">
        <is>
          <t>NA</t>
        </is>
      </c>
      <c r="AZ150" t="inlineStr">
        <is>
          <t>NA</t>
        </is>
      </c>
      <c r="BA150" t="n">
        <v>335.76</v>
      </c>
      <c r="BB150" t="inlineStr">
        <is>
          <t>fce24a5f7e58d40e23ace9bd791e6c149c02babe3e28d4b21d678cd262fd874f</t>
        </is>
      </c>
    </row>
    <row r="151">
      <c r="A151" t="inlineStr">
        <is>
          <t>146</t>
        </is>
      </c>
      <c r="B151" t="inlineStr">
        <is>
          <t>7736957537</t>
        </is>
      </c>
      <c r="C151" t="inlineStr">
        <is>
          <t>2026-01-29 23:27:44</t>
        </is>
      </c>
      <c r="D151" t="inlineStr">
        <is>
          <t>5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30% off upto ₹75 (2025-06-25 - 2031-01-01)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68.7</v>
      </c>
      <c r="S151" t="n">
        <v>0</v>
      </c>
      <c r="T151" t="n">
        <v>0</v>
      </c>
      <c r="U151" t="n">
        <v>0</v>
      </c>
      <c r="V151" t="n">
        <v>8.19</v>
      </c>
      <c r="W151" t="n">
        <v>171.99</v>
      </c>
      <c r="X151" t="n">
        <v>163.8</v>
      </c>
      <c r="Y151" t="n">
        <v>19</v>
      </c>
      <c r="Z151" t="n">
        <v>31.12</v>
      </c>
      <c r="AA151" t="n">
        <v>3.16</v>
      </c>
      <c r="AB151" t="n">
        <v>34.28</v>
      </c>
      <c r="AC151" t="n">
        <v>6.17</v>
      </c>
      <c r="AD151" t="n">
        <v>0</v>
      </c>
      <c r="AE151" t="n">
        <v>163.8</v>
      </c>
      <c r="AF151" t="n">
        <v>0</v>
      </c>
      <c r="AG151" t="n">
        <v>0</v>
      </c>
      <c r="AH151" t="n">
        <v>0.16</v>
      </c>
      <c r="AI151" t="n">
        <v>8.199999999999999</v>
      </c>
      <c r="AJ151" t="n">
        <v>-0.01</v>
      </c>
      <c r="AK151" t="n">
        <v>14.53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48.81</v>
      </c>
      <c r="AV151" t="n">
        <v>0</v>
      </c>
      <c r="AW151" t="n">
        <v>123.18</v>
      </c>
      <c r="AX151" t="inlineStr">
        <is>
          <t>pending</t>
        </is>
      </c>
      <c r="AY151" t="inlineStr">
        <is>
          <t>NA</t>
        </is>
      </c>
      <c r="AZ151" t="inlineStr">
        <is>
          <t>NA</t>
        </is>
      </c>
      <c r="BA151" t="n">
        <v>123.18</v>
      </c>
      <c r="BB151" t="inlineStr">
        <is>
          <t>b66520e0e836f9fed267abeef249e48598554d0697318cf672fd4165d218ab57</t>
        </is>
      </c>
    </row>
    <row r="152">
      <c r="A152" t="inlineStr">
        <is>
          <t>147</t>
        </is>
      </c>
      <c r="B152" t="inlineStr">
        <is>
          <t>7738384263</t>
        </is>
      </c>
      <c r="C152" t="inlineStr">
        <is>
          <t>2026-01-29 23:40:09</t>
        </is>
      </c>
      <c r="D152" t="inlineStr">
        <is>
          <t>5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289</v>
      </c>
      <c r="P152" t="n">
        <v>3.5</v>
      </c>
      <c r="Q152" t="n">
        <v>0</v>
      </c>
      <c r="R152" t="n">
        <v>75</v>
      </c>
      <c r="S152" t="n">
        <v>0</v>
      </c>
      <c r="T152" t="n">
        <v>0</v>
      </c>
      <c r="U152" t="n">
        <v>0</v>
      </c>
      <c r="V152" t="n">
        <v>10.88</v>
      </c>
      <c r="W152" t="n">
        <v>228.38</v>
      </c>
      <c r="X152" t="n">
        <v>217.5</v>
      </c>
      <c r="Y152" t="n">
        <v>19</v>
      </c>
      <c r="Z152" t="n">
        <v>41.32</v>
      </c>
      <c r="AA152" t="n">
        <v>4.2</v>
      </c>
      <c r="AB152" t="n">
        <v>45.52</v>
      </c>
      <c r="AC152" t="n">
        <v>8.199999999999999</v>
      </c>
      <c r="AD152" t="n">
        <v>0</v>
      </c>
      <c r="AE152" t="n">
        <v>217.5</v>
      </c>
      <c r="AF152" t="n">
        <v>0</v>
      </c>
      <c r="AG152" t="n">
        <v>0</v>
      </c>
      <c r="AH152" t="n">
        <v>0.22</v>
      </c>
      <c r="AI152" t="n">
        <v>10.88</v>
      </c>
      <c r="AJ152" t="n">
        <v>0</v>
      </c>
      <c r="AK152" t="n">
        <v>19.3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64.81999999999999</v>
      </c>
      <c r="AV152" t="n">
        <v>0</v>
      </c>
      <c r="AW152" t="n">
        <v>163.56</v>
      </c>
      <c r="AX152" t="inlineStr">
        <is>
          <t>pending</t>
        </is>
      </c>
      <c r="AY152" t="inlineStr">
        <is>
          <t>NA</t>
        </is>
      </c>
      <c r="AZ152" t="inlineStr">
        <is>
          <t>NA</t>
        </is>
      </c>
      <c r="BA152" t="n">
        <v>163.56</v>
      </c>
      <c r="BB152" t="inlineStr">
        <is>
          <t>12d2522802cd9d02215eb24f300705c76c041554d2c574b6d3610160a6c726bf</t>
        </is>
      </c>
    </row>
    <row r="153">
      <c r="A153" t="inlineStr">
        <is>
          <t>148</t>
        </is>
      </c>
      <c r="B153" t="inlineStr">
        <is>
          <t>7740972666</t>
        </is>
      </c>
      <c r="C153" t="inlineStr">
        <is>
          <t>2026-01-29 23:45:16</t>
        </is>
      </c>
      <c r="D153" t="inlineStr">
        <is>
          <t>5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NA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229</v>
      </c>
      <c r="P153" t="n">
        <v>3.5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11.63</v>
      </c>
      <c r="W153" t="n">
        <v>244.13</v>
      </c>
      <c r="X153" t="n">
        <v>232.5</v>
      </c>
      <c r="Y153" t="n">
        <v>19</v>
      </c>
      <c r="Z153" t="n">
        <v>44.18</v>
      </c>
      <c r="AA153" t="n">
        <v>4.49</v>
      </c>
      <c r="AB153" t="n">
        <v>48.67</v>
      </c>
      <c r="AC153" t="n">
        <v>8.76</v>
      </c>
      <c r="AD153" t="n">
        <v>0</v>
      </c>
      <c r="AE153" t="n">
        <v>232.5</v>
      </c>
      <c r="AF153" t="n">
        <v>0</v>
      </c>
      <c r="AG153" t="n">
        <v>0</v>
      </c>
      <c r="AH153" t="n">
        <v>0.23</v>
      </c>
      <c r="AI153" t="n">
        <v>11.63</v>
      </c>
      <c r="AJ153" t="n">
        <v>0</v>
      </c>
      <c r="AK153" t="n">
        <v>20.62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69.29000000000001</v>
      </c>
      <c r="AV153" t="n">
        <v>0</v>
      </c>
      <c r="AW153" t="n">
        <v>174.84</v>
      </c>
      <c r="AX153" t="inlineStr">
        <is>
          <t>pending</t>
        </is>
      </c>
      <c r="AY153" t="inlineStr">
        <is>
          <t>NA</t>
        </is>
      </c>
      <c r="AZ153" t="inlineStr">
        <is>
          <t>NA</t>
        </is>
      </c>
      <c r="BA153" t="n">
        <v>174.84</v>
      </c>
      <c r="BB153" t="inlineStr">
        <is>
          <t>468de2621803fd0ae1c3fc8df92d5076f3eea6c9efb6957e0492f806eec448b2</t>
        </is>
      </c>
    </row>
    <row r="154">
      <c r="A154" t="inlineStr">
        <is>
          <t>149</t>
        </is>
      </c>
      <c r="B154" t="inlineStr">
        <is>
          <t>7742232946</t>
        </is>
      </c>
      <c r="C154" t="inlineStr">
        <is>
          <t>2026-01-29 23:51:08</t>
        </is>
      </c>
      <c r="D154" t="inlineStr">
        <is>
          <t>5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30% off upto ₹75 (2025-06-25 - 2031-01-01)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229</v>
      </c>
      <c r="P154" t="n">
        <v>3.5</v>
      </c>
      <c r="Q154" t="n">
        <v>0</v>
      </c>
      <c r="R154" t="n">
        <v>68.7</v>
      </c>
      <c r="S154" t="n">
        <v>0</v>
      </c>
      <c r="T154" t="n">
        <v>0</v>
      </c>
      <c r="U154" t="n">
        <v>0</v>
      </c>
      <c r="V154" t="n">
        <v>8.19</v>
      </c>
      <c r="W154" t="n">
        <v>171.99</v>
      </c>
      <c r="X154" t="n">
        <v>163.8</v>
      </c>
      <c r="Y154" t="n">
        <v>19</v>
      </c>
      <c r="Z154" t="n">
        <v>31.12</v>
      </c>
      <c r="AA154" t="n">
        <v>3.16</v>
      </c>
      <c r="AB154" t="n">
        <v>34.28</v>
      </c>
      <c r="AC154" t="n">
        <v>6.17</v>
      </c>
      <c r="AD154" t="n">
        <v>0</v>
      </c>
      <c r="AE154" t="n">
        <v>163.8</v>
      </c>
      <c r="AF154" t="n">
        <v>0</v>
      </c>
      <c r="AG154" t="n">
        <v>0</v>
      </c>
      <c r="AH154" t="n">
        <v>0.16</v>
      </c>
      <c r="AI154" t="n">
        <v>8.199999999999999</v>
      </c>
      <c r="AJ154" t="n">
        <v>-0.01</v>
      </c>
      <c r="AK154" t="n">
        <v>14.53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48.81</v>
      </c>
      <c r="AV154" t="n">
        <v>0</v>
      </c>
      <c r="AW154" t="n">
        <v>123.18</v>
      </c>
      <c r="AX154" t="inlineStr">
        <is>
          <t>pending</t>
        </is>
      </c>
      <c r="AY154" t="inlineStr">
        <is>
          <t>NA</t>
        </is>
      </c>
      <c r="AZ154" t="inlineStr">
        <is>
          <t>NA</t>
        </is>
      </c>
      <c r="BA154" t="n">
        <v>123.18</v>
      </c>
      <c r="BB154" t="inlineStr">
        <is>
          <t>1d82fc55f83f25e06e9932dc11a9a8d96fd36bc338cef66d6f4f67cd9efd7b88</t>
        </is>
      </c>
    </row>
    <row r="155">
      <c r="A155" t="inlineStr">
        <is>
          <t>150</t>
        </is>
      </c>
      <c r="B155" t="inlineStr">
        <is>
          <t>7738786640</t>
        </is>
      </c>
      <c r="C155" t="inlineStr">
        <is>
          <t>2026-01-29 23:59:43</t>
        </is>
      </c>
      <c r="D155" t="inlineStr">
        <is>
          <t>5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30% off upto ₹75 (2025-06-25 - 2031-01-01)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229</v>
      </c>
      <c r="P155" t="n">
        <v>3.5</v>
      </c>
      <c r="Q155" t="n">
        <v>0</v>
      </c>
      <c r="R155" t="n">
        <v>68.7</v>
      </c>
      <c r="S155" t="n">
        <v>0</v>
      </c>
      <c r="T155" t="n">
        <v>0</v>
      </c>
      <c r="U155" t="n">
        <v>0</v>
      </c>
      <c r="V155" t="n">
        <v>8.19</v>
      </c>
      <c r="W155" t="n">
        <v>171.99</v>
      </c>
      <c r="X155" t="n">
        <v>163.8</v>
      </c>
      <c r="Y155" t="n">
        <v>19</v>
      </c>
      <c r="Z155" t="n">
        <v>31.12</v>
      </c>
      <c r="AA155" t="n">
        <v>3.16</v>
      </c>
      <c r="AB155" t="n">
        <v>34.28</v>
      </c>
      <c r="AC155" t="n">
        <v>6.17</v>
      </c>
      <c r="AD155" t="n">
        <v>0</v>
      </c>
      <c r="AE155" t="n">
        <v>163.8</v>
      </c>
      <c r="AF155" t="n">
        <v>0</v>
      </c>
      <c r="AG155" t="n">
        <v>0</v>
      </c>
      <c r="AH155" t="n">
        <v>0.16</v>
      </c>
      <c r="AI155" t="n">
        <v>8.199999999999999</v>
      </c>
      <c r="AJ155" t="n">
        <v>-0.01</v>
      </c>
      <c r="AK155" t="n">
        <v>14.53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48.81</v>
      </c>
      <c r="AV155" t="n">
        <v>0</v>
      </c>
      <c r="AW155" t="n">
        <v>123.18</v>
      </c>
      <c r="AX155" t="inlineStr">
        <is>
          <t>pending</t>
        </is>
      </c>
      <c r="AY155" t="inlineStr">
        <is>
          <t>NA</t>
        </is>
      </c>
      <c r="AZ155" t="inlineStr">
        <is>
          <t>NA</t>
        </is>
      </c>
      <c r="BA155" t="n">
        <v>123.18</v>
      </c>
      <c r="BB155" t="inlineStr">
        <is>
          <t>645aac2ec30dd7c5f9227b98e28376c93ef55c62f0f6e02f5b749b37cf43ba55</t>
        </is>
      </c>
    </row>
    <row r="156">
      <c r="A156" t="inlineStr">
        <is>
          <t>151</t>
        </is>
      </c>
      <c r="B156" t="inlineStr">
        <is>
          <t>7742836737</t>
        </is>
      </c>
      <c r="C156" t="inlineStr">
        <is>
          <t>2026-01-30 00:08:58</t>
        </is>
      </c>
      <c r="D156" t="inlineStr">
        <is>
          <t>5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30% off upto ₹75 (2025-06-25 - 2031-01-01)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229</v>
      </c>
      <c r="P156" t="n">
        <v>3.5</v>
      </c>
      <c r="Q156" t="n">
        <v>0</v>
      </c>
      <c r="R156" t="n">
        <v>68.7</v>
      </c>
      <c r="S156" t="n">
        <v>0</v>
      </c>
      <c r="T156" t="n">
        <v>0</v>
      </c>
      <c r="U156" t="n">
        <v>0</v>
      </c>
      <c r="V156" t="n">
        <v>8.19</v>
      </c>
      <c r="W156" t="n">
        <v>171.99</v>
      </c>
      <c r="X156" t="n">
        <v>163.8</v>
      </c>
      <c r="Y156" t="n">
        <v>19</v>
      </c>
      <c r="Z156" t="n">
        <v>31.12</v>
      </c>
      <c r="AA156" t="n">
        <v>3.16</v>
      </c>
      <c r="AB156" t="n">
        <v>34.28</v>
      </c>
      <c r="AC156" t="n">
        <v>6.17</v>
      </c>
      <c r="AD156" t="n">
        <v>0</v>
      </c>
      <c r="AE156" t="n">
        <v>163.8</v>
      </c>
      <c r="AF156" t="n">
        <v>0</v>
      </c>
      <c r="AG156" t="n">
        <v>0</v>
      </c>
      <c r="AH156" t="n">
        <v>0.16</v>
      </c>
      <c r="AI156" t="n">
        <v>8.199999999999999</v>
      </c>
      <c r="AJ156" t="n">
        <v>-0.01</v>
      </c>
      <c r="AK156" t="n">
        <v>14.53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48.81</v>
      </c>
      <c r="AV156" t="n">
        <v>0</v>
      </c>
      <c r="AW156" t="n">
        <v>123.18</v>
      </c>
      <c r="AX156" t="inlineStr">
        <is>
          <t>pending</t>
        </is>
      </c>
      <c r="AY156" t="inlineStr">
        <is>
          <t>NA</t>
        </is>
      </c>
      <c r="AZ156" t="inlineStr">
        <is>
          <t>NA</t>
        </is>
      </c>
      <c r="BA156" t="n">
        <v>123.18</v>
      </c>
      <c r="BB156" t="inlineStr">
        <is>
          <t>df140a83cb77084ae3318e7bc51560d91604fb01c1306e54571859cde287828c</t>
        </is>
      </c>
    </row>
    <row r="157">
      <c r="A157" t="inlineStr">
        <is>
          <t>152</t>
        </is>
      </c>
      <c r="B157" t="inlineStr">
        <is>
          <t>7741949849</t>
        </is>
      </c>
      <c r="C157" t="inlineStr">
        <is>
          <t>2026-01-30 00:22:51</t>
        </is>
      </c>
      <c r="D157" t="inlineStr">
        <is>
          <t>5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30% off upto ₹75 (2025-06-25 - 2031-01-01)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229</v>
      </c>
      <c r="P157" t="n">
        <v>3.5</v>
      </c>
      <c r="Q157" t="n">
        <v>0</v>
      </c>
      <c r="R157" t="n">
        <v>68.7</v>
      </c>
      <c r="S157" t="n">
        <v>0</v>
      </c>
      <c r="T157" t="n">
        <v>0</v>
      </c>
      <c r="U157" t="n">
        <v>0</v>
      </c>
      <c r="V157" t="n">
        <v>8.19</v>
      </c>
      <c r="W157" t="n">
        <v>171.99</v>
      </c>
      <c r="X157" t="n">
        <v>163.8</v>
      </c>
      <c r="Y157" t="n">
        <v>19</v>
      </c>
      <c r="Z157" t="n">
        <v>31.12</v>
      </c>
      <c r="AA157" t="n">
        <v>3.16</v>
      </c>
      <c r="AB157" t="n">
        <v>34.28</v>
      </c>
      <c r="AC157" t="n">
        <v>6.17</v>
      </c>
      <c r="AD157" t="n">
        <v>0</v>
      </c>
      <c r="AE157" t="n">
        <v>163.8</v>
      </c>
      <c r="AF157" t="n">
        <v>0</v>
      </c>
      <c r="AG157" t="n">
        <v>0</v>
      </c>
      <c r="AH157" t="n">
        <v>0.16</v>
      </c>
      <c r="AI157" t="n">
        <v>8.199999999999999</v>
      </c>
      <c r="AJ157" t="n">
        <v>-0.01</v>
      </c>
      <c r="AK157" t="n">
        <v>14.53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48.81</v>
      </c>
      <c r="AV157" t="n">
        <v>0</v>
      </c>
      <c r="AW157" t="n">
        <v>123.18</v>
      </c>
      <c r="AX157" t="inlineStr">
        <is>
          <t>pending</t>
        </is>
      </c>
      <c r="AY157" t="inlineStr">
        <is>
          <t>NA</t>
        </is>
      </c>
      <c r="AZ157" t="inlineStr">
        <is>
          <t>NA</t>
        </is>
      </c>
      <c r="BA157" t="n">
        <v>123.18</v>
      </c>
      <c r="BB157" t="inlineStr">
        <is>
          <t>06f2158d4ca55e75446ce7b13802e35a4c5ff222ffc221d880cbf65dbb706c22</t>
        </is>
      </c>
    </row>
    <row r="158">
      <c r="A158" t="inlineStr">
        <is>
          <t>153</t>
        </is>
      </c>
      <c r="B158" t="inlineStr">
        <is>
          <t>7737505535</t>
        </is>
      </c>
      <c r="C158" t="inlineStr">
        <is>
          <t>2026-01-30 00:28:32</t>
        </is>
      </c>
      <c r="D158" t="inlineStr">
        <is>
          <t>5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229</v>
      </c>
      <c r="P158" t="n">
        <v>3.5</v>
      </c>
      <c r="Q158" t="n">
        <v>0</v>
      </c>
      <c r="R158" t="n">
        <v>68.7</v>
      </c>
      <c r="S158" t="n">
        <v>0</v>
      </c>
      <c r="T158" t="n">
        <v>0</v>
      </c>
      <c r="U158" t="n">
        <v>0</v>
      </c>
      <c r="V158" t="n">
        <v>8.19</v>
      </c>
      <c r="W158" t="n">
        <v>171.99</v>
      </c>
      <c r="X158" t="n">
        <v>163.8</v>
      </c>
      <c r="Y158" t="n">
        <v>19</v>
      </c>
      <c r="Z158" t="n">
        <v>31.12</v>
      </c>
      <c r="AA158" t="n">
        <v>3.16</v>
      </c>
      <c r="AB158" t="n">
        <v>34.28</v>
      </c>
      <c r="AC158" t="n">
        <v>6.17</v>
      </c>
      <c r="AD158" t="n">
        <v>0</v>
      </c>
      <c r="AE158" t="n">
        <v>163.8</v>
      </c>
      <c r="AF158" t="n">
        <v>0</v>
      </c>
      <c r="AG158" t="n">
        <v>0</v>
      </c>
      <c r="AH158" t="n">
        <v>0.16</v>
      </c>
      <c r="AI158" t="n">
        <v>8.199999999999999</v>
      </c>
      <c r="AJ158" t="n">
        <v>-0.01</v>
      </c>
      <c r="AK158" t="n">
        <v>14.53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48.81</v>
      </c>
      <c r="AV158" t="n">
        <v>0</v>
      </c>
      <c r="AW158" t="n">
        <v>123.18</v>
      </c>
      <c r="AX158" t="inlineStr">
        <is>
          <t>pending</t>
        </is>
      </c>
      <c r="AY158" t="inlineStr">
        <is>
          <t>NA</t>
        </is>
      </c>
      <c r="AZ158" t="inlineStr">
        <is>
          <t>NA</t>
        </is>
      </c>
      <c r="BA158" t="n">
        <v>123.18</v>
      </c>
      <c r="BB158" t="inlineStr">
        <is>
          <t>8f170d54573ccf02d71d11906c4332de3f7ef6b8b3f10be22f8522267d7f9738</t>
        </is>
      </c>
    </row>
    <row r="159">
      <c r="A159" t="inlineStr">
        <is>
          <t>154</t>
        </is>
      </c>
      <c r="B159" t="inlineStr">
        <is>
          <t>7742450442</t>
        </is>
      </c>
      <c r="C159" t="inlineStr">
        <is>
          <t>2026-01-30 00:38:08</t>
        </is>
      </c>
      <c r="D159" t="inlineStr">
        <is>
          <t>5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30% off upto ₹75 (2025-06-25 - 2031-01-01)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407</v>
      </c>
      <c r="P159" t="n">
        <v>3.5</v>
      </c>
      <c r="Q159" t="n">
        <v>0</v>
      </c>
      <c r="R159" t="n">
        <v>75</v>
      </c>
      <c r="S159" t="n">
        <v>0</v>
      </c>
      <c r="T159" t="n">
        <v>0</v>
      </c>
      <c r="U159" t="n">
        <v>0</v>
      </c>
      <c r="V159" t="n">
        <v>16.78</v>
      </c>
      <c r="W159" t="n">
        <v>352.28</v>
      </c>
      <c r="X159" t="n">
        <v>335.5</v>
      </c>
      <c r="Y159" t="n">
        <v>19</v>
      </c>
      <c r="Z159" t="n">
        <v>63.74</v>
      </c>
      <c r="AA159" t="n">
        <v>6.48</v>
      </c>
      <c r="AB159" t="n">
        <v>70.22</v>
      </c>
      <c r="AC159" t="n">
        <v>12.64</v>
      </c>
      <c r="AD159" t="n">
        <v>0</v>
      </c>
      <c r="AE159" t="n">
        <v>335.5</v>
      </c>
      <c r="AF159" t="n">
        <v>0</v>
      </c>
      <c r="AG159" t="n">
        <v>0</v>
      </c>
      <c r="AH159" t="n">
        <v>0.34</v>
      </c>
      <c r="AI159" t="n">
        <v>16.78</v>
      </c>
      <c r="AJ159" t="n">
        <v>0</v>
      </c>
      <c r="AK159" t="n">
        <v>29.76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99.98</v>
      </c>
      <c r="AV159" t="n">
        <v>0</v>
      </c>
      <c r="AW159" t="n">
        <v>252.3</v>
      </c>
      <c r="AX159" t="inlineStr">
        <is>
          <t>pending</t>
        </is>
      </c>
      <c r="AY159" t="inlineStr">
        <is>
          <t>NA</t>
        </is>
      </c>
      <c r="AZ159" t="inlineStr">
        <is>
          <t>NA</t>
        </is>
      </c>
      <c r="BA159" t="n">
        <v>252.3</v>
      </c>
      <c r="BB159" t="inlineStr">
        <is>
          <t>bb123e6bdba3f32692c009c5d8125dbad6007bfd1fc41d09034ac6445399f78a</t>
        </is>
      </c>
    </row>
    <row r="160">
      <c r="A160" t="inlineStr">
        <is>
          <t>155</t>
        </is>
      </c>
      <c r="B160" t="inlineStr">
        <is>
          <t>7733153633</t>
        </is>
      </c>
      <c r="C160" t="inlineStr">
        <is>
          <t>2026-01-30 00:58:55</t>
        </is>
      </c>
      <c r="D160" t="inlineStr">
        <is>
          <t>5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458</v>
      </c>
      <c r="P160" t="n">
        <v>3.5</v>
      </c>
      <c r="Q160" t="n">
        <v>0</v>
      </c>
      <c r="R160" t="n">
        <v>75</v>
      </c>
      <c r="S160" t="n">
        <v>0</v>
      </c>
      <c r="T160" t="n">
        <v>0</v>
      </c>
      <c r="U160" t="n">
        <v>0</v>
      </c>
      <c r="V160" t="n">
        <v>19.33</v>
      </c>
      <c r="W160" t="n">
        <v>405.83</v>
      </c>
      <c r="X160" t="n">
        <v>386.5</v>
      </c>
      <c r="Y160" t="n">
        <v>19</v>
      </c>
      <c r="Z160" t="n">
        <v>73.44</v>
      </c>
      <c r="AA160" t="n">
        <v>7.47</v>
      </c>
      <c r="AB160" t="n">
        <v>80.91</v>
      </c>
      <c r="AC160" t="n">
        <v>14.56</v>
      </c>
      <c r="AD160" t="n">
        <v>0</v>
      </c>
      <c r="AE160" t="n">
        <v>386.5</v>
      </c>
      <c r="AF160" t="n">
        <v>0</v>
      </c>
      <c r="AG160" t="n">
        <v>0</v>
      </c>
      <c r="AH160" t="n">
        <v>0.39</v>
      </c>
      <c r="AI160" t="n">
        <v>19.33</v>
      </c>
      <c r="AJ160" t="n">
        <v>0</v>
      </c>
      <c r="AK160" t="n">
        <v>34.28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115.19</v>
      </c>
      <c r="AV160" t="n">
        <v>0</v>
      </c>
      <c r="AW160" t="n">
        <v>290.64</v>
      </c>
      <c r="AX160" t="inlineStr">
        <is>
          <t>pending</t>
        </is>
      </c>
      <c r="AY160" t="inlineStr">
        <is>
          <t>NA</t>
        </is>
      </c>
      <c r="AZ160" t="inlineStr">
        <is>
          <t>NA</t>
        </is>
      </c>
      <c r="BA160" t="n">
        <v>290.64</v>
      </c>
      <c r="BB160" t="inlineStr">
        <is>
          <t>32ea6bd6bc9171ed782ce85094c74613bac1d7a3b134d5b336688d9739a692fe</t>
        </is>
      </c>
    </row>
    <row r="161">
      <c r="A161" t="inlineStr">
        <is>
          <t>156</t>
        </is>
      </c>
      <c r="B161" t="inlineStr">
        <is>
          <t>7740686639</t>
        </is>
      </c>
      <c r="C161" t="inlineStr">
        <is>
          <t>2026-01-30 11:15:40</t>
        </is>
      </c>
      <c r="D161" t="inlineStr">
        <is>
          <t>5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229</v>
      </c>
      <c r="P161" t="n">
        <v>3.5</v>
      </c>
      <c r="Q161" t="n">
        <v>0</v>
      </c>
      <c r="R161" t="n">
        <v>68.7</v>
      </c>
      <c r="S161" t="n">
        <v>0</v>
      </c>
      <c r="T161" t="n">
        <v>0</v>
      </c>
      <c r="U161" t="n">
        <v>0</v>
      </c>
      <c r="V161" t="n">
        <v>8.19</v>
      </c>
      <c r="W161" t="n">
        <v>171.99</v>
      </c>
      <c r="X161" t="n">
        <v>163.8</v>
      </c>
      <c r="Y161" t="n">
        <v>19</v>
      </c>
      <c r="Z161" t="n">
        <v>31.12</v>
      </c>
      <c r="AA161" t="n">
        <v>3.16</v>
      </c>
      <c r="AB161" t="n">
        <v>34.28</v>
      </c>
      <c r="AC161" t="n">
        <v>6.17</v>
      </c>
      <c r="AD161" t="n">
        <v>0</v>
      </c>
      <c r="AE161" t="n">
        <v>163.8</v>
      </c>
      <c r="AF161" t="n">
        <v>0</v>
      </c>
      <c r="AG161" t="n">
        <v>0</v>
      </c>
      <c r="AH161" t="n">
        <v>0.16</v>
      </c>
      <c r="AI161" t="n">
        <v>8.199999999999999</v>
      </c>
      <c r="AJ161" t="n">
        <v>-0.01</v>
      </c>
      <c r="AK161" t="n">
        <v>14.53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48.81</v>
      </c>
      <c r="AV161" t="n">
        <v>0</v>
      </c>
      <c r="AW161" t="n">
        <v>123.18</v>
      </c>
      <c r="AX161" t="inlineStr">
        <is>
          <t>pending</t>
        </is>
      </c>
      <c r="AY161" t="inlineStr">
        <is>
          <t>NA</t>
        </is>
      </c>
      <c r="AZ161" t="inlineStr">
        <is>
          <t>NA</t>
        </is>
      </c>
      <c r="BA161" t="n">
        <v>123.18</v>
      </c>
      <c r="BB161" t="inlineStr">
        <is>
          <t>94d3308131493d6283f3d4ef8abd84b5c4f0ff84fe4ee025e155fc12aa694969</t>
        </is>
      </c>
    </row>
    <row r="162">
      <c r="A162" t="inlineStr">
        <is>
          <t>157</t>
        </is>
      </c>
      <c r="B162" t="inlineStr">
        <is>
          <t>7740416579</t>
        </is>
      </c>
      <c r="C162" t="inlineStr">
        <is>
          <t>2026-01-30 11:17:51</t>
        </is>
      </c>
      <c r="D162" t="inlineStr">
        <is>
          <t>5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NA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11.63</v>
      </c>
      <c r="W162" t="n">
        <v>244.13</v>
      </c>
      <c r="X162" t="n">
        <v>232.5</v>
      </c>
      <c r="Y162" t="n">
        <v>19</v>
      </c>
      <c r="Z162" t="n">
        <v>44.18</v>
      </c>
      <c r="AA162" t="n">
        <v>4.49</v>
      </c>
      <c r="AB162" t="n">
        <v>48.67</v>
      </c>
      <c r="AC162" t="n">
        <v>8.76</v>
      </c>
      <c r="AD162" t="n">
        <v>0</v>
      </c>
      <c r="AE162" t="n">
        <v>232.5</v>
      </c>
      <c r="AF162" t="n">
        <v>0</v>
      </c>
      <c r="AG162" t="n">
        <v>0</v>
      </c>
      <c r="AH162" t="n">
        <v>0.23</v>
      </c>
      <c r="AI162" t="n">
        <v>11.63</v>
      </c>
      <c r="AJ162" t="n">
        <v>0</v>
      </c>
      <c r="AK162" t="n">
        <v>20.62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69.29000000000001</v>
      </c>
      <c r="AV162" t="n">
        <v>0</v>
      </c>
      <c r="AW162" t="n">
        <v>174.84</v>
      </c>
      <c r="AX162" t="inlineStr">
        <is>
          <t>pending</t>
        </is>
      </c>
      <c r="AY162" t="inlineStr">
        <is>
          <t>NA</t>
        </is>
      </c>
      <c r="AZ162" t="inlineStr">
        <is>
          <t>NA</t>
        </is>
      </c>
      <c r="BA162" t="n">
        <v>174.84</v>
      </c>
      <c r="BB162" t="inlineStr">
        <is>
          <t>97f35c1ad0044a791b6817f31a955159d1be57d0b4431a012b89d588b761b3ee</t>
        </is>
      </c>
    </row>
    <row r="163">
      <c r="A163" t="inlineStr">
        <is>
          <t>158</t>
        </is>
      </c>
      <c r="B163" t="inlineStr">
        <is>
          <t>7743836162</t>
        </is>
      </c>
      <c r="C163" t="inlineStr">
        <is>
          <t>2026-01-30 13:32:09</t>
        </is>
      </c>
      <c r="D163" t="inlineStr">
        <is>
          <t>5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229</v>
      </c>
      <c r="P163" t="n">
        <v>3.5</v>
      </c>
      <c r="Q163" t="n">
        <v>0</v>
      </c>
      <c r="R163" t="n">
        <v>68.7</v>
      </c>
      <c r="S163" t="n">
        <v>0</v>
      </c>
      <c r="T163" t="n">
        <v>0</v>
      </c>
      <c r="U163" t="n">
        <v>0</v>
      </c>
      <c r="V163" t="n">
        <v>8.19</v>
      </c>
      <c r="W163" t="n">
        <v>171.99</v>
      </c>
      <c r="X163" t="n">
        <v>163.8</v>
      </c>
      <c r="Y163" t="n">
        <v>19</v>
      </c>
      <c r="Z163" t="n">
        <v>31.12</v>
      </c>
      <c r="AA163" t="n">
        <v>3.16</v>
      </c>
      <c r="AB163" t="n">
        <v>34.28</v>
      </c>
      <c r="AC163" t="n">
        <v>6.17</v>
      </c>
      <c r="AD163" t="n">
        <v>0</v>
      </c>
      <c r="AE163" t="n">
        <v>163.8</v>
      </c>
      <c r="AF163" t="n">
        <v>0</v>
      </c>
      <c r="AG163" t="n">
        <v>0</v>
      </c>
      <c r="AH163" t="n">
        <v>0.16</v>
      </c>
      <c r="AI163" t="n">
        <v>8.199999999999999</v>
      </c>
      <c r="AJ163" t="n">
        <v>-0.01</v>
      </c>
      <c r="AK163" t="n">
        <v>14.53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48.81</v>
      </c>
      <c r="AV163" t="n">
        <v>0</v>
      </c>
      <c r="AW163" t="n">
        <v>123.18</v>
      </c>
      <c r="AX163" t="inlineStr">
        <is>
          <t>pending</t>
        </is>
      </c>
      <c r="AY163" t="inlineStr">
        <is>
          <t>NA</t>
        </is>
      </c>
      <c r="AZ163" t="inlineStr">
        <is>
          <t>NA</t>
        </is>
      </c>
      <c r="BA163" t="n">
        <v>123.18</v>
      </c>
      <c r="BB163" t="inlineStr">
        <is>
          <t>30fdaa5d8e68d13f8b9752888fa9726ebe2e7659414a30ddaf2bc3efcac62ce8</t>
        </is>
      </c>
    </row>
    <row r="164">
      <c r="A164" t="inlineStr">
        <is>
          <t>159</t>
        </is>
      </c>
      <c r="B164" t="inlineStr">
        <is>
          <t>7739618277</t>
        </is>
      </c>
      <c r="C164" t="inlineStr">
        <is>
          <t>2026-01-30 13:33:22</t>
        </is>
      </c>
      <c r="D164" t="inlineStr">
        <is>
          <t>5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NA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219</v>
      </c>
      <c r="P164" t="n">
        <v>3.5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11.13</v>
      </c>
      <c r="W164" t="n">
        <v>233.63</v>
      </c>
      <c r="X164" t="n">
        <v>222.5</v>
      </c>
      <c r="Y164" t="n">
        <v>19</v>
      </c>
      <c r="Z164" t="n">
        <v>42.28</v>
      </c>
      <c r="AA164" t="n">
        <v>4.3</v>
      </c>
      <c r="AB164" t="n">
        <v>46.58</v>
      </c>
      <c r="AC164" t="n">
        <v>8.380000000000001</v>
      </c>
      <c r="AD164" t="n">
        <v>0</v>
      </c>
      <c r="AE164" t="n">
        <v>222.5</v>
      </c>
      <c r="AF164" t="n">
        <v>0</v>
      </c>
      <c r="AG164" t="n">
        <v>0</v>
      </c>
      <c r="AH164" t="n">
        <v>0.22</v>
      </c>
      <c r="AI164" t="n">
        <v>11.13</v>
      </c>
      <c r="AJ164" t="n">
        <v>0</v>
      </c>
      <c r="AK164" t="n">
        <v>19.73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66.31</v>
      </c>
      <c r="AV164" t="n">
        <v>0</v>
      </c>
      <c r="AW164" t="n">
        <v>167.32</v>
      </c>
      <c r="AX164" t="inlineStr">
        <is>
          <t>pending</t>
        </is>
      </c>
      <c r="AY164" t="inlineStr">
        <is>
          <t>NA</t>
        </is>
      </c>
      <c r="AZ164" t="inlineStr">
        <is>
          <t>NA</t>
        </is>
      </c>
      <c r="BA164" t="n">
        <v>167.32</v>
      </c>
      <c r="BB164" t="inlineStr">
        <is>
          <t>43f9ee580dc3ebbd4203ae7fd0f2ccf19f99e2d9bb3a378aae9296b3c05f30a2</t>
        </is>
      </c>
    </row>
    <row r="165">
      <c r="A165" t="inlineStr">
        <is>
          <t>160</t>
        </is>
      </c>
      <c r="B165" t="inlineStr">
        <is>
          <t>7742794795</t>
        </is>
      </c>
      <c r="C165" t="inlineStr">
        <is>
          <t>2026-01-30 13:45:11</t>
        </is>
      </c>
      <c r="D165" t="inlineStr">
        <is>
          <t>5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NA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229</v>
      </c>
      <c r="P165" t="n">
        <v>3.5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11.63</v>
      </c>
      <c r="W165" t="n">
        <v>244.13</v>
      </c>
      <c r="X165" t="n">
        <v>232.5</v>
      </c>
      <c r="Y165" t="n">
        <v>19</v>
      </c>
      <c r="Z165" t="n">
        <v>44.18</v>
      </c>
      <c r="AA165" t="n">
        <v>4.49</v>
      </c>
      <c r="AB165" t="n">
        <v>48.67</v>
      </c>
      <c r="AC165" t="n">
        <v>8.76</v>
      </c>
      <c r="AD165" t="n">
        <v>0</v>
      </c>
      <c r="AE165" t="n">
        <v>232.5</v>
      </c>
      <c r="AF165" t="n">
        <v>0</v>
      </c>
      <c r="AG165" t="n">
        <v>0</v>
      </c>
      <c r="AH165" t="n">
        <v>0.23</v>
      </c>
      <c r="AI165" t="n">
        <v>11.63</v>
      </c>
      <c r="AJ165" t="n">
        <v>0</v>
      </c>
      <c r="AK165" t="n">
        <v>20.62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69.29000000000001</v>
      </c>
      <c r="AV165" t="n">
        <v>0</v>
      </c>
      <c r="AW165" t="n">
        <v>174.84</v>
      </c>
      <c r="AX165" t="inlineStr">
        <is>
          <t>pending</t>
        </is>
      </c>
      <c r="AY165" t="inlineStr">
        <is>
          <t>NA</t>
        </is>
      </c>
      <c r="AZ165" t="inlineStr">
        <is>
          <t>NA</t>
        </is>
      </c>
      <c r="BA165" t="n">
        <v>174.84</v>
      </c>
      <c r="BB165" t="inlineStr">
        <is>
          <t>e88e138f4e23cc9294b1b5d9437192858068848b13f6478643a5b46a2851ef82</t>
        </is>
      </c>
    </row>
    <row r="166">
      <c r="A166" t="inlineStr">
        <is>
          <t>161</t>
        </is>
      </c>
      <c r="B166" t="inlineStr">
        <is>
          <t>7739008562</t>
        </is>
      </c>
      <c r="C166" t="inlineStr">
        <is>
          <t>2026-01-30 13:46:58</t>
        </is>
      </c>
      <c r="D166" t="inlineStr">
        <is>
          <t>5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NA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229</v>
      </c>
      <c r="P166" t="n">
        <v>3.5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11.63</v>
      </c>
      <c r="W166" t="n">
        <v>244.13</v>
      </c>
      <c r="X166" t="n">
        <v>232.5</v>
      </c>
      <c r="Y166" t="n">
        <v>19</v>
      </c>
      <c r="Z166" t="n">
        <v>44.18</v>
      </c>
      <c r="AA166" t="n">
        <v>4.49</v>
      </c>
      <c r="AB166" t="n">
        <v>48.67</v>
      </c>
      <c r="AC166" t="n">
        <v>8.76</v>
      </c>
      <c r="AD166" t="n">
        <v>0</v>
      </c>
      <c r="AE166" t="n">
        <v>232.5</v>
      </c>
      <c r="AF166" t="n">
        <v>0</v>
      </c>
      <c r="AG166" t="n">
        <v>0</v>
      </c>
      <c r="AH166" t="n">
        <v>0.23</v>
      </c>
      <c r="AI166" t="n">
        <v>11.63</v>
      </c>
      <c r="AJ166" t="n">
        <v>0</v>
      </c>
      <c r="AK166" t="n">
        <v>20.62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69.29000000000001</v>
      </c>
      <c r="AV166" t="n">
        <v>0</v>
      </c>
      <c r="AW166" t="n">
        <v>174.84</v>
      </c>
      <c r="AX166" t="inlineStr">
        <is>
          <t>pending</t>
        </is>
      </c>
      <c r="AY166" t="inlineStr">
        <is>
          <t>NA</t>
        </is>
      </c>
      <c r="AZ166" t="inlineStr">
        <is>
          <t>NA</t>
        </is>
      </c>
      <c r="BA166" t="n">
        <v>174.84</v>
      </c>
      <c r="BB166" t="inlineStr">
        <is>
          <t>e88e138f4e23cc9294b1b5d9437192858068848b13f6478643a5b46a2851ef82</t>
        </is>
      </c>
    </row>
    <row r="167">
      <c r="A167" t="inlineStr">
        <is>
          <t>162</t>
        </is>
      </c>
      <c r="B167" t="inlineStr">
        <is>
          <t>7744225204</t>
        </is>
      </c>
      <c r="C167" t="inlineStr">
        <is>
          <t>2026-01-30 14:11:27</t>
        </is>
      </c>
      <c r="D167" t="inlineStr">
        <is>
          <t>5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68.7</v>
      </c>
      <c r="S167" t="n">
        <v>0</v>
      </c>
      <c r="T167" t="n">
        <v>0</v>
      </c>
      <c r="U167" t="n">
        <v>0</v>
      </c>
      <c r="V167" t="n">
        <v>8.19</v>
      </c>
      <c r="W167" t="n">
        <v>171.99</v>
      </c>
      <c r="X167" t="n">
        <v>163.8</v>
      </c>
      <c r="Y167" t="n">
        <v>19</v>
      </c>
      <c r="Z167" t="n">
        <v>31.12</v>
      </c>
      <c r="AA167" t="n">
        <v>3.16</v>
      </c>
      <c r="AB167" t="n">
        <v>34.28</v>
      </c>
      <c r="AC167" t="n">
        <v>6.17</v>
      </c>
      <c r="AD167" t="n">
        <v>0</v>
      </c>
      <c r="AE167" t="n">
        <v>163.8</v>
      </c>
      <c r="AF167" t="n">
        <v>0</v>
      </c>
      <c r="AG167" t="n">
        <v>0</v>
      </c>
      <c r="AH167" t="n">
        <v>0.16</v>
      </c>
      <c r="AI167" t="n">
        <v>8.199999999999999</v>
      </c>
      <c r="AJ167" t="n">
        <v>-0.01</v>
      </c>
      <c r="AK167" t="n">
        <v>14.53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48.81</v>
      </c>
      <c r="AV167" t="n">
        <v>0</v>
      </c>
      <c r="AW167" t="n">
        <v>123.18</v>
      </c>
      <c r="AX167" t="inlineStr">
        <is>
          <t>pending</t>
        </is>
      </c>
      <c r="AY167" t="inlineStr">
        <is>
          <t>NA</t>
        </is>
      </c>
      <c r="AZ167" t="inlineStr">
        <is>
          <t>NA</t>
        </is>
      </c>
      <c r="BA167" t="n">
        <v>123.18</v>
      </c>
      <c r="BB167" t="inlineStr">
        <is>
          <t>d0ecbc72e96a130f790860bc470ec8e5f5f73ee6c6ac43e4a677619e97a63f02</t>
        </is>
      </c>
    </row>
    <row r="168">
      <c r="A168" t="inlineStr">
        <is>
          <t>163</t>
        </is>
      </c>
      <c r="B168" t="inlineStr">
        <is>
          <t>7744219775</t>
        </is>
      </c>
      <c r="C168" t="inlineStr">
        <is>
          <t>2026-01-30 14:11:50</t>
        </is>
      </c>
      <c r="D168" t="inlineStr">
        <is>
          <t>5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NA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438</v>
      </c>
      <c r="P168" t="n">
        <v>3.5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22.08</v>
      </c>
      <c r="W168" t="n">
        <v>463.58</v>
      </c>
      <c r="X168" t="n">
        <v>441.5</v>
      </c>
      <c r="Y168" t="n">
        <v>19</v>
      </c>
      <c r="Z168" t="n">
        <v>83.88</v>
      </c>
      <c r="AA168" t="n">
        <v>8.529999999999999</v>
      </c>
      <c r="AB168" t="n">
        <v>92.41</v>
      </c>
      <c r="AC168" t="n">
        <v>16.64</v>
      </c>
      <c r="AD168" t="n">
        <v>0</v>
      </c>
      <c r="AE168" t="n">
        <v>441.5</v>
      </c>
      <c r="AF168" t="n">
        <v>0</v>
      </c>
      <c r="AG168" t="n">
        <v>0</v>
      </c>
      <c r="AH168" t="n">
        <v>0.44</v>
      </c>
      <c r="AI168" t="n">
        <v>22.08</v>
      </c>
      <c r="AJ168" t="n">
        <v>0</v>
      </c>
      <c r="AK168" t="n">
        <v>39.16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131.57</v>
      </c>
      <c r="AV168" t="n">
        <v>0</v>
      </c>
      <c r="AW168" t="n">
        <v>332.01</v>
      </c>
      <c r="AX168" t="inlineStr">
        <is>
          <t>pending</t>
        </is>
      </c>
      <c r="AY168" t="inlineStr">
        <is>
          <t>NA</t>
        </is>
      </c>
      <c r="AZ168" t="inlineStr">
        <is>
          <t>NA</t>
        </is>
      </c>
      <c r="BA168" t="n">
        <v>332.01</v>
      </c>
      <c r="BB168" t="inlineStr">
        <is>
          <t>addfa40b1b88803ba5dc5b111cce752267e4435d48b23a4c90022998053b6113</t>
        </is>
      </c>
    </row>
    <row r="169">
      <c r="A169" t="inlineStr">
        <is>
          <t>164</t>
        </is>
      </c>
      <c r="B169" t="inlineStr">
        <is>
          <t>7744379024</t>
        </is>
      </c>
      <c r="C169" t="inlineStr">
        <is>
          <t>2026-01-30 14:47:29</t>
        </is>
      </c>
      <c r="D169" t="inlineStr">
        <is>
          <t>5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NA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229</v>
      </c>
      <c r="P169" t="n">
        <v>3.5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11.63</v>
      </c>
      <c r="W169" t="n">
        <v>244.13</v>
      </c>
      <c r="X169" t="n">
        <v>232.5</v>
      </c>
      <c r="Y169" t="n">
        <v>19</v>
      </c>
      <c r="Z169" t="n">
        <v>44.18</v>
      </c>
      <c r="AA169" t="n">
        <v>4.49</v>
      </c>
      <c r="AB169" t="n">
        <v>48.67</v>
      </c>
      <c r="AC169" t="n">
        <v>8.76</v>
      </c>
      <c r="AD169" t="n">
        <v>0</v>
      </c>
      <c r="AE169" t="n">
        <v>232.5</v>
      </c>
      <c r="AF169" t="n">
        <v>0</v>
      </c>
      <c r="AG169" t="n">
        <v>0</v>
      </c>
      <c r="AH169" t="n">
        <v>0.23</v>
      </c>
      <c r="AI169" t="n">
        <v>11.63</v>
      </c>
      <c r="AJ169" t="n">
        <v>0</v>
      </c>
      <c r="AK169" t="n">
        <v>20.62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69.29000000000001</v>
      </c>
      <c r="AV169" t="n">
        <v>0</v>
      </c>
      <c r="AW169" t="n">
        <v>174.84</v>
      </c>
      <c r="AX169" t="inlineStr">
        <is>
          <t>pending</t>
        </is>
      </c>
      <c r="AY169" t="inlineStr">
        <is>
          <t>NA</t>
        </is>
      </c>
      <c r="AZ169" t="inlineStr">
        <is>
          <t>NA</t>
        </is>
      </c>
      <c r="BA169" t="n">
        <v>174.84</v>
      </c>
      <c r="BB169" t="inlineStr">
        <is>
          <t>7d5f693b302bd4e1cd6886c106c312055da2300f79d830d208e0da047a4cad8b</t>
        </is>
      </c>
    </row>
    <row r="170">
      <c r="A170" t="inlineStr">
        <is>
          <t>165</t>
        </is>
      </c>
      <c r="B170" t="inlineStr">
        <is>
          <t>7740023777</t>
        </is>
      </c>
      <c r="C170" t="inlineStr">
        <is>
          <t>2026-01-30 16:02:44</t>
        </is>
      </c>
      <c r="D170" t="inlineStr">
        <is>
          <t>5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219</v>
      </c>
      <c r="P170" t="n">
        <v>3.5</v>
      </c>
      <c r="Q170" t="n">
        <v>0</v>
      </c>
      <c r="R170" t="n">
        <v>65.7</v>
      </c>
      <c r="S170" t="n">
        <v>0</v>
      </c>
      <c r="T170" t="n">
        <v>0</v>
      </c>
      <c r="U170" t="n">
        <v>0</v>
      </c>
      <c r="V170" t="n">
        <v>7.84</v>
      </c>
      <c r="W170" t="n">
        <v>164.64</v>
      </c>
      <c r="X170" t="n">
        <v>156.8</v>
      </c>
      <c r="Y170" t="n">
        <v>19</v>
      </c>
      <c r="Z170" t="n">
        <v>29.79</v>
      </c>
      <c r="AA170" t="n">
        <v>3.03</v>
      </c>
      <c r="AB170" t="n">
        <v>32.82</v>
      </c>
      <c r="AC170" t="n">
        <v>5.91</v>
      </c>
      <c r="AD170" t="n">
        <v>0</v>
      </c>
      <c r="AE170" t="n">
        <v>156.8</v>
      </c>
      <c r="AF170" t="n">
        <v>0</v>
      </c>
      <c r="AG170" t="n">
        <v>0</v>
      </c>
      <c r="AH170" t="n">
        <v>0.16</v>
      </c>
      <c r="AI170" t="n">
        <v>7.85</v>
      </c>
      <c r="AJ170" t="n">
        <v>-0.01</v>
      </c>
      <c r="AK170" t="n">
        <v>13.92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46.74</v>
      </c>
      <c r="AV170" t="n">
        <v>0</v>
      </c>
      <c r="AW170" t="n">
        <v>117.9</v>
      </c>
      <c r="AX170" t="inlineStr">
        <is>
          <t>pending</t>
        </is>
      </c>
      <c r="AY170" t="inlineStr">
        <is>
          <t>NA</t>
        </is>
      </c>
      <c r="AZ170" t="inlineStr">
        <is>
          <t>NA</t>
        </is>
      </c>
      <c r="BA170" t="n">
        <v>117.9</v>
      </c>
      <c r="BB170" t="inlineStr">
        <is>
          <t>b5be9680ddcf3549746f9c719563220eb4cee08bb84e7e52b8c03a77e7017ac6</t>
        </is>
      </c>
    </row>
    <row r="171">
      <c r="A171" t="inlineStr">
        <is>
          <t>166</t>
        </is>
      </c>
      <c r="B171" t="inlineStr">
        <is>
          <t>7729415463</t>
        </is>
      </c>
      <c r="C171" t="inlineStr">
        <is>
          <t>2026-01-30 16:58:52</t>
        </is>
      </c>
      <c r="D171" t="inlineStr">
        <is>
          <t>5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NA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229</v>
      </c>
      <c r="P171" t="n">
        <v>3.5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11.63</v>
      </c>
      <c r="W171" t="n">
        <v>244.13</v>
      </c>
      <c r="X171" t="n">
        <v>232.5</v>
      </c>
      <c r="Y171" t="n">
        <v>19</v>
      </c>
      <c r="Z171" t="n">
        <v>44.18</v>
      </c>
      <c r="AA171" t="n">
        <v>4.49</v>
      </c>
      <c r="AB171" t="n">
        <v>48.67</v>
      </c>
      <c r="AC171" t="n">
        <v>8.76</v>
      </c>
      <c r="AD171" t="n">
        <v>0</v>
      </c>
      <c r="AE171" t="n">
        <v>232.5</v>
      </c>
      <c r="AF171" t="n">
        <v>0</v>
      </c>
      <c r="AG171" t="n">
        <v>0</v>
      </c>
      <c r="AH171" t="n">
        <v>0.23</v>
      </c>
      <c r="AI171" t="n">
        <v>11.63</v>
      </c>
      <c r="AJ171" t="n">
        <v>0</v>
      </c>
      <c r="AK171" t="n">
        <v>20.62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69.29000000000001</v>
      </c>
      <c r="AV171" t="n">
        <v>0</v>
      </c>
      <c r="AW171" t="n">
        <v>174.84</v>
      </c>
      <c r="AX171" t="inlineStr">
        <is>
          <t>pending</t>
        </is>
      </c>
      <c r="AY171" t="inlineStr">
        <is>
          <t>NA</t>
        </is>
      </c>
      <c r="AZ171" t="inlineStr">
        <is>
          <t>NA</t>
        </is>
      </c>
      <c r="BA171" t="n">
        <v>174.84</v>
      </c>
      <c r="BB171" t="inlineStr">
        <is>
          <t>daeee2e77ef6c2fb8226973a29be3ef71b1049b1760c2fd03d8ced5801613a8d</t>
        </is>
      </c>
    </row>
    <row r="172">
      <c r="A172" t="inlineStr">
        <is>
          <t>167</t>
        </is>
      </c>
      <c r="B172" t="inlineStr">
        <is>
          <t>7744630591</t>
        </is>
      </c>
      <c r="C172" t="inlineStr">
        <is>
          <t>2026-01-30 17:24:04</t>
        </is>
      </c>
      <c r="D172" t="inlineStr">
        <is>
          <t>5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30% off upto ₹75 (2025-06-25 - 2031-01-01)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219</v>
      </c>
      <c r="P172" t="n">
        <v>3.5</v>
      </c>
      <c r="Q172" t="n">
        <v>0</v>
      </c>
      <c r="R172" t="n">
        <v>65.7</v>
      </c>
      <c r="S172" t="n">
        <v>0</v>
      </c>
      <c r="T172" t="n">
        <v>0</v>
      </c>
      <c r="U172" t="n">
        <v>0</v>
      </c>
      <c r="V172" t="n">
        <v>7.84</v>
      </c>
      <c r="W172" t="n">
        <v>164.64</v>
      </c>
      <c r="X172" t="n">
        <v>156.8</v>
      </c>
      <c r="Y172" t="n">
        <v>19</v>
      </c>
      <c r="Z172" t="n">
        <v>29.79</v>
      </c>
      <c r="AA172" t="n">
        <v>3.03</v>
      </c>
      <c r="AB172" t="n">
        <v>32.82</v>
      </c>
      <c r="AC172" t="n">
        <v>5.91</v>
      </c>
      <c r="AD172" t="n">
        <v>0</v>
      </c>
      <c r="AE172" t="n">
        <v>156.8</v>
      </c>
      <c r="AF172" t="n">
        <v>0</v>
      </c>
      <c r="AG172" t="n">
        <v>0</v>
      </c>
      <c r="AH172" t="n">
        <v>0.16</v>
      </c>
      <c r="AI172" t="n">
        <v>7.85</v>
      </c>
      <c r="AJ172" t="n">
        <v>-0.01</v>
      </c>
      <c r="AK172" t="n">
        <v>13.92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46.74</v>
      </c>
      <c r="AV172" t="n">
        <v>0</v>
      </c>
      <c r="AW172" t="n">
        <v>117.9</v>
      </c>
      <c r="AX172" t="inlineStr">
        <is>
          <t>pending</t>
        </is>
      </c>
      <c r="AY172" t="inlineStr">
        <is>
          <t>NA</t>
        </is>
      </c>
      <c r="AZ172" t="inlineStr">
        <is>
          <t>NA</t>
        </is>
      </c>
      <c r="BA172" t="n">
        <v>117.9</v>
      </c>
      <c r="BB172" t="inlineStr">
        <is>
          <t>553eaded6ee3d10f512e7ecc2a5cf4f65d1cb1e65134cdbe94c2c853b98b3cdd</t>
        </is>
      </c>
    </row>
    <row r="173">
      <c r="A173" t="inlineStr">
        <is>
          <t>168</t>
        </is>
      </c>
      <c r="B173" t="inlineStr">
        <is>
          <t>7731627142</t>
        </is>
      </c>
      <c r="C173" t="inlineStr">
        <is>
          <t>2026-01-30 17:25:53</t>
        </is>
      </c>
      <c r="D173" t="inlineStr">
        <is>
          <t>5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30% off upto ₹75 (2025-06-25 - 2031-01-01)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229</v>
      </c>
      <c r="P173" t="n">
        <v>3.5</v>
      </c>
      <c r="Q173" t="n">
        <v>0</v>
      </c>
      <c r="R173" t="n">
        <v>68.7</v>
      </c>
      <c r="S173" t="n">
        <v>0</v>
      </c>
      <c r="T173" t="n">
        <v>0</v>
      </c>
      <c r="U173" t="n">
        <v>0</v>
      </c>
      <c r="V173" t="n">
        <v>8.19</v>
      </c>
      <c r="W173" t="n">
        <v>171.99</v>
      </c>
      <c r="X173" t="n">
        <v>163.8</v>
      </c>
      <c r="Y173" t="n">
        <v>19</v>
      </c>
      <c r="Z173" t="n">
        <v>31.12</v>
      </c>
      <c r="AA173" t="n">
        <v>3.16</v>
      </c>
      <c r="AB173" t="n">
        <v>34.28</v>
      </c>
      <c r="AC173" t="n">
        <v>6.17</v>
      </c>
      <c r="AD173" t="n">
        <v>0</v>
      </c>
      <c r="AE173" t="n">
        <v>163.8</v>
      </c>
      <c r="AF173" t="n">
        <v>0</v>
      </c>
      <c r="AG173" t="n">
        <v>0</v>
      </c>
      <c r="AH173" t="n">
        <v>0.16</v>
      </c>
      <c r="AI173" t="n">
        <v>8.199999999999999</v>
      </c>
      <c r="AJ173" t="n">
        <v>-0.01</v>
      </c>
      <c r="AK173" t="n">
        <v>14.53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48.81</v>
      </c>
      <c r="AV173" t="n">
        <v>0</v>
      </c>
      <c r="AW173" t="n">
        <v>123.18</v>
      </c>
      <c r="AX173" t="inlineStr">
        <is>
          <t>pending</t>
        </is>
      </c>
      <c r="AY173" t="inlineStr">
        <is>
          <t>NA</t>
        </is>
      </c>
      <c r="AZ173" t="inlineStr">
        <is>
          <t>NA</t>
        </is>
      </c>
      <c r="BA173" t="n">
        <v>123.18</v>
      </c>
      <c r="BB173" t="inlineStr">
        <is>
          <t>a413b8de8ea81fdf51fd35a2b64ba6005c14068f24bf229b8d439d0f5b055fef</t>
        </is>
      </c>
    </row>
    <row r="174">
      <c r="A174" t="inlineStr">
        <is>
          <t>169</t>
        </is>
      </c>
      <c r="B174" t="inlineStr">
        <is>
          <t>7738410500</t>
        </is>
      </c>
      <c r="C174" t="inlineStr">
        <is>
          <t>2026-01-30 18:17:37</t>
        </is>
      </c>
      <c r="D174" t="inlineStr">
        <is>
          <t>5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229</v>
      </c>
      <c r="P174" t="n">
        <v>3.5</v>
      </c>
      <c r="Q174" t="n">
        <v>0</v>
      </c>
      <c r="R174" t="n">
        <v>68.7</v>
      </c>
      <c r="S174" t="n">
        <v>0</v>
      </c>
      <c r="T174" t="n">
        <v>0</v>
      </c>
      <c r="U174" t="n">
        <v>0</v>
      </c>
      <c r="V174" t="n">
        <v>8.19</v>
      </c>
      <c r="W174" t="n">
        <v>171.99</v>
      </c>
      <c r="X174" t="n">
        <v>163.8</v>
      </c>
      <c r="Y174" t="n">
        <v>19</v>
      </c>
      <c r="Z174" t="n">
        <v>31.12</v>
      </c>
      <c r="AA174" t="n">
        <v>3.16</v>
      </c>
      <c r="AB174" t="n">
        <v>34.28</v>
      </c>
      <c r="AC174" t="n">
        <v>6.17</v>
      </c>
      <c r="AD174" t="n">
        <v>0</v>
      </c>
      <c r="AE174" t="n">
        <v>163.8</v>
      </c>
      <c r="AF174" t="n">
        <v>0</v>
      </c>
      <c r="AG174" t="n">
        <v>0</v>
      </c>
      <c r="AH174" t="n">
        <v>0.16</v>
      </c>
      <c r="AI174" t="n">
        <v>8.199999999999999</v>
      </c>
      <c r="AJ174" t="n">
        <v>-0.01</v>
      </c>
      <c r="AK174" t="n">
        <v>14.53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48.81</v>
      </c>
      <c r="AV174" t="n">
        <v>0</v>
      </c>
      <c r="AW174" t="n">
        <v>123.18</v>
      </c>
      <c r="AX174" t="inlineStr">
        <is>
          <t>pending</t>
        </is>
      </c>
      <c r="AY174" t="inlineStr">
        <is>
          <t>NA</t>
        </is>
      </c>
      <c r="AZ174" t="inlineStr">
        <is>
          <t>NA</t>
        </is>
      </c>
      <c r="BA174" t="n">
        <v>123.18</v>
      </c>
      <c r="BB174" t="inlineStr">
        <is>
          <t>65b08775a3a8b7376a3c9a6279b29729c739e83aff330bad2a8e203e8b67987f</t>
        </is>
      </c>
    </row>
    <row r="175">
      <c r="A175" t="inlineStr">
        <is>
          <t>170</t>
        </is>
      </c>
      <c r="B175" t="inlineStr">
        <is>
          <t>7736633519</t>
        </is>
      </c>
      <c r="C175" t="inlineStr">
        <is>
          <t>2026-01-30 18:28:23</t>
        </is>
      </c>
      <c r="D175" t="inlineStr">
        <is>
          <t>5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518</v>
      </c>
      <c r="P175" t="n">
        <v>3.5</v>
      </c>
      <c r="Q175" t="n">
        <v>0</v>
      </c>
      <c r="R175" t="n">
        <v>75</v>
      </c>
      <c r="S175" t="n">
        <v>0</v>
      </c>
      <c r="T175" t="n">
        <v>0</v>
      </c>
      <c r="U175" t="n">
        <v>0</v>
      </c>
      <c r="V175" t="n">
        <v>22.33</v>
      </c>
      <c r="W175" t="n">
        <v>468.83</v>
      </c>
      <c r="X175" t="n">
        <v>446.5</v>
      </c>
      <c r="Y175" t="n">
        <v>19</v>
      </c>
      <c r="Z175" t="n">
        <v>84.84</v>
      </c>
      <c r="AA175" t="n">
        <v>8.630000000000001</v>
      </c>
      <c r="AB175" t="n">
        <v>93.47</v>
      </c>
      <c r="AC175" t="n">
        <v>16.82</v>
      </c>
      <c r="AD175" t="n">
        <v>0</v>
      </c>
      <c r="AE175" t="n">
        <v>446.5</v>
      </c>
      <c r="AF175" t="n">
        <v>0</v>
      </c>
      <c r="AG175" t="n">
        <v>0</v>
      </c>
      <c r="AH175" t="n">
        <v>0.45</v>
      </c>
      <c r="AI175" t="n">
        <v>22.33</v>
      </c>
      <c r="AJ175" t="n">
        <v>0</v>
      </c>
      <c r="AK175" t="n">
        <v>39.6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133.07</v>
      </c>
      <c r="AV175" t="n">
        <v>0</v>
      </c>
      <c r="AW175" t="n">
        <v>335.76</v>
      </c>
      <c r="AX175" t="inlineStr">
        <is>
          <t>pending</t>
        </is>
      </c>
      <c r="AY175" t="inlineStr">
        <is>
          <t>NA</t>
        </is>
      </c>
      <c r="AZ175" t="inlineStr">
        <is>
          <t>NA</t>
        </is>
      </c>
      <c r="BA175" t="n">
        <v>335.76</v>
      </c>
      <c r="BB175" t="inlineStr">
        <is>
          <t>a525d62536eafffa03bb199758766e82578f49a5823612411d239bae24fb6536</t>
        </is>
      </c>
    </row>
    <row r="176">
      <c r="A176" t="inlineStr">
        <is>
          <t>171</t>
        </is>
      </c>
      <c r="B176" t="inlineStr">
        <is>
          <t>7744514172</t>
        </is>
      </c>
      <c r="C176" t="inlineStr">
        <is>
          <t>2026-01-30 19:27:13</t>
        </is>
      </c>
      <c r="D176" t="inlineStr">
        <is>
          <t>5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NA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229</v>
      </c>
      <c r="P176" t="n">
        <v>3.5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11.63</v>
      </c>
      <c r="W176" t="n">
        <v>244.13</v>
      </c>
      <c r="X176" t="n">
        <v>232.5</v>
      </c>
      <c r="Y176" t="n">
        <v>19</v>
      </c>
      <c r="Z176" t="n">
        <v>44.18</v>
      </c>
      <c r="AA176" t="n">
        <v>4.49</v>
      </c>
      <c r="AB176" t="n">
        <v>48.67</v>
      </c>
      <c r="AC176" t="n">
        <v>8.76</v>
      </c>
      <c r="AD176" t="n">
        <v>0</v>
      </c>
      <c r="AE176" t="n">
        <v>232.5</v>
      </c>
      <c r="AF176" t="n">
        <v>0</v>
      </c>
      <c r="AG176" t="n">
        <v>0</v>
      </c>
      <c r="AH176" t="n">
        <v>0.23</v>
      </c>
      <c r="AI176" t="n">
        <v>11.63</v>
      </c>
      <c r="AJ176" t="n">
        <v>0</v>
      </c>
      <c r="AK176" t="n">
        <v>20.62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69.29000000000001</v>
      </c>
      <c r="AV176" t="n">
        <v>0</v>
      </c>
      <c r="AW176" t="n">
        <v>174.84</v>
      </c>
      <c r="AX176" t="inlineStr">
        <is>
          <t>pending</t>
        </is>
      </c>
      <c r="AY176" t="inlineStr">
        <is>
          <t>NA</t>
        </is>
      </c>
      <c r="AZ176" t="inlineStr">
        <is>
          <t>NA</t>
        </is>
      </c>
      <c r="BA176" t="n">
        <v>174.84</v>
      </c>
      <c r="BB176" t="inlineStr">
        <is>
          <t>27b97466b5e9fd26612a2e0a7f45ee11edab64a1d291e7fd67b3f453b2531d0b</t>
        </is>
      </c>
    </row>
    <row r="177">
      <c r="A177" t="inlineStr">
        <is>
          <t>172</t>
        </is>
      </c>
      <c r="B177" t="inlineStr">
        <is>
          <t>7744804692</t>
        </is>
      </c>
      <c r="C177" t="inlineStr">
        <is>
          <t>2026-01-30 19:27:59</t>
        </is>
      </c>
      <c r="D177" t="inlineStr">
        <is>
          <t>5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229</v>
      </c>
      <c r="P177" t="n">
        <v>3.5</v>
      </c>
      <c r="Q177" t="n">
        <v>0</v>
      </c>
      <c r="R177" t="n">
        <v>68.7</v>
      </c>
      <c r="S177" t="n">
        <v>0</v>
      </c>
      <c r="T177" t="n">
        <v>0</v>
      </c>
      <c r="U177" t="n">
        <v>0</v>
      </c>
      <c r="V177" t="n">
        <v>8.19</v>
      </c>
      <c r="W177" t="n">
        <v>171.99</v>
      </c>
      <c r="X177" t="n">
        <v>163.8</v>
      </c>
      <c r="Y177" t="n">
        <v>19</v>
      </c>
      <c r="Z177" t="n">
        <v>31.12</v>
      </c>
      <c r="AA177" t="n">
        <v>3.16</v>
      </c>
      <c r="AB177" t="n">
        <v>34.28</v>
      </c>
      <c r="AC177" t="n">
        <v>6.17</v>
      </c>
      <c r="AD177" t="n">
        <v>0</v>
      </c>
      <c r="AE177" t="n">
        <v>163.8</v>
      </c>
      <c r="AF177" t="n">
        <v>0</v>
      </c>
      <c r="AG177" t="n">
        <v>0</v>
      </c>
      <c r="AH177" t="n">
        <v>0.16</v>
      </c>
      <c r="AI177" t="n">
        <v>8.199999999999999</v>
      </c>
      <c r="AJ177" t="n">
        <v>-0.01</v>
      </c>
      <c r="AK177" t="n">
        <v>14.53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48.81</v>
      </c>
      <c r="AV177" t="n">
        <v>0</v>
      </c>
      <c r="AW177" t="n">
        <v>123.18</v>
      </c>
      <c r="AX177" t="inlineStr">
        <is>
          <t>pending</t>
        </is>
      </c>
      <c r="AY177" t="inlineStr">
        <is>
          <t>NA</t>
        </is>
      </c>
      <c r="AZ177" t="inlineStr">
        <is>
          <t>NA</t>
        </is>
      </c>
      <c r="BA177" t="n">
        <v>123.18</v>
      </c>
      <c r="BB177" t="inlineStr">
        <is>
          <t>9e37458de75b8ff6b1e1d8a5f20957995fc0c5cece4cbb8c284bb0440ef0cd07</t>
        </is>
      </c>
    </row>
    <row r="178">
      <c r="A178" t="inlineStr">
        <is>
          <t>173</t>
        </is>
      </c>
      <c r="B178" t="inlineStr">
        <is>
          <t>7742327323</t>
        </is>
      </c>
      <c r="C178" t="inlineStr">
        <is>
          <t>2026-01-30 20:10:48</t>
        </is>
      </c>
      <c r="D178" t="inlineStr">
        <is>
          <t>5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NA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229</v>
      </c>
      <c r="P178" t="n">
        <v>3.5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11.63</v>
      </c>
      <c r="W178" t="n">
        <v>244.13</v>
      </c>
      <c r="X178" t="n">
        <v>232.5</v>
      </c>
      <c r="Y178" t="n">
        <v>19</v>
      </c>
      <c r="Z178" t="n">
        <v>44.18</v>
      </c>
      <c r="AA178" t="n">
        <v>4.49</v>
      </c>
      <c r="AB178" t="n">
        <v>48.67</v>
      </c>
      <c r="AC178" t="n">
        <v>8.76</v>
      </c>
      <c r="AD178" t="n">
        <v>0</v>
      </c>
      <c r="AE178" t="n">
        <v>232.5</v>
      </c>
      <c r="AF178" t="n">
        <v>0</v>
      </c>
      <c r="AG178" t="n">
        <v>0</v>
      </c>
      <c r="AH178" t="n">
        <v>0.23</v>
      </c>
      <c r="AI178" t="n">
        <v>11.63</v>
      </c>
      <c r="AJ178" t="n">
        <v>0</v>
      </c>
      <c r="AK178" t="n">
        <v>20.62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69.29000000000001</v>
      </c>
      <c r="AV178" t="n">
        <v>0</v>
      </c>
      <c r="AW178" t="n">
        <v>174.84</v>
      </c>
      <c r="AX178" t="inlineStr">
        <is>
          <t>pending</t>
        </is>
      </c>
      <c r="AY178" t="inlineStr">
        <is>
          <t>NA</t>
        </is>
      </c>
      <c r="AZ178" t="inlineStr">
        <is>
          <t>NA</t>
        </is>
      </c>
      <c r="BA178" t="n">
        <v>174.84</v>
      </c>
      <c r="BB178" t="inlineStr">
        <is>
          <t>836c30b225cb8e32c60b15e313d3ae5e61e31fa3b7de119d0701ce94a11afca0</t>
        </is>
      </c>
    </row>
    <row r="179">
      <c r="A179" t="inlineStr">
        <is>
          <t>174</t>
        </is>
      </c>
      <c r="B179" t="inlineStr">
        <is>
          <t>7745847236</t>
        </is>
      </c>
      <c r="C179" t="inlineStr">
        <is>
          <t>2026-01-30 20:48:43</t>
        </is>
      </c>
      <c r="D179" t="inlineStr">
        <is>
          <t>5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219</v>
      </c>
      <c r="P179" t="n">
        <v>3.5</v>
      </c>
      <c r="Q179" t="n">
        <v>0</v>
      </c>
      <c r="R179" t="n">
        <v>65.7</v>
      </c>
      <c r="S179" t="n">
        <v>0</v>
      </c>
      <c r="T179" t="n">
        <v>0</v>
      </c>
      <c r="U179" t="n">
        <v>0</v>
      </c>
      <c r="V179" t="n">
        <v>7.84</v>
      </c>
      <c r="W179" t="n">
        <v>164.64</v>
      </c>
      <c r="X179" t="n">
        <v>156.8</v>
      </c>
      <c r="Y179" t="n">
        <v>19</v>
      </c>
      <c r="Z179" t="n">
        <v>29.79</v>
      </c>
      <c r="AA179" t="n">
        <v>3.03</v>
      </c>
      <c r="AB179" t="n">
        <v>32.82</v>
      </c>
      <c r="AC179" t="n">
        <v>5.91</v>
      </c>
      <c r="AD179" t="n">
        <v>0</v>
      </c>
      <c r="AE179" t="n">
        <v>156.8</v>
      </c>
      <c r="AF179" t="n">
        <v>0</v>
      </c>
      <c r="AG179" t="n">
        <v>0</v>
      </c>
      <c r="AH179" t="n">
        <v>0.16</v>
      </c>
      <c r="AI179" t="n">
        <v>7.85</v>
      </c>
      <c r="AJ179" t="n">
        <v>-0.01</v>
      </c>
      <c r="AK179" t="n">
        <v>13.92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46.74</v>
      </c>
      <c r="AV179" t="n">
        <v>0</v>
      </c>
      <c r="AW179" t="n">
        <v>117.9</v>
      </c>
      <c r="AX179" t="inlineStr">
        <is>
          <t>pending</t>
        </is>
      </c>
      <c r="AY179" t="inlineStr">
        <is>
          <t>NA</t>
        </is>
      </c>
      <c r="AZ179" t="inlineStr">
        <is>
          <t>NA</t>
        </is>
      </c>
      <c r="BA179" t="n">
        <v>117.9</v>
      </c>
      <c r="BB179" t="inlineStr">
        <is>
          <t>7f51d14f63eab287d1a485239afbc492c5460b44948fee5eca9704a9a21a9374</t>
        </is>
      </c>
    </row>
    <row r="180">
      <c r="A180" t="inlineStr">
        <is>
          <t>175</t>
        </is>
      </c>
      <c r="B180" t="inlineStr">
        <is>
          <t>7743517404</t>
        </is>
      </c>
      <c r="C180" t="inlineStr">
        <is>
          <t>2026-01-30 20:53:51</t>
        </is>
      </c>
      <c r="D180" t="inlineStr">
        <is>
          <t>5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NA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448</v>
      </c>
      <c r="P180" t="n">
        <v>3.5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22.58</v>
      </c>
      <c r="W180" t="n">
        <v>474.08</v>
      </c>
      <c r="X180" t="n">
        <v>451.5</v>
      </c>
      <c r="Y180" t="n">
        <v>19</v>
      </c>
      <c r="Z180" t="n">
        <v>85.78</v>
      </c>
      <c r="AA180" t="n">
        <v>8.720000000000001</v>
      </c>
      <c r="AB180" t="n">
        <v>94.5</v>
      </c>
      <c r="AC180" t="n">
        <v>17.01</v>
      </c>
      <c r="AD180" t="n">
        <v>0</v>
      </c>
      <c r="AE180" t="n">
        <v>451.5</v>
      </c>
      <c r="AF180" t="n">
        <v>0</v>
      </c>
      <c r="AG180" t="n">
        <v>0</v>
      </c>
      <c r="AH180" t="n">
        <v>0.45</v>
      </c>
      <c r="AI180" t="n">
        <v>22.58</v>
      </c>
      <c r="AJ180" t="n">
        <v>0</v>
      </c>
      <c r="AK180" t="n">
        <v>40.04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134.54</v>
      </c>
      <c r="AV180" t="n">
        <v>0</v>
      </c>
      <c r="AW180" t="n">
        <v>339.54</v>
      </c>
      <c r="AX180" t="inlineStr">
        <is>
          <t>pending</t>
        </is>
      </c>
      <c r="AY180" t="inlineStr">
        <is>
          <t>NA</t>
        </is>
      </c>
      <c r="AZ180" t="inlineStr">
        <is>
          <t>NA</t>
        </is>
      </c>
      <c r="BA180" t="n">
        <v>339.54</v>
      </c>
      <c r="BB180" t="inlineStr">
        <is>
          <t>d70e4c6a3ea62199f224364ad8b91adfb4227467590c73a01055f99aae9e2700</t>
        </is>
      </c>
    </row>
    <row r="181">
      <c r="A181" t="inlineStr">
        <is>
          <t>176</t>
        </is>
      </c>
      <c r="B181" t="inlineStr">
        <is>
          <t>7741066276</t>
        </is>
      </c>
      <c r="C181" t="inlineStr">
        <is>
          <t>2026-01-30 20:56:14</t>
        </is>
      </c>
      <c r="D181" t="inlineStr">
        <is>
          <t>5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448</v>
      </c>
      <c r="P181" t="n">
        <v>3.5</v>
      </c>
      <c r="Q181" t="n">
        <v>0</v>
      </c>
      <c r="R181" t="n">
        <v>75</v>
      </c>
      <c r="S181" t="n">
        <v>0</v>
      </c>
      <c r="T181" t="n">
        <v>0</v>
      </c>
      <c r="U181" t="n">
        <v>0</v>
      </c>
      <c r="V181" t="n">
        <v>18.83</v>
      </c>
      <c r="W181" t="n">
        <v>395.33</v>
      </c>
      <c r="X181" t="n">
        <v>376.5</v>
      </c>
      <c r="Y181" t="n">
        <v>19</v>
      </c>
      <c r="Z181" t="n">
        <v>71.54000000000001</v>
      </c>
      <c r="AA181" t="n">
        <v>7.27</v>
      </c>
      <c r="AB181" t="n">
        <v>78.81</v>
      </c>
      <c r="AC181" t="n">
        <v>14.19</v>
      </c>
      <c r="AD181" t="n">
        <v>0</v>
      </c>
      <c r="AE181" t="n">
        <v>376.5</v>
      </c>
      <c r="AF181" t="n">
        <v>0</v>
      </c>
      <c r="AG181" t="n">
        <v>0</v>
      </c>
      <c r="AH181" t="n">
        <v>0.38</v>
      </c>
      <c r="AI181" t="n">
        <v>18.83</v>
      </c>
      <c r="AJ181" t="n">
        <v>0</v>
      </c>
      <c r="AK181" t="n">
        <v>33.4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112.21</v>
      </c>
      <c r="AV181" t="n">
        <v>0</v>
      </c>
      <c r="AW181" t="n">
        <v>283.12</v>
      </c>
      <c r="AX181" t="inlineStr">
        <is>
          <t>pending</t>
        </is>
      </c>
      <c r="AY181" t="inlineStr">
        <is>
          <t>NA</t>
        </is>
      </c>
      <c r="AZ181" t="inlineStr">
        <is>
          <t>NA</t>
        </is>
      </c>
      <c r="BA181" t="n">
        <v>283.12</v>
      </c>
      <c r="BB181" t="inlineStr">
        <is>
          <t>deedba66679e1b8c723820ed6167adf2b81d4a2a9f7f281f47a5c027253041bd</t>
        </is>
      </c>
    </row>
    <row r="182">
      <c r="A182" t="inlineStr">
        <is>
          <t>177</t>
        </is>
      </c>
      <c r="B182" t="inlineStr">
        <is>
          <t>7745509097</t>
        </is>
      </c>
      <c r="C182" t="inlineStr">
        <is>
          <t>2026-01-30 20:57:27</t>
        </is>
      </c>
      <c r="D182" t="inlineStr">
        <is>
          <t>5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NA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229</v>
      </c>
      <c r="P182" t="n">
        <v>3.5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11.63</v>
      </c>
      <c r="W182" t="n">
        <v>244.13</v>
      </c>
      <c r="X182" t="n">
        <v>232.5</v>
      </c>
      <c r="Y182" t="n">
        <v>19</v>
      </c>
      <c r="Z182" t="n">
        <v>44.18</v>
      </c>
      <c r="AA182" t="n">
        <v>4.49</v>
      </c>
      <c r="AB182" t="n">
        <v>48.67</v>
      </c>
      <c r="AC182" t="n">
        <v>8.76</v>
      </c>
      <c r="AD182" t="n">
        <v>0</v>
      </c>
      <c r="AE182" t="n">
        <v>232.5</v>
      </c>
      <c r="AF182" t="n">
        <v>0</v>
      </c>
      <c r="AG182" t="n">
        <v>0</v>
      </c>
      <c r="AH182" t="n">
        <v>0.23</v>
      </c>
      <c r="AI182" t="n">
        <v>11.63</v>
      </c>
      <c r="AJ182" t="n">
        <v>0</v>
      </c>
      <c r="AK182" t="n">
        <v>20.62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69.29000000000001</v>
      </c>
      <c r="AV182" t="n">
        <v>0</v>
      </c>
      <c r="AW182" t="n">
        <v>174.84</v>
      </c>
      <c r="AX182" t="inlineStr">
        <is>
          <t>pending</t>
        </is>
      </c>
      <c r="AY182" t="inlineStr">
        <is>
          <t>NA</t>
        </is>
      </c>
      <c r="AZ182" t="inlineStr">
        <is>
          <t>NA</t>
        </is>
      </c>
      <c r="BA182" t="n">
        <v>174.84</v>
      </c>
      <c r="BB182" t="inlineStr">
        <is>
          <t>424b9f8ac89a56249700eff2d12e13bac28c5c405d0a157752a7457eb4b28697</t>
        </is>
      </c>
    </row>
    <row r="183">
      <c r="A183" t="inlineStr">
        <is>
          <t>178</t>
        </is>
      </c>
      <c r="B183" t="inlineStr">
        <is>
          <t>7738181675</t>
        </is>
      </c>
      <c r="C183" t="inlineStr">
        <is>
          <t>2026-01-30 20:59:03</t>
        </is>
      </c>
      <c r="D183" t="inlineStr">
        <is>
          <t>5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567</v>
      </c>
      <c r="P183" t="n">
        <v>3.5</v>
      </c>
      <c r="Q183" t="n">
        <v>0</v>
      </c>
      <c r="R183" t="n">
        <v>75</v>
      </c>
      <c r="S183" t="n">
        <v>0</v>
      </c>
      <c r="T183" t="n">
        <v>0</v>
      </c>
      <c r="U183" t="n">
        <v>0</v>
      </c>
      <c r="V183" t="n">
        <v>24.78</v>
      </c>
      <c r="W183" t="n">
        <v>520.28</v>
      </c>
      <c r="X183" t="n">
        <v>495.5</v>
      </c>
      <c r="Y183" t="n">
        <v>19</v>
      </c>
      <c r="Z183" t="n">
        <v>94.14</v>
      </c>
      <c r="AA183" t="n">
        <v>9.57</v>
      </c>
      <c r="AB183" t="n">
        <v>103.71</v>
      </c>
      <c r="AC183" t="n">
        <v>18.67</v>
      </c>
      <c r="AD183" t="n">
        <v>0</v>
      </c>
      <c r="AE183" t="n">
        <v>495.5</v>
      </c>
      <c r="AF183" t="n">
        <v>0</v>
      </c>
      <c r="AG183" t="n">
        <v>0</v>
      </c>
      <c r="AH183" t="n">
        <v>0.5</v>
      </c>
      <c r="AI183" t="n">
        <v>24.78</v>
      </c>
      <c r="AJ183" t="n">
        <v>0</v>
      </c>
      <c r="AK183" t="n">
        <v>43.95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147.66</v>
      </c>
      <c r="AV183" t="n">
        <v>0</v>
      </c>
      <c r="AW183" t="n">
        <v>372.62</v>
      </c>
      <c r="AX183" t="inlineStr">
        <is>
          <t>pending</t>
        </is>
      </c>
      <c r="AY183" t="inlineStr">
        <is>
          <t>NA</t>
        </is>
      </c>
      <c r="AZ183" t="inlineStr">
        <is>
          <t>NA</t>
        </is>
      </c>
      <c r="BA183" t="n">
        <v>372.62</v>
      </c>
      <c r="BB183" t="inlineStr">
        <is>
          <t>56330e7a44f11b82d0aae4d40f30feef8f809b0389c36b0e1ee9be287fca612c</t>
        </is>
      </c>
    </row>
    <row r="184">
      <c r="A184" t="inlineStr">
        <is>
          <t>179</t>
        </is>
      </c>
      <c r="B184" t="inlineStr">
        <is>
          <t>7745948205</t>
        </is>
      </c>
      <c r="C184" t="inlineStr">
        <is>
          <t>2026-01-30 21:33:59</t>
        </is>
      </c>
      <c r="D184" t="inlineStr">
        <is>
          <t>5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30% off upto ₹75 (2025-06-25 - 2031-01-01)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289</v>
      </c>
      <c r="P184" t="n">
        <v>3.5</v>
      </c>
      <c r="Q184" t="n">
        <v>0</v>
      </c>
      <c r="R184" t="n">
        <v>75</v>
      </c>
      <c r="S184" t="n">
        <v>0</v>
      </c>
      <c r="T184" t="n">
        <v>0</v>
      </c>
      <c r="U184" t="n">
        <v>0</v>
      </c>
      <c r="V184" t="n">
        <v>10.88</v>
      </c>
      <c r="W184" t="n">
        <v>228.38</v>
      </c>
      <c r="X184" t="n">
        <v>217.5</v>
      </c>
      <c r="Y184" t="n">
        <v>19</v>
      </c>
      <c r="Z184" t="n">
        <v>41.32</v>
      </c>
      <c r="AA184" t="n">
        <v>4.2</v>
      </c>
      <c r="AB184" t="n">
        <v>45.52</v>
      </c>
      <c r="AC184" t="n">
        <v>8.199999999999999</v>
      </c>
      <c r="AD184" t="n">
        <v>0</v>
      </c>
      <c r="AE184" t="n">
        <v>217.5</v>
      </c>
      <c r="AF184" t="n">
        <v>0</v>
      </c>
      <c r="AG184" t="n">
        <v>0</v>
      </c>
      <c r="AH184" t="n">
        <v>0.22</v>
      </c>
      <c r="AI184" t="n">
        <v>10.88</v>
      </c>
      <c r="AJ184" t="n">
        <v>0</v>
      </c>
      <c r="AK184" t="n">
        <v>19.3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64.81999999999999</v>
      </c>
      <c r="AV184" t="n">
        <v>0</v>
      </c>
      <c r="AW184" t="n">
        <v>163.56</v>
      </c>
      <c r="AX184" t="inlineStr">
        <is>
          <t>pending</t>
        </is>
      </c>
      <c r="AY184" t="inlineStr">
        <is>
          <t>NA</t>
        </is>
      </c>
      <c r="AZ184" t="inlineStr">
        <is>
          <t>NA</t>
        </is>
      </c>
      <c r="BA184" t="n">
        <v>163.56</v>
      </c>
      <c r="BB184" t="inlineStr">
        <is>
          <t>8b56a6d205f1c0357f5c6b3c1417d9c45115dd46c14ca231d63a20d610dee871</t>
        </is>
      </c>
    </row>
    <row r="185">
      <c r="A185" t="inlineStr">
        <is>
          <t>180</t>
        </is>
      </c>
      <c r="B185" t="inlineStr">
        <is>
          <t>7742435675</t>
        </is>
      </c>
      <c r="C185" t="inlineStr">
        <is>
          <t>2026-01-30 21:37:31</t>
        </is>
      </c>
      <c r="D185" t="inlineStr">
        <is>
          <t>5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NA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229</v>
      </c>
      <c r="P185" t="n">
        <v>3.5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11.63</v>
      </c>
      <c r="W185" t="n">
        <v>244.13</v>
      </c>
      <c r="X185" t="n">
        <v>232.5</v>
      </c>
      <c r="Y185" t="n">
        <v>19</v>
      </c>
      <c r="Z185" t="n">
        <v>44.18</v>
      </c>
      <c r="AA185" t="n">
        <v>4.49</v>
      </c>
      <c r="AB185" t="n">
        <v>48.67</v>
      </c>
      <c r="AC185" t="n">
        <v>8.76</v>
      </c>
      <c r="AD185" t="n">
        <v>0</v>
      </c>
      <c r="AE185" t="n">
        <v>232.5</v>
      </c>
      <c r="AF185" t="n">
        <v>0</v>
      </c>
      <c r="AG185" t="n">
        <v>0</v>
      </c>
      <c r="AH185" t="n">
        <v>0.23</v>
      </c>
      <c r="AI185" t="n">
        <v>11.63</v>
      </c>
      <c r="AJ185" t="n">
        <v>0</v>
      </c>
      <c r="AK185" t="n">
        <v>20.62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69.29000000000001</v>
      </c>
      <c r="AV185" t="n">
        <v>0</v>
      </c>
      <c r="AW185" t="n">
        <v>174.84</v>
      </c>
      <c r="AX185" t="inlineStr">
        <is>
          <t>pending</t>
        </is>
      </c>
      <c r="AY185" t="inlineStr">
        <is>
          <t>NA</t>
        </is>
      </c>
      <c r="AZ185" t="inlineStr">
        <is>
          <t>NA</t>
        </is>
      </c>
      <c r="BA185" t="n">
        <v>174.84</v>
      </c>
      <c r="BB185" t="inlineStr">
        <is>
          <t>61616f9d789b64e78695cd86fa93bc5d06532a6ce6b0a6a3b4e3706d20b3146f</t>
        </is>
      </c>
    </row>
    <row r="186">
      <c r="A186" t="inlineStr">
        <is>
          <t>181</t>
        </is>
      </c>
      <c r="B186" t="inlineStr">
        <is>
          <t>7739677008</t>
        </is>
      </c>
      <c r="C186" t="inlineStr">
        <is>
          <t>2026-01-30 22:51:28</t>
        </is>
      </c>
      <c r="D186" t="inlineStr">
        <is>
          <t>5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30% off upto ₹75 (2025-06-25 - 2031-01-01)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458</v>
      </c>
      <c r="P186" t="n">
        <v>3.5</v>
      </c>
      <c r="Q186" t="n">
        <v>0</v>
      </c>
      <c r="R186" t="n">
        <v>75</v>
      </c>
      <c r="S186" t="n">
        <v>0</v>
      </c>
      <c r="T186" t="n">
        <v>0</v>
      </c>
      <c r="U186" t="n">
        <v>0</v>
      </c>
      <c r="V186" t="n">
        <v>19.33</v>
      </c>
      <c r="W186" t="n">
        <v>405.83</v>
      </c>
      <c r="X186" t="n">
        <v>386.5</v>
      </c>
      <c r="Y186" t="n">
        <v>19</v>
      </c>
      <c r="Z186" t="n">
        <v>73.44</v>
      </c>
      <c r="AA186" t="n">
        <v>7.47</v>
      </c>
      <c r="AB186" t="n">
        <v>80.91</v>
      </c>
      <c r="AC186" t="n">
        <v>14.56</v>
      </c>
      <c r="AD186" t="n">
        <v>0</v>
      </c>
      <c r="AE186" t="n">
        <v>386.5</v>
      </c>
      <c r="AF186" t="n">
        <v>0</v>
      </c>
      <c r="AG186" t="n">
        <v>0</v>
      </c>
      <c r="AH186" t="n">
        <v>0.39</v>
      </c>
      <c r="AI186" t="n">
        <v>19.33</v>
      </c>
      <c r="AJ186" t="n">
        <v>0</v>
      </c>
      <c r="AK186" t="n">
        <v>34.28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115.19</v>
      </c>
      <c r="AV186" t="n">
        <v>0</v>
      </c>
      <c r="AW186" t="n">
        <v>290.64</v>
      </c>
      <c r="AX186" t="inlineStr">
        <is>
          <t>pending</t>
        </is>
      </c>
      <c r="AY186" t="inlineStr">
        <is>
          <t>NA</t>
        </is>
      </c>
      <c r="AZ186" t="inlineStr">
        <is>
          <t>NA</t>
        </is>
      </c>
      <c r="BA186" t="n">
        <v>290.64</v>
      </c>
      <c r="BB186" t="inlineStr">
        <is>
          <t>3b21cb2513108f1afda0632bdf7474112c3599a078912dadfd99fcc344af013b</t>
        </is>
      </c>
    </row>
    <row r="187">
      <c r="A187" t="inlineStr">
        <is>
          <t>182</t>
        </is>
      </c>
      <c r="B187" t="inlineStr">
        <is>
          <t>7744077647</t>
        </is>
      </c>
      <c r="C187" t="inlineStr">
        <is>
          <t>2026-01-30 23:15:51</t>
        </is>
      </c>
      <c r="D187" t="inlineStr">
        <is>
          <t>5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30% off upto ₹75 (2025-06-25 - 2031-01-01)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219</v>
      </c>
      <c r="P187" t="n">
        <v>3.5</v>
      </c>
      <c r="Q187" t="n">
        <v>0</v>
      </c>
      <c r="R187" t="n">
        <v>65.7</v>
      </c>
      <c r="S187" t="n">
        <v>0</v>
      </c>
      <c r="T187" t="n">
        <v>0</v>
      </c>
      <c r="U187" t="n">
        <v>0</v>
      </c>
      <c r="V187" t="n">
        <v>7.84</v>
      </c>
      <c r="W187" t="n">
        <v>164.64</v>
      </c>
      <c r="X187" t="n">
        <v>156.8</v>
      </c>
      <c r="Y187" t="n">
        <v>19</v>
      </c>
      <c r="Z187" t="n">
        <v>29.79</v>
      </c>
      <c r="AA187" t="n">
        <v>3.03</v>
      </c>
      <c r="AB187" t="n">
        <v>32.82</v>
      </c>
      <c r="AC187" t="n">
        <v>5.91</v>
      </c>
      <c r="AD187" t="n">
        <v>0</v>
      </c>
      <c r="AE187" t="n">
        <v>156.8</v>
      </c>
      <c r="AF187" t="n">
        <v>0</v>
      </c>
      <c r="AG187" t="n">
        <v>0</v>
      </c>
      <c r="AH187" t="n">
        <v>0.16</v>
      </c>
      <c r="AI187" t="n">
        <v>7.85</v>
      </c>
      <c r="AJ187" t="n">
        <v>-0.01</v>
      </c>
      <c r="AK187" t="n">
        <v>13.92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46.74</v>
      </c>
      <c r="AV187" t="n">
        <v>0</v>
      </c>
      <c r="AW187" t="n">
        <v>117.9</v>
      </c>
      <c r="AX187" t="inlineStr">
        <is>
          <t>pending</t>
        </is>
      </c>
      <c r="AY187" t="inlineStr">
        <is>
          <t>NA</t>
        </is>
      </c>
      <c r="AZ187" t="inlineStr">
        <is>
          <t>NA</t>
        </is>
      </c>
      <c r="BA187" t="n">
        <v>117.9</v>
      </c>
      <c r="BB187" t="inlineStr">
        <is>
          <t>6a5ff75377241b33d8ded3246bcbf5f72a5588997271bc4a2164e17fbd7ec25b</t>
        </is>
      </c>
    </row>
    <row r="188">
      <c r="A188" t="inlineStr">
        <is>
          <t>183</t>
        </is>
      </c>
      <c r="B188" t="inlineStr">
        <is>
          <t>7745411777</t>
        </is>
      </c>
      <c r="C188" t="inlineStr">
        <is>
          <t>2026-01-30 23:16:40</t>
        </is>
      </c>
      <c r="D188" t="inlineStr">
        <is>
          <t>5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229</v>
      </c>
      <c r="P188" t="n">
        <v>3.5</v>
      </c>
      <c r="Q188" t="n">
        <v>0</v>
      </c>
      <c r="R188" t="n">
        <v>68.7</v>
      </c>
      <c r="S188" t="n">
        <v>0</v>
      </c>
      <c r="T188" t="n">
        <v>0</v>
      </c>
      <c r="U188" t="n">
        <v>0</v>
      </c>
      <c r="V188" t="n">
        <v>8.19</v>
      </c>
      <c r="W188" t="n">
        <v>171.99</v>
      </c>
      <c r="X188" t="n">
        <v>163.8</v>
      </c>
      <c r="Y188" t="n">
        <v>19</v>
      </c>
      <c r="Z188" t="n">
        <v>31.12</v>
      </c>
      <c r="AA188" t="n">
        <v>3.16</v>
      </c>
      <c r="AB188" t="n">
        <v>34.28</v>
      </c>
      <c r="AC188" t="n">
        <v>6.17</v>
      </c>
      <c r="AD188" t="n">
        <v>0</v>
      </c>
      <c r="AE188" t="n">
        <v>163.8</v>
      </c>
      <c r="AF188" t="n">
        <v>0</v>
      </c>
      <c r="AG188" t="n">
        <v>0</v>
      </c>
      <c r="AH188" t="n">
        <v>0.16</v>
      </c>
      <c r="AI188" t="n">
        <v>8.199999999999999</v>
      </c>
      <c r="AJ188" t="n">
        <v>-0.01</v>
      </c>
      <c r="AK188" t="n">
        <v>14.53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48.81</v>
      </c>
      <c r="AV188" t="n">
        <v>0</v>
      </c>
      <c r="AW188" t="n">
        <v>123.18</v>
      </c>
      <c r="AX188" t="inlineStr">
        <is>
          <t>pending</t>
        </is>
      </c>
      <c r="AY188" t="inlineStr">
        <is>
          <t>NA</t>
        </is>
      </c>
      <c r="AZ188" t="inlineStr">
        <is>
          <t>NA</t>
        </is>
      </c>
      <c r="BA188" t="n">
        <v>123.18</v>
      </c>
      <c r="BB188" t="inlineStr">
        <is>
          <t>d1b9212730c2c276dc8908285e7e8dbf74abf95179f76ec972b5582f1d4da26f</t>
        </is>
      </c>
    </row>
    <row r="189">
      <c r="A189" t="inlineStr">
        <is>
          <t>184</t>
        </is>
      </c>
      <c r="B189" t="inlineStr">
        <is>
          <t>7740397811</t>
        </is>
      </c>
      <c r="C189" t="inlineStr">
        <is>
          <t>2026-01-30 23:21:36</t>
        </is>
      </c>
      <c r="D189" t="inlineStr">
        <is>
          <t>5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229</v>
      </c>
      <c r="P189" t="n">
        <v>3.5</v>
      </c>
      <c r="Q189" t="n">
        <v>0</v>
      </c>
      <c r="R189" t="n">
        <v>68.7</v>
      </c>
      <c r="S189" t="n">
        <v>0</v>
      </c>
      <c r="T189" t="n">
        <v>0</v>
      </c>
      <c r="U189" t="n">
        <v>0</v>
      </c>
      <c r="V189" t="n">
        <v>8.19</v>
      </c>
      <c r="W189" t="n">
        <v>171.99</v>
      </c>
      <c r="X189" t="n">
        <v>163.8</v>
      </c>
      <c r="Y189" t="n">
        <v>19</v>
      </c>
      <c r="Z189" t="n">
        <v>31.12</v>
      </c>
      <c r="AA189" t="n">
        <v>3.16</v>
      </c>
      <c r="AB189" t="n">
        <v>34.28</v>
      </c>
      <c r="AC189" t="n">
        <v>6.17</v>
      </c>
      <c r="AD189" t="n">
        <v>0</v>
      </c>
      <c r="AE189" t="n">
        <v>163.8</v>
      </c>
      <c r="AF189" t="n">
        <v>0</v>
      </c>
      <c r="AG189" t="n">
        <v>0</v>
      </c>
      <c r="AH189" t="n">
        <v>0.16</v>
      </c>
      <c r="AI189" t="n">
        <v>8.199999999999999</v>
      </c>
      <c r="AJ189" t="n">
        <v>-0.01</v>
      </c>
      <c r="AK189" t="n">
        <v>14.53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48.81</v>
      </c>
      <c r="AV189" t="n">
        <v>0</v>
      </c>
      <c r="AW189" t="n">
        <v>123.18</v>
      </c>
      <c r="AX189" t="inlineStr">
        <is>
          <t>pending</t>
        </is>
      </c>
      <c r="AY189" t="inlineStr">
        <is>
          <t>NA</t>
        </is>
      </c>
      <c r="AZ189" t="inlineStr">
        <is>
          <t>NA</t>
        </is>
      </c>
      <c r="BA189" t="n">
        <v>123.18</v>
      </c>
      <c r="BB189" t="inlineStr">
        <is>
          <t>5bbf14df8938f95d3b7c17a99beb70d7782f65008db9840edde8a35ba5e8e65f</t>
        </is>
      </c>
    </row>
    <row r="190">
      <c r="A190" t="inlineStr">
        <is>
          <t>185</t>
        </is>
      </c>
      <c r="B190" t="inlineStr">
        <is>
          <t>7742382456</t>
        </is>
      </c>
      <c r="C190" t="inlineStr">
        <is>
          <t>2026-01-30 23:32:53</t>
        </is>
      </c>
      <c r="D190" t="inlineStr">
        <is>
          <t>5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458</v>
      </c>
      <c r="P190" t="n">
        <v>3.5</v>
      </c>
      <c r="Q190" t="n">
        <v>0</v>
      </c>
      <c r="R190" t="n">
        <v>75</v>
      </c>
      <c r="S190" t="n">
        <v>0</v>
      </c>
      <c r="T190" t="n">
        <v>0</v>
      </c>
      <c r="U190" t="n">
        <v>0</v>
      </c>
      <c r="V190" t="n">
        <v>19.33</v>
      </c>
      <c r="W190" t="n">
        <v>405.83</v>
      </c>
      <c r="X190" t="n">
        <v>386.5</v>
      </c>
      <c r="Y190" t="n">
        <v>19</v>
      </c>
      <c r="Z190" t="n">
        <v>73.44</v>
      </c>
      <c r="AA190" t="n">
        <v>7.47</v>
      </c>
      <c r="AB190" t="n">
        <v>80.91</v>
      </c>
      <c r="AC190" t="n">
        <v>14.56</v>
      </c>
      <c r="AD190" t="n">
        <v>0</v>
      </c>
      <c r="AE190" t="n">
        <v>386.5</v>
      </c>
      <c r="AF190" t="n">
        <v>0</v>
      </c>
      <c r="AG190" t="n">
        <v>0</v>
      </c>
      <c r="AH190" t="n">
        <v>0.39</v>
      </c>
      <c r="AI190" t="n">
        <v>19.33</v>
      </c>
      <c r="AJ190" t="n">
        <v>0</v>
      </c>
      <c r="AK190" t="n">
        <v>34.28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115.19</v>
      </c>
      <c r="AV190" t="n">
        <v>0</v>
      </c>
      <c r="AW190" t="n">
        <v>290.64</v>
      </c>
      <c r="AX190" t="inlineStr">
        <is>
          <t>pending</t>
        </is>
      </c>
      <c r="AY190" t="inlineStr">
        <is>
          <t>NA</t>
        </is>
      </c>
      <c r="AZ190" t="inlineStr">
        <is>
          <t>NA</t>
        </is>
      </c>
      <c r="BA190" t="n">
        <v>290.64</v>
      </c>
      <c r="BB190" t="inlineStr">
        <is>
          <t>fee7707becc60ea3830dece5b0b741861feec1b6c988500ae07c56b1acbb6756</t>
        </is>
      </c>
    </row>
    <row r="191">
      <c r="A191" t="inlineStr">
        <is>
          <t>186</t>
        </is>
      </c>
      <c r="B191" t="inlineStr">
        <is>
          <t>7733687363</t>
        </is>
      </c>
      <c r="C191" t="inlineStr">
        <is>
          <t>2026-01-30 23:39:52</t>
        </is>
      </c>
      <c r="D191" t="inlineStr">
        <is>
          <t>5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68.7</v>
      </c>
      <c r="S191" t="n">
        <v>0</v>
      </c>
      <c r="T191" t="n">
        <v>0</v>
      </c>
      <c r="U191" t="n">
        <v>0</v>
      </c>
      <c r="V191" t="n">
        <v>8.19</v>
      </c>
      <c r="W191" t="n">
        <v>171.99</v>
      </c>
      <c r="X191" t="n">
        <v>163.8</v>
      </c>
      <c r="Y191" t="n">
        <v>19</v>
      </c>
      <c r="Z191" t="n">
        <v>31.12</v>
      </c>
      <c r="AA191" t="n">
        <v>3.16</v>
      </c>
      <c r="AB191" t="n">
        <v>34.28</v>
      </c>
      <c r="AC191" t="n">
        <v>6.17</v>
      </c>
      <c r="AD191" t="n">
        <v>0</v>
      </c>
      <c r="AE191" t="n">
        <v>163.8</v>
      </c>
      <c r="AF191" t="n">
        <v>0</v>
      </c>
      <c r="AG191" t="n">
        <v>0</v>
      </c>
      <c r="AH191" t="n">
        <v>0.16</v>
      </c>
      <c r="AI191" t="n">
        <v>8.199999999999999</v>
      </c>
      <c r="AJ191" t="n">
        <v>-0.01</v>
      </c>
      <c r="AK191" t="n">
        <v>14.53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48.81</v>
      </c>
      <c r="AV191" t="n">
        <v>0</v>
      </c>
      <c r="AW191" t="n">
        <v>123.18</v>
      </c>
      <c r="AX191" t="inlineStr">
        <is>
          <t>pending</t>
        </is>
      </c>
      <c r="AY191" t="inlineStr">
        <is>
          <t>NA</t>
        </is>
      </c>
      <c r="AZ191" t="inlineStr">
        <is>
          <t>NA</t>
        </is>
      </c>
      <c r="BA191" t="n">
        <v>123.18</v>
      </c>
      <c r="BB191" t="inlineStr">
        <is>
          <t>58aa590ef6cfe1362b4a1270c71e79d80a64889583de4c8a87cabfd48252f8f4</t>
        </is>
      </c>
    </row>
    <row r="192">
      <c r="A192" t="inlineStr">
        <is>
          <t>187</t>
        </is>
      </c>
      <c r="B192" t="inlineStr">
        <is>
          <t>7741203568</t>
        </is>
      </c>
      <c r="C192" t="inlineStr">
        <is>
          <t>2026-01-30 23:45:45</t>
        </is>
      </c>
      <c r="D192" t="inlineStr">
        <is>
          <t>5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229</v>
      </c>
      <c r="P192" t="n">
        <v>3.5</v>
      </c>
      <c r="Q192" t="n">
        <v>0</v>
      </c>
      <c r="R192" t="n">
        <v>68.7</v>
      </c>
      <c r="S192" t="n">
        <v>0</v>
      </c>
      <c r="T192" t="n">
        <v>0</v>
      </c>
      <c r="U192" t="n">
        <v>0</v>
      </c>
      <c r="V192" t="n">
        <v>8.19</v>
      </c>
      <c r="W192" t="n">
        <v>171.99</v>
      </c>
      <c r="X192" t="n">
        <v>163.8</v>
      </c>
      <c r="Y192" t="n">
        <v>19</v>
      </c>
      <c r="Z192" t="n">
        <v>31.12</v>
      </c>
      <c r="AA192" t="n">
        <v>3.16</v>
      </c>
      <c r="AB192" t="n">
        <v>34.28</v>
      </c>
      <c r="AC192" t="n">
        <v>6.17</v>
      </c>
      <c r="AD192" t="n">
        <v>0</v>
      </c>
      <c r="AE192" t="n">
        <v>163.8</v>
      </c>
      <c r="AF192" t="n">
        <v>0</v>
      </c>
      <c r="AG192" t="n">
        <v>0</v>
      </c>
      <c r="AH192" t="n">
        <v>0.16</v>
      </c>
      <c r="AI192" t="n">
        <v>8.199999999999999</v>
      </c>
      <c r="AJ192" t="n">
        <v>-0.01</v>
      </c>
      <c r="AK192" t="n">
        <v>14.53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48.81</v>
      </c>
      <c r="AV192" t="n">
        <v>0</v>
      </c>
      <c r="AW192" t="n">
        <v>123.18</v>
      </c>
      <c r="AX192" t="inlineStr">
        <is>
          <t>pending</t>
        </is>
      </c>
      <c r="AY192" t="inlineStr">
        <is>
          <t>NA</t>
        </is>
      </c>
      <c r="AZ192" t="inlineStr">
        <is>
          <t>NA</t>
        </is>
      </c>
      <c r="BA192" t="n">
        <v>123.18</v>
      </c>
      <c r="BB192" t="inlineStr">
        <is>
          <t>1e4c54260bafa443b51f1ea1421baed1e762475f4880e2e391784a045988a4d0</t>
        </is>
      </c>
    </row>
    <row r="193">
      <c r="A193" t="inlineStr">
        <is>
          <t>188</t>
        </is>
      </c>
      <c r="B193" t="inlineStr">
        <is>
          <t>7746790238</t>
        </is>
      </c>
      <c r="C193" t="inlineStr">
        <is>
          <t>2026-01-31 00:09:11</t>
        </is>
      </c>
      <c r="D193" t="inlineStr">
        <is>
          <t>5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229</v>
      </c>
      <c r="P193" t="n">
        <v>3.5</v>
      </c>
      <c r="Q193" t="n">
        <v>0</v>
      </c>
      <c r="R193" t="n">
        <v>68.7</v>
      </c>
      <c r="S193" t="n">
        <v>0</v>
      </c>
      <c r="T193" t="n">
        <v>0</v>
      </c>
      <c r="U193" t="n">
        <v>0</v>
      </c>
      <c r="V193" t="n">
        <v>8.19</v>
      </c>
      <c r="W193" t="n">
        <v>171.99</v>
      </c>
      <c r="X193" t="n">
        <v>163.8</v>
      </c>
      <c r="Y193" t="n">
        <v>19</v>
      </c>
      <c r="Z193" t="n">
        <v>31.12</v>
      </c>
      <c r="AA193" t="n">
        <v>3.16</v>
      </c>
      <c r="AB193" t="n">
        <v>34.28</v>
      </c>
      <c r="AC193" t="n">
        <v>6.17</v>
      </c>
      <c r="AD193" t="n">
        <v>0</v>
      </c>
      <c r="AE193" t="n">
        <v>163.8</v>
      </c>
      <c r="AF193" t="n">
        <v>0</v>
      </c>
      <c r="AG193" t="n">
        <v>0</v>
      </c>
      <c r="AH193" t="n">
        <v>0.16</v>
      </c>
      <c r="AI193" t="n">
        <v>8.199999999999999</v>
      </c>
      <c r="AJ193" t="n">
        <v>-0.01</v>
      </c>
      <c r="AK193" t="n">
        <v>14.53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48.81</v>
      </c>
      <c r="AV193" t="n">
        <v>0</v>
      </c>
      <c r="AW193" t="n">
        <v>123.18</v>
      </c>
      <c r="AX193" t="inlineStr">
        <is>
          <t>pending</t>
        </is>
      </c>
      <c r="AY193" t="inlineStr">
        <is>
          <t>NA</t>
        </is>
      </c>
      <c r="AZ193" t="inlineStr">
        <is>
          <t>NA</t>
        </is>
      </c>
      <c r="BA193" t="n">
        <v>123.18</v>
      </c>
      <c r="BB193" t="inlineStr">
        <is>
          <t>66e85dadbeedbd0405ef5e2fc0081ebe2367ae9f07fdfd51ce621df2c5b6b9c6</t>
        </is>
      </c>
    </row>
    <row r="194">
      <c r="A194" t="inlineStr">
        <is>
          <t>189</t>
        </is>
      </c>
      <c r="B194" t="inlineStr">
        <is>
          <t>7739727294</t>
        </is>
      </c>
      <c r="C194" t="inlineStr">
        <is>
          <t>2026-01-31 00:10:28</t>
        </is>
      </c>
      <c r="D194" t="inlineStr">
        <is>
          <t>5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229</v>
      </c>
      <c r="P194" t="n">
        <v>3.5</v>
      </c>
      <c r="Q194" t="n">
        <v>0</v>
      </c>
      <c r="R194" t="n">
        <v>68.7</v>
      </c>
      <c r="S194" t="n">
        <v>0</v>
      </c>
      <c r="T194" t="n">
        <v>0</v>
      </c>
      <c r="U194" t="n">
        <v>0</v>
      </c>
      <c r="V194" t="n">
        <v>8.19</v>
      </c>
      <c r="W194" t="n">
        <v>171.99</v>
      </c>
      <c r="X194" t="n">
        <v>163.8</v>
      </c>
      <c r="Y194" t="n">
        <v>19</v>
      </c>
      <c r="Z194" t="n">
        <v>31.12</v>
      </c>
      <c r="AA194" t="n">
        <v>3.16</v>
      </c>
      <c r="AB194" t="n">
        <v>34.28</v>
      </c>
      <c r="AC194" t="n">
        <v>6.17</v>
      </c>
      <c r="AD194" t="n">
        <v>0</v>
      </c>
      <c r="AE194" t="n">
        <v>163.8</v>
      </c>
      <c r="AF194" t="n">
        <v>0</v>
      </c>
      <c r="AG194" t="n">
        <v>0</v>
      </c>
      <c r="AH194" t="n">
        <v>0.16</v>
      </c>
      <c r="AI194" t="n">
        <v>8.199999999999999</v>
      </c>
      <c r="AJ194" t="n">
        <v>-0.01</v>
      </c>
      <c r="AK194" t="n">
        <v>14.53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48.81</v>
      </c>
      <c r="AV194" t="n">
        <v>0</v>
      </c>
      <c r="AW194" t="n">
        <v>123.18</v>
      </c>
      <c r="AX194" t="inlineStr">
        <is>
          <t>pending</t>
        </is>
      </c>
      <c r="AY194" t="inlineStr">
        <is>
          <t>NA</t>
        </is>
      </c>
      <c r="AZ194" t="inlineStr">
        <is>
          <t>NA</t>
        </is>
      </c>
      <c r="BA194" t="n">
        <v>123.18</v>
      </c>
      <c r="BB194" t="inlineStr">
        <is>
          <t>a2e354b4fc5279e6fcf33df6d280971419879d4b2706ecc5ff16038b438d95d3</t>
        </is>
      </c>
    </row>
    <row r="195">
      <c r="A195" t="inlineStr">
        <is>
          <t>190</t>
        </is>
      </c>
      <c r="B195" t="inlineStr">
        <is>
          <t>7746794778</t>
        </is>
      </c>
      <c r="C195" t="inlineStr">
        <is>
          <t>2026-01-31 00:33:27</t>
        </is>
      </c>
      <c r="D195" t="inlineStr">
        <is>
          <t>5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229</v>
      </c>
      <c r="P195" t="n">
        <v>3.5</v>
      </c>
      <c r="Q195" t="n">
        <v>0</v>
      </c>
      <c r="R195" t="n">
        <v>68.7</v>
      </c>
      <c r="S195" t="n">
        <v>0</v>
      </c>
      <c r="T195" t="n">
        <v>0</v>
      </c>
      <c r="U195" t="n">
        <v>0</v>
      </c>
      <c r="V195" t="n">
        <v>8.19</v>
      </c>
      <c r="W195" t="n">
        <v>171.99</v>
      </c>
      <c r="X195" t="n">
        <v>163.8</v>
      </c>
      <c r="Y195" t="n">
        <v>19</v>
      </c>
      <c r="Z195" t="n">
        <v>31.12</v>
      </c>
      <c r="AA195" t="n">
        <v>3.16</v>
      </c>
      <c r="AB195" t="n">
        <v>34.28</v>
      </c>
      <c r="AC195" t="n">
        <v>6.17</v>
      </c>
      <c r="AD195" t="n">
        <v>0</v>
      </c>
      <c r="AE195" t="n">
        <v>163.8</v>
      </c>
      <c r="AF195" t="n">
        <v>0</v>
      </c>
      <c r="AG195" t="n">
        <v>0</v>
      </c>
      <c r="AH195" t="n">
        <v>0.16</v>
      </c>
      <c r="AI195" t="n">
        <v>8.199999999999999</v>
      </c>
      <c r="AJ195" t="n">
        <v>-0.01</v>
      </c>
      <c r="AK195" t="n">
        <v>14.53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48.81</v>
      </c>
      <c r="AV195" t="n">
        <v>0</v>
      </c>
      <c r="AW195" t="n">
        <v>123.18</v>
      </c>
      <c r="AX195" t="inlineStr">
        <is>
          <t>pending</t>
        </is>
      </c>
      <c r="AY195" t="inlineStr">
        <is>
          <t>NA</t>
        </is>
      </c>
      <c r="AZ195" t="inlineStr">
        <is>
          <t>NA</t>
        </is>
      </c>
      <c r="BA195" t="n">
        <v>123.18</v>
      </c>
      <c r="BB195" t="inlineStr">
        <is>
          <t>615b301c050c42be5c04d87ac01cd702cb1f18aaa5eaadfb45787974d7217244</t>
        </is>
      </c>
    </row>
    <row r="196">
      <c r="A196" t="inlineStr">
        <is>
          <t>191</t>
        </is>
      </c>
      <c r="B196" t="inlineStr">
        <is>
          <t>7744733657</t>
        </is>
      </c>
      <c r="C196" t="inlineStr">
        <is>
          <t>2026-01-31 00:37:31</t>
        </is>
      </c>
      <c r="D196" t="inlineStr">
        <is>
          <t>5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30% off upto ₹75 (2025-06-25 - 2031-01-01)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229</v>
      </c>
      <c r="P196" t="n">
        <v>3.5</v>
      </c>
      <c r="Q196" t="n">
        <v>0</v>
      </c>
      <c r="R196" t="n">
        <v>68.7</v>
      </c>
      <c r="S196" t="n">
        <v>0</v>
      </c>
      <c r="T196" t="n">
        <v>0</v>
      </c>
      <c r="U196" t="n">
        <v>0</v>
      </c>
      <c r="V196" t="n">
        <v>8.19</v>
      </c>
      <c r="W196" t="n">
        <v>171.99</v>
      </c>
      <c r="X196" t="n">
        <v>163.8</v>
      </c>
      <c r="Y196" t="n">
        <v>19</v>
      </c>
      <c r="Z196" t="n">
        <v>31.12</v>
      </c>
      <c r="AA196" t="n">
        <v>3.16</v>
      </c>
      <c r="AB196" t="n">
        <v>34.28</v>
      </c>
      <c r="AC196" t="n">
        <v>6.17</v>
      </c>
      <c r="AD196" t="n">
        <v>0</v>
      </c>
      <c r="AE196" t="n">
        <v>163.8</v>
      </c>
      <c r="AF196" t="n">
        <v>0</v>
      </c>
      <c r="AG196" t="n">
        <v>0</v>
      </c>
      <c r="AH196" t="n">
        <v>0.16</v>
      </c>
      <c r="AI196" t="n">
        <v>8.199999999999999</v>
      </c>
      <c r="AJ196" t="n">
        <v>-0.01</v>
      </c>
      <c r="AK196" t="n">
        <v>14.53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48.81</v>
      </c>
      <c r="AV196" t="n">
        <v>0</v>
      </c>
      <c r="AW196" t="n">
        <v>123.18</v>
      </c>
      <c r="AX196" t="inlineStr">
        <is>
          <t>pending</t>
        </is>
      </c>
      <c r="AY196" t="inlineStr">
        <is>
          <t>NA</t>
        </is>
      </c>
      <c r="AZ196" t="inlineStr">
        <is>
          <t>NA</t>
        </is>
      </c>
      <c r="BA196" t="n">
        <v>123.18</v>
      </c>
      <c r="BB196" t="inlineStr">
        <is>
          <t>c14907f6b7b9511dd926ff4b2142dc43f1e3a1a8787f8dd19b63f06c8fdd5967</t>
        </is>
      </c>
    </row>
    <row r="197">
      <c r="A197" t="inlineStr">
        <is>
          <t>192</t>
        </is>
      </c>
      <c r="B197" t="inlineStr">
        <is>
          <t>7744313457</t>
        </is>
      </c>
      <c r="C197" t="inlineStr">
        <is>
          <t>2026-01-31 00:47:22</t>
        </is>
      </c>
      <c r="D197" t="inlineStr">
        <is>
          <t>5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30% off upto ₹75 (2025-06-25 - 2031-01-01)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268</v>
      </c>
      <c r="P197" t="n">
        <v>3.5</v>
      </c>
      <c r="Q197" t="n">
        <v>0</v>
      </c>
      <c r="R197" t="n">
        <v>75</v>
      </c>
      <c r="S197" t="n">
        <v>0</v>
      </c>
      <c r="T197" t="n">
        <v>0</v>
      </c>
      <c r="U197" t="n">
        <v>0</v>
      </c>
      <c r="V197" t="n">
        <v>9.83</v>
      </c>
      <c r="W197" t="n">
        <v>206.33</v>
      </c>
      <c r="X197" t="n">
        <v>196.5</v>
      </c>
      <c r="Y197" t="n">
        <v>19</v>
      </c>
      <c r="Z197" t="n">
        <v>37.34</v>
      </c>
      <c r="AA197" t="n">
        <v>3.8</v>
      </c>
      <c r="AB197" t="n">
        <v>41.14</v>
      </c>
      <c r="AC197" t="n">
        <v>7.4</v>
      </c>
      <c r="AD197" t="n">
        <v>0</v>
      </c>
      <c r="AE197" t="n">
        <v>196.5</v>
      </c>
      <c r="AF197" t="n">
        <v>0</v>
      </c>
      <c r="AG197" t="n">
        <v>0</v>
      </c>
      <c r="AH197" t="n">
        <v>0.2</v>
      </c>
      <c r="AI197" t="n">
        <v>9.83</v>
      </c>
      <c r="AJ197" t="n">
        <v>0</v>
      </c>
      <c r="AK197" t="n">
        <v>17.43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58.57</v>
      </c>
      <c r="AV197" t="n">
        <v>0</v>
      </c>
      <c r="AW197" t="n">
        <v>147.76</v>
      </c>
      <c r="AX197" t="inlineStr">
        <is>
          <t>pending</t>
        </is>
      </c>
      <c r="AY197" t="inlineStr">
        <is>
          <t>NA</t>
        </is>
      </c>
      <c r="AZ197" t="inlineStr">
        <is>
          <t>NA</t>
        </is>
      </c>
      <c r="BA197" t="n">
        <v>147.76</v>
      </c>
      <c r="BB197" t="inlineStr">
        <is>
          <t>bf517b081194123eac9b3d47b3baa1786e5a8fba1c1e29a19af754803d660d1f</t>
        </is>
      </c>
    </row>
    <row r="198">
      <c r="A198" t="inlineStr">
        <is>
          <t>193</t>
        </is>
      </c>
      <c r="B198" t="inlineStr">
        <is>
          <t>7744158693</t>
        </is>
      </c>
      <c r="C198" t="inlineStr">
        <is>
          <t>2026-01-31 00:50:22</t>
        </is>
      </c>
      <c r="D198" t="inlineStr">
        <is>
          <t>5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30% off upto ₹75 (2025-06-25 - 2031-01-01)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219</v>
      </c>
      <c r="P198" t="n">
        <v>3.5</v>
      </c>
      <c r="Q198" t="n">
        <v>0</v>
      </c>
      <c r="R198" t="n">
        <v>65.7</v>
      </c>
      <c r="S198" t="n">
        <v>0</v>
      </c>
      <c r="T198" t="n">
        <v>0</v>
      </c>
      <c r="U198" t="n">
        <v>0</v>
      </c>
      <c r="V198" t="n">
        <v>7.84</v>
      </c>
      <c r="W198" t="n">
        <v>164.64</v>
      </c>
      <c r="X198" t="n">
        <v>156.8</v>
      </c>
      <c r="Y198" t="n">
        <v>19</v>
      </c>
      <c r="Z198" t="n">
        <v>29.79</v>
      </c>
      <c r="AA198" t="n">
        <v>3.03</v>
      </c>
      <c r="AB198" t="n">
        <v>32.82</v>
      </c>
      <c r="AC198" t="n">
        <v>5.91</v>
      </c>
      <c r="AD198" t="n">
        <v>0</v>
      </c>
      <c r="AE198" t="n">
        <v>156.8</v>
      </c>
      <c r="AF198" t="n">
        <v>0</v>
      </c>
      <c r="AG198" t="n">
        <v>0</v>
      </c>
      <c r="AH198" t="n">
        <v>0.16</v>
      </c>
      <c r="AI198" t="n">
        <v>7.85</v>
      </c>
      <c r="AJ198" t="n">
        <v>-0.01</v>
      </c>
      <c r="AK198" t="n">
        <v>13.92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46.74</v>
      </c>
      <c r="AV198" t="n">
        <v>0</v>
      </c>
      <c r="AW198" t="n">
        <v>117.9</v>
      </c>
      <c r="AX198" t="inlineStr">
        <is>
          <t>pending</t>
        </is>
      </c>
      <c r="AY198" t="inlineStr">
        <is>
          <t>NA</t>
        </is>
      </c>
      <c r="AZ198" t="inlineStr">
        <is>
          <t>NA</t>
        </is>
      </c>
      <c r="BA198" t="n">
        <v>117.9</v>
      </c>
      <c r="BB198" t="inlineStr">
        <is>
          <t>c2c5dfe31bdbf218ea85a5c6baaa5dd76036ba2daa6bd937b5ac692aa9242c84</t>
        </is>
      </c>
    </row>
    <row r="199">
      <c r="A199" t="inlineStr">
        <is>
          <t>194</t>
        </is>
      </c>
      <c r="B199" t="inlineStr">
        <is>
          <t>7743212421</t>
        </is>
      </c>
      <c r="C199" t="inlineStr">
        <is>
          <t>2026-01-31 00:51:23</t>
        </is>
      </c>
      <c r="D199" t="inlineStr">
        <is>
          <t>5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30% off upto ₹75 (2025-06-25 - 2031-01-01)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229</v>
      </c>
      <c r="P199" t="n">
        <v>3.5</v>
      </c>
      <c r="Q199" t="n">
        <v>0</v>
      </c>
      <c r="R199" t="n">
        <v>68.7</v>
      </c>
      <c r="S199" t="n">
        <v>0</v>
      </c>
      <c r="T199" t="n">
        <v>0</v>
      </c>
      <c r="U199" t="n">
        <v>0</v>
      </c>
      <c r="V199" t="n">
        <v>8.19</v>
      </c>
      <c r="W199" t="n">
        <v>171.99</v>
      </c>
      <c r="X199" t="n">
        <v>163.8</v>
      </c>
      <c r="Y199" t="n">
        <v>19</v>
      </c>
      <c r="Z199" t="n">
        <v>31.12</v>
      </c>
      <c r="AA199" t="n">
        <v>3.16</v>
      </c>
      <c r="AB199" t="n">
        <v>34.28</v>
      </c>
      <c r="AC199" t="n">
        <v>6.17</v>
      </c>
      <c r="AD199" t="n">
        <v>0</v>
      </c>
      <c r="AE199" t="n">
        <v>163.8</v>
      </c>
      <c r="AF199" t="n">
        <v>0</v>
      </c>
      <c r="AG199" t="n">
        <v>0</v>
      </c>
      <c r="AH199" t="n">
        <v>0.16</v>
      </c>
      <c r="AI199" t="n">
        <v>8.199999999999999</v>
      </c>
      <c r="AJ199" t="n">
        <v>-0.01</v>
      </c>
      <c r="AK199" t="n">
        <v>14.53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48.81</v>
      </c>
      <c r="AV199" t="n">
        <v>0</v>
      </c>
      <c r="AW199" t="n">
        <v>123.18</v>
      </c>
      <c r="AX199" t="inlineStr">
        <is>
          <t>pending</t>
        </is>
      </c>
      <c r="AY199" t="inlineStr">
        <is>
          <t>NA</t>
        </is>
      </c>
      <c r="AZ199" t="inlineStr">
        <is>
          <t>NA</t>
        </is>
      </c>
      <c r="BA199" t="n">
        <v>123.18</v>
      </c>
      <c r="BB199" t="inlineStr">
        <is>
          <t>331890ce2b59bd27bb04c0069c6e9eefa70329f7c3b66a65b15614ce25a86d83</t>
        </is>
      </c>
    </row>
    <row r="200">
      <c r="A200" t="inlineStr">
        <is>
          <t>195</t>
        </is>
      </c>
      <c r="B200" t="inlineStr">
        <is>
          <t>7741517669</t>
        </is>
      </c>
      <c r="C200" t="inlineStr">
        <is>
          <t>2026-01-31 00:59:26</t>
        </is>
      </c>
      <c r="D200" t="inlineStr">
        <is>
          <t>5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229</v>
      </c>
      <c r="P200" t="n">
        <v>3.5</v>
      </c>
      <c r="Q200" t="n">
        <v>0</v>
      </c>
      <c r="R200" t="n">
        <v>68.7</v>
      </c>
      <c r="S200" t="n">
        <v>0</v>
      </c>
      <c r="T200" t="n">
        <v>0</v>
      </c>
      <c r="U200" t="n">
        <v>0</v>
      </c>
      <c r="V200" t="n">
        <v>8.19</v>
      </c>
      <c r="W200" t="n">
        <v>171.99</v>
      </c>
      <c r="X200" t="n">
        <v>163.8</v>
      </c>
      <c r="Y200" t="n">
        <v>19</v>
      </c>
      <c r="Z200" t="n">
        <v>31.12</v>
      </c>
      <c r="AA200" t="n">
        <v>3.16</v>
      </c>
      <c r="AB200" t="n">
        <v>34.28</v>
      </c>
      <c r="AC200" t="n">
        <v>6.17</v>
      </c>
      <c r="AD200" t="n">
        <v>0</v>
      </c>
      <c r="AE200" t="n">
        <v>163.8</v>
      </c>
      <c r="AF200" t="n">
        <v>0</v>
      </c>
      <c r="AG200" t="n">
        <v>0</v>
      </c>
      <c r="AH200" t="n">
        <v>0.16</v>
      </c>
      <c r="AI200" t="n">
        <v>8.199999999999999</v>
      </c>
      <c r="AJ200" t="n">
        <v>-0.01</v>
      </c>
      <c r="AK200" t="n">
        <v>14.53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48.81</v>
      </c>
      <c r="AV200" t="n">
        <v>0</v>
      </c>
      <c r="AW200" t="n">
        <v>123.18</v>
      </c>
      <c r="AX200" t="inlineStr">
        <is>
          <t>pending</t>
        </is>
      </c>
      <c r="AY200" t="inlineStr">
        <is>
          <t>NA</t>
        </is>
      </c>
      <c r="AZ200" t="inlineStr">
        <is>
          <t>NA</t>
        </is>
      </c>
      <c r="BA200" t="n">
        <v>123.18</v>
      </c>
      <c r="BB200" t="inlineStr">
        <is>
          <t>0e1676fc71ff5c54d5c9b60eac184326b3aabea3fecee680028b1ce0dd7f19af</t>
        </is>
      </c>
    </row>
    <row r="201">
      <c r="A201" t="inlineStr">
        <is>
          <t>196</t>
        </is>
      </c>
      <c r="B201" t="inlineStr">
        <is>
          <t>7745891879</t>
        </is>
      </c>
      <c r="C201" t="inlineStr">
        <is>
          <t>2026-01-31 10:26:42</t>
        </is>
      </c>
      <c r="D201" t="inlineStr">
        <is>
          <t>5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358</v>
      </c>
      <c r="P201" t="n">
        <v>3.5</v>
      </c>
      <c r="Q201" t="n">
        <v>0</v>
      </c>
      <c r="R201" t="n">
        <v>75</v>
      </c>
      <c r="S201" t="n">
        <v>0</v>
      </c>
      <c r="T201" t="n">
        <v>0</v>
      </c>
      <c r="U201" t="n">
        <v>0</v>
      </c>
      <c r="V201" t="n">
        <v>14.33</v>
      </c>
      <c r="W201" t="n">
        <v>300.83</v>
      </c>
      <c r="X201" t="n">
        <v>286.5</v>
      </c>
      <c r="Y201" t="n">
        <v>19</v>
      </c>
      <c r="Z201" t="n">
        <v>54.44</v>
      </c>
      <c r="AA201" t="n">
        <v>5.54</v>
      </c>
      <c r="AB201" t="n">
        <v>59.98</v>
      </c>
      <c r="AC201" t="n">
        <v>10.8</v>
      </c>
      <c r="AD201" t="n">
        <v>0</v>
      </c>
      <c r="AE201" t="n">
        <v>286.5</v>
      </c>
      <c r="AF201" t="n">
        <v>0</v>
      </c>
      <c r="AG201" t="n">
        <v>0</v>
      </c>
      <c r="AH201" t="n">
        <v>0.29</v>
      </c>
      <c r="AI201" t="n">
        <v>14.33</v>
      </c>
      <c r="AJ201" t="n">
        <v>0</v>
      </c>
      <c r="AK201" t="n">
        <v>25.42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85.40000000000001</v>
      </c>
      <c r="AV201" t="n">
        <v>0</v>
      </c>
      <c r="AW201" t="n">
        <v>215.43</v>
      </c>
      <c r="AX201" t="inlineStr">
        <is>
          <t>pending</t>
        </is>
      </c>
      <c r="AY201" t="inlineStr">
        <is>
          <t>NA</t>
        </is>
      </c>
      <c r="AZ201" t="inlineStr">
        <is>
          <t>NA</t>
        </is>
      </c>
      <c r="BA201" t="n">
        <v>215.43</v>
      </c>
      <c r="BB201" t="inlineStr">
        <is>
          <t>f978e68d16cf73b16de98b77d94ca557186e59e2fa7421b2bd1479be210c4e77</t>
        </is>
      </c>
    </row>
    <row r="202">
      <c r="A202" t="inlineStr">
        <is>
          <t>197</t>
        </is>
      </c>
      <c r="B202" t="inlineStr">
        <is>
          <t>7734362780</t>
        </is>
      </c>
      <c r="C202" t="inlineStr">
        <is>
          <t>2026-01-31 11:24:43</t>
        </is>
      </c>
      <c r="D202" t="inlineStr">
        <is>
          <t>5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30% off upto ₹75 (2025-06-25 - 2031-01-01)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458</v>
      </c>
      <c r="P202" t="n">
        <v>3.5</v>
      </c>
      <c r="Q202" t="n">
        <v>0</v>
      </c>
      <c r="R202" t="n">
        <v>75</v>
      </c>
      <c r="S202" t="n">
        <v>0</v>
      </c>
      <c r="T202" t="n">
        <v>0</v>
      </c>
      <c r="U202" t="n">
        <v>0</v>
      </c>
      <c r="V202" t="n">
        <v>19.33</v>
      </c>
      <c r="W202" t="n">
        <v>405.83</v>
      </c>
      <c r="X202" t="n">
        <v>386.5</v>
      </c>
      <c r="Y202" t="n">
        <v>19</v>
      </c>
      <c r="Z202" t="n">
        <v>73.44</v>
      </c>
      <c r="AA202" t="n">
        <v>7.47</v>
      </c>
      <c r="AB202" t="n">
        <v>80.91</v>
      </c>
      <c r="AC202" t="n">
        <v>14.56</v>
      </c>
      <c r="AD202" t="n">
        <v>0</v>
      </c>
      <c r="AE202" t="n">
        <v>386.5</v>
      </c>
      <c r="AF202" t="n">
        <v>0</v>
      </c>
      <c r="AG202" t="n">
        <v>0</v>
      </c>
      <c r="AH202" t="n">
        <v>0.39</v>
      </c>
      <c r="AI202" t="n">
        <v>19.33</v>
      </c>
      <c r="AJ202" t="n">
        <v>0</v>
      </c>
      <c r="AK202" t="n">
        <v>34.28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115.19</v>
      </c>
      <c r="AV202" t="n">
        <v>0</v>
      </c>
      <c r="AW202" t="n">
        <v>290.64</v>
      </c>
      <c r="AX202" t="inlineStr">
        <is>
          <t>pending</t>
        </is>
      </c>
      <c r="AY202" t="inlineStr">
        <is>
          <t>NA</t>
        </is>
      </c>
      <c r="AZ202" t="inlineStr">
        <is>
          <t>NA</t>
        </is>
      </c>
      <c r="BA202" t="n">
        <v>290.64</v>
      </c>
      <c r="BB202" t="inlineStr">
        <is>
          <t>0d09c54b857470f5ec67667dd8d7800d161dc80520a96d0c38596dd49cc7e9fe</t>
        </is>
      </c>
    </row>
    <row r="203">
      <c r="A203" t="inlineStr">
        <is>
          <t>198</t>
        </is>
      </c>
      <c r="B203" t="inlineStr">
        <is>
          <t>7747499578</t>
        </is>
      </c>
      <c r="C203" t="inlineStr">
        <is>
          <t>2026-01-31 12:49:23</t>
        </is>
      </c>
      <c r="D203" t="inlineStr">
        <is>
          <t>5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30% off upto ₹75 (2025-06-25 - 2031-01-01)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219</v>
      </c>
      <c r="P203" t="n">
        <v>3.5</v>
      </c>
      <c r="Q203" t="n">
        <v>0</v>
      </c>
      <c r="R203" t="n">
        <v>65.7</v>
      </c>
      <c r="S203" t="n">
        <v>0</v>
      </c>
      <c r="T203" t="n">
        <v>0</v>
      </c>
      <c r="U203" t="n">
        <v>0</v>
      </c>
      <c r="V203" t="n">
        <v>7.84</v>
      </c>
      <c r="W203" t="n">
        <v>164.64</v>
      </c>
      <c r="X203" t="n">
        <v>156.8</v>
      </c>
      <c r="Y203" t="n">
        <v>19</v>
      </c>
      <c r="Z203" t="n">
        <v>29.79</v>
      </c>
      <c r="AA203" t="n">
        <v>3.03</v>
      </c>
      <c r="AB203" t="n">
        <v>32.82</v>
      </c>
      <c r="AC203" t="n">
        <v>5.91</v>
      </c>
      <c r="AD203" t="n">
        <v>0</v>
      </c>
      <c r="AE203" t="n">
        <v>156.8</v>
      </c>
      <c r="AF203" t="n">
        <v>0</v>
      </c>
      <c r="AG203" t="n">
        <v>0</v>
      </c>
      <c r="AH203" t="n">
        <v>0.16</v>
      </c>
      <c r="AI203" t="n">
        <v>7.85</v>
      </c>
      <c r="AJ203" t="n">
        <v>-0.01</v>
      </c>
      <c r="AK203" t="n">
        <v>13.92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46.74</v>
      </c>
      <c r="AV203" t="n">
        <v>0</v>
      </c>
      <c r="AW203" t="n">
        <v>117.9</v>
      </c>
      <c r="AX203" t="inlineStr">
        <is>
          <t>pending</t>
        </is>
      </c>
      <c r="AY203" t="inlineStr">
        <is>
          <t>NA</t>
        </is>
      </c>
      <c r="AZ203" t="inlineStr">
        <is>
          <t>NA</t>
        </is>
      </c>
      <c r="BA203" t="n">
        <v>117.9</v>
      </c>
      <c r="BB203" t="inlineStr">
        <is>
          <t>ac7d27f31f0d8d5e2b53f30490e759c8934d5332a2eeff4a52ae127f74574f5a</t>
        </is>
      </c>
    </row>
    <row r="204">
      <c r="A204" t="inlineStr">
        <is>
          <t>199</t>
        </is>
      </c>
      <c r="B204" t="inlineStr">
        <is>
          <t>7744876512</t>
        </is>
      </c>
      <c r="C204" t="inlineStr">
        <is>
          <t>2026-01-31 13:01:36</t>
        </is>
      </c>
      <c r="D204" t="inlineStr">
        <is>
          <t>5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268</v>
      </c>
      <c r="P204" t="n">
        <v>3.5</v>
      </c>
      <c r="Q204" t="n">
        <v>0</v>
      </c>
      <c r="R204" t="n">
        <v>75</v>
      </c>
      <c r="S204" t="n">
        <v>0</v>
      </c>
      <c r="T204" t="n">
        <v>0</v>
      </c>
      <c r="U204" t="n">
        <v>0</v>
      </c>
      <c r="V204" t="n">
        <v>9.83</v>
      </c>
      <c r="W204" t="n">
        <v>206.33</v>
      </c>
      <c r="X204" t="n">
        <v>196.5</v>
      </c>
      <c r="Y204" t="n">
        <v>19</v>
      </c>
      <c r="Z204" t="n">
        <v>37.34</v>
      </c>
      <c r="AA204" t="n">
        <v>3.8</v>
      </c>
      <c r="AB204" t="n">
        <v>41.14</v>
      </c>
      <c r="AC204" t="n">
        <v>7.4</v>
      </c>
      <c r="AD204" t="n">
        <v>0</v>
      </c>
      <c r="AE204" t="n">
        <v>196.5</v>
      </c>
      <c r="AF204" t="n">
        <v>0</v>
      </c>
      <c r="AG204" t="n">
        <v>0</v>
      </c>
      <c r="AH204" t="n">
        <v>0.2</v>
      </c>
      <c r="AI204" t="n">
        <v>9.83</v>
      </c>
      <c r="AJ204" t="n">
        <v>0</v>
      </c>
      <c r="AK204" t="n">
        <v>17.43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58.57</v>
      </c>
      <c r="AV204" t="n">
        <v>0</v>
      </c>
      <c r="AW204" t="n">
        <v>147.76</v>
      </c>
      <c r="AX204" t="inlineStr">
        <is>
          <t>pending</t>
        </is>
      </c>
      <c r="AY204" t="inlineStr">
        <is>
          <t>NA</t>
        </is>
      </c>
      <c r="AZ204" t="inlineStr">
        <is>
          <t>NA</t>
        </is>
      </c>
      <c r="BA204" t="n">
        <v>147.76</v>
      </c>
      <c r="BB204" t="inlineStr">
        <is>
          <t>59f18132d1864e436253b28a98e10c9b07d004c997e9ae4a23628fa74e196565</t>
        </is>
      </c>
    </row>
    <row r="205">
      <c r="A205" t="inlineStr">
        <is>
          <t>200</t>
        </is>
      </c>
      <c r="B205" t="inlineStr">
        <is>
          <t>7744633853</t>
        </is>
      </c>
      <c r="C205" t="inlineStr">
        <is>
          <t>2026-01-31 14:03:58</t>
        </is>
      </c>
      <c r="D205" t="inlineStr">
        <is>
          <t>5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30% off upto ₹75 (2025-06-25 - 2031-01-01)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289</v>
      </c>
      <c r="P205" t="n">
        <v>3.5</v>
      </c>
      <c r="Q205" t="n">
        <v>0</v>
      </c>
      <c r="R205" t="n">
        <v>75</v>
      </c>
      <c r="S205" t="n">
        <v>0</v>
      </c>
      <c r="T205" t="n">
        <v>0</v>
      </c>
      <c r="U205" t="n">
        <v>0</v>
      </c>
      <c r="V205" t="n">
        <v>10.88</v>
      </c>
      <c r="W205" t="n">
        <v>228.38</v>
      </c>
      <c r="X205" t="n">
        <v>217.5</v>
      </c>
      <c r="Y205" t="n">
        <v>19</v>
      </c>
      <c r="Z205" t="n">
        <v>41.32</v>
      </c>
      <c r="AA205" t="n">
        <v>4.2</v>
      </c>
      <c r="AB205" t="n">
        <v>45.52</v>
      </c>
      <c r="AC205" t="n">
        <v>8.199999999999999</v>
      </c>
      <c r="AD205" t="n">
        <v>0</v>
      </c>
      <c r="AE205" t="n">
        <v>217.5</v>
      </c>
      <c r="AF205" t="n">
        <v>0</v>
      </c>
      <c r="AG205" t="n">
        <v>0</v>
      </c>
      <c r="AH205" t="n">
        <v>0.22</v>
      </c>
      <c r="AI205" t="n">
        <v>10.88</v>
      </c>
      <c r="AJ205" t="n">
        <v>0</v>
      </c>
      <c r="AK205" t="n">
        <v>19.3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64.81999999999999</v>
      </c>
      <c r="AV205" t="n">
        <v>0</v>
      </c>
      <c r="AW205" t="n">
        <v>163.56</v>
      </c>
      <c r="AX205" t="inlineStr">
        <is>
          <t>pending</t>
        </is>
      </c>
      <c r="AY205" t="inlineStr">
        <is>
          <t>NA</t>
        </is>
      </c>
      <c r="AZ205" t="inlineStr">
        <is>
          <t>NA</t>
        </is>
      </c>
      <c r="BA205" t="n">
        <v>163.56</v>
      </c>
      <c r="BB205" t="inlineStr">
        <is>
          <t>6ba376557be8d4662f984833aff2b251dfdeb9e9dcf775390b4e45d9d4d8b74d</t>
        </is>
      </c>
    </row>
    <row r="206">
      <c r="A206" t="inlineStr">
        <is>
          <t>201</t>
        </is>
      </c>
      <c r="B206" t="inlineStr">
        <is>
          <t>7741139418</t>
        </is>
      </c>
      <c r="C206" t="inlineStr">
        <is>
          <t>2026-01-31 14:30:47</t>
        </is>
      </c>
      <c r="D206" t="inlineStr">
        <is>
          <t>5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NA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219</v>
      </c>
      <c r="P206" t="n">
        <v>3.5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11.13</v>
      </c>
      <c r="W206" t="n">
        <v>233.63</v>
      </c>
      <c r="X206" t="n">
        <v>222.5</v>
      </c>
      <c r="Y206" t="n">
        <v>19</v>
      </c>
      <c r="Z206" t="n">
        <v>42.28</v>
      </c>
      <c r="AA206" t="n">
        <v>4.3</v>
      </c>
      <c r="AB206" t="n">
        <v>46.58</v>
      </c>
      <c r="AC206" t="n">
        <v>8.380000000000001</v>
      </c>
      <c r="AD206" t="n">
        <v>0</v>
      </c>
      <c r="AE206" t="n">
        <v>222.5</v>
      </c>
      <c r="AF206" t="n">
        <v>0</v>
      </c>
      <c r="AG206" t="n">
        <v>0</v>
      </c>
      <c r="AH206" t="n">
        <v>0.22</v>
      </c>
      <c r="AI206" t="n">
        <v>11.13</v>
      </c>
      <c r="AJ206" t="n">
        <v>0</v>
      </c>
      <c r="AK206" t="n">
        <v>19.73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66.31</v>
      </c>
      <c r="AV206" t="n">
        <v>0</v>
      </c>
      <c r="AW206" t="n">
        <v>167.32</v>
      </c>
      <c r="AX206" t="inlineStr">
        <is>
          <t>pending</t>
        </is>
      </c>
      <c r="AY206" t="inlineStr">
        <is>
          <t>NA</t>
        </is>
      </c>
      <c r="AZ206" t="inlineStr">
        <is>
          <t>NA</t>
        </is>
      </c>
      <c r="BA206" t="n">
        <v>167.32</v>
      </c>
      <c r="BB206" t="inlineStr">
        <is>
          <t>a257bb89c2beb2532b299150f4ba059fd17025f2d88be077515d61ba29e81b05</t>
        </is>
      </c>
    </row>
    <row r="207">
      <c r="A207" t="inlineStr">
        <is>
          <t>202</t>
        </is>
      </c>
      <c r="B207" t="inlineStr">
        <is>
          <t>7743353140</t>
        </is>
      </c>
      <c r="C207" t="inlineStr">
        <is>
          <t>2026-01-31 14:34:32</t>
        </is>
      </c>
      <c r="D207" t="inlineStr">
        <is>
          <t>5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NA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219</v>
      </c>
      <c r="P207" t="n">
        <v>3.5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11.13</v>
      </c>
      <c r="W207" t="n">
        <v>233.63</v>
      </c>
      <c r="X207" t="n">
        <v>222.5</v>
      </c>
      <c r="Y207" t="n">
        <v>19</v>
      </c>
      <c r="Z207" t="n">
        <v>42.28</v>
      </c>
      <c r="AA207" t="n">
        <v>4.3</v>
      </c>
      <c r="AB207" t="n">
        <v>46.58</v>
      </c>
      <c r="AC207" t="n">
        <v>8.380000000000001</v>
      </c>
      <c r="AD207" t="n">
        <v>0</v>
      </c>
      <c r="AE207" t="n">
        <v>222.5</v>
      </c>
      <c r="AF207" t="n">
        <v>0</v>
      </c>
      <c r="AG207" t="n">
        <v>0</v>
      </c>
      <c r="AH207" t="n">
        <v>0.22</v>
      </c>
      <c r="AI207" t="n">
        <v>11.13</v>
      </c>
      <c r="AJ207" t="n">
        <v>0</v>
      </c>
      <c r="AK207" t="n">
        <v>19.73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66.31</v>
      </c>
      <c r="AV207" t="n">
        <v>0</v>
      </c>
      <c r="AW207" t="n">
        <v>167.32</v>
      </c>
      <c r="AX207" t="inlineStr">
        <is>
          <t>pending</t>
        </is>
      </c>
      <c r="AY207" t="inlineStr">
        <is>
          <t>NA</t>
        </is>
      </c>
      <c r="AZ207" t="inlineStr">
        <is>
          <t>NA</t>
        </is>
      </c>
      <c r="BA207" t="n">
        <v>167.32</v>
      </c>
      <c r="BB207" t="inlineStr">
        <is>
          <t>f087ee163501ec436beb9983f7b45838264f17685b44673c46e06575999fad97</t>
        </is>
      </c>
    </row>
    <row r="208">
      <c r="A208" t="inlineStr">
        <is>
          <t>203</t>
        </is>
      </c>
      <c r="B208" t="inlineStr">
        <is>
          <t>7747509339</t>
        </is>
      </c>
      <c r="C208" t="inlineStr">
        <is>
          <t>2026-01-31 14:46:35</t>
        </is>
      </c>
      <c r="D208" t="inlineStr">
        <is>
          <t>5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30% off upto ₹75 (2025-06-25 - 2031-01-01)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229</v>
      </c>
      <c r="P208" t="n">
        <v>3.5</v>
      </c>
      <c r="Q208" t="n">
        <v>0</v>
      </c>
      <c r="R208" t="n">
        <v>68.7</v>
      </c>
      <c r="S208" t="n">
        <v>0</v>
      </c>
      <c r="T208" t="n">
        <v>0</v>
      </c>
      <c r="U208" t="n">
        <v>0</v>
      </c>
      <c r="V208" t="n">
        <v>8.19</v>
      </c>
      <c r="W208" t="n">
        <v>171.99</v>
      </c>
      <c r="X208" t="n">
        <v>163.8</v>
      </c>
      <c r="Y208" t="n">
        <v>19</v>
      </c>
      <c r="Z208" t="n">
        <v>31.12</v>
      </c>
      <c r="AA208" t="n">
        <v>3.16</v>
      </c>
      <c r="AB208" t="n">
        <v>34.28</v>
      </c>
      <c r="AC208" t="n">
        <v>6.17</v>
      </c>
      <c r="AD208" t="n">
        <v>0</v>
      </c>
      <c r="AE208" t="n">
        <v>163.8</v>
      </c>
      <c r="AF208" t="n">
        <v>0</v>
      </c>
      <c r="AG208" t="n">
        <v>0</v>
      </c>
      <c r="AH208" t="n">
        <v>0.16</v>
      </c>
      <c r="AI208" t="n">
        <v>8.199999999999999</v>
      </c>
      <c r="AJ208" t="n">
        <v>-0.01</v>
      </c>
      <c r="AK208" t="n">
        <v>14.53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48.81</v>
      </c>
      <c r="AV208" t="n">
        <v>0</v>
      </c>
      <c r="AW208" t="n">
        <v>123.18</v>
      </c>
      <c r="AX208" t="inlineStr">
        <is>
          <t>pending</t>
        </is>
      </c>
      <c r="AY208" t="inlineStr">
        <is>
          <t>NA</t>
        </is>
      </c>
      <c r="AZ208" t="inlineStr">
        <is>
          <t>NA</t>
        </is>
      </c>
      <c r="BA208" t="n">
        <v>123.18</v>
      </c>
      <c r="BB208" t="inlineStr">
        <is>
          <t>ea7b79288c7653aaf1a4679e792574643199ddaf97f6dcc310f6276b501f988e</t>
        </is>
      </c>
    </row>
    <row r="209">
      <c r="A209" t="inlineStr">
        <is>
          <t>204</t>
        </is>
      </c>
      <c r="B209" t="inlineStr">
        <is>
          <t>7746938339</t>
        </is>
      </c>
      <c r="C209" t="inlineStr">
        <is>
          <t>2026-01-31 15:05:28</t>
        </is>
      </c>
      <c r="D209" t="inlineStr">
        <is>
          <t>5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30% off upto ₹75 (2025-06-25 - 2031-01-01)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268</v>
      </c>
      <c r="P209" t="n">
        <v>3.5</v>
      </c>
      <c r="Q209" t="n">
        <v>0</v>
      </c>
      <c r="R209" t="n">
        <v>75</v>
      </c>
      <c r="S209" t="n">
        <v>0</v>
      </c>
      <c r="T209" t="n">
        <v>0</v>
      </c>
      <c r="U209" t="n">
        <v>0</v>
      </c>
      <c r="V209" t="n">
        <v>9.83</v>
      </c>
      <c r="W209" t="n">
        <v>206.33</v>
      </c>
      <c r="X209" t="n">
        <v>196.5</v>
      </c>
      <c r="Y209" t="n">
        <v>19</v>
      </c>
      <c r="Z209" t="n">
        <v>37.34</v>
      </c>
      <c r="AA209" t="n">
        <v>3.8</v>
      </c>
      <c r="AB209" t="n">
        <v>41.14</v>
      </c>
      <c r="AC209" t="n">
        <v>7.4</v>
      </c>
      <c r="AD209" t="n">
        <v>0</v>
      </c>
      <c r="AE209" t="n">
        <v>196.5</v>
      </c>
      <c r="AF209" t="n">
        <v>0</v>
      </c>
      <c r="AG209" t="n">
        <v>0</v>
      </c>
      <c r="AH209" t="n">
        <v>0.2</v>
      </c>
      <c r="AI209" t="n">
        <v>9.83</v>
      </c>
      <c r="AJ209" t="n">
        <v>0</v>
      </c>
      <c r="AK209" t="n">
        <v>17.43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58.57</v>
      </c>
      <c r="AV209" t="n">
        <v>0</v>
      </c>
      <c r="AW209" t="n">
        <v>147.76</v>
      </c>
      <c r="AX209" t="inlineStr">
        <is>
          <t>pending</t>
        </is>
      </c>
      <c r="AY209" t="inlineStr">
        <is>
          <t>NA</t>
        </is>
      </c>
      <c r="AZ209" t="inlineStr">
        <is>
          <t>NA</t>
        </is>
      </c>
      <c r="BA209" t="n">
        <v>147.76</v>
      </c>
      <c r="BB209" t="inlineStr">
        <is>
          <t>911de08225c84d5ef5c96d63fdf01a71d69fe964f6fb1a538e2d99c13cb6439c</t>
        </is>
      </c>
    </row>
    <row r="210">
      <c r="A210" t="inlineStr">
        <is>
          <t>205</t>
        </is>
      </c>
      <c r="B210" t="inlineStr">
        <is>
          <t>7744904179</t>
        </is>
      </c>
      <c r="C210" t="inlineStr">
        <is>
          <t>2026-01-31 15:25:12</t>
        </is>
      </c>
      <c r="D210" t="inlineStr">
        <is>
          <t>5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NA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229</v>
      </c>
      <c r="P210" t="n">
        <v>3.5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11.63</v>
      </c>
      <c r="W210" t="n">
        <v>244.13</v>
      </c>
      <c r="X210" t="n">
        <v>232.5</v>
      </c>
      <c r="Y210" t="n">
        <v>19</v>
      </c>
      <c r="Z210" t="n">
        <v>44.18</v>
      </c>
      <c r="AA210" t="n">
        <v>4.49</v>
      </c>
      <c r="AB210" t="n">
        <v>48.67</v>
      </c>
      <c r="AC210" t="n">
        <v>8.76</v>
      </c>
      <c r="AD210" t="n">
        <v>0</v>
      </c>
      <c r="AE210" t="n">
        <v>232.5</v>
      </c>
      <c r="AF210" t="n">
        <v>0</v>
      </c>
      <c r="AG210" t="n">
        <v>0</v>
      </c>
      <c r="AH210" t="n">
        <v>0.23</v>
      </c>
      <c r="AI210" t="n">
        <v>11.63</v>
      </c>
      <c r="AJ210" t="n">
        <v>0</v>
      </c>
      <c r="AK210" t="n">
        <v>20.62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69.29000000000001</v>
      </c>
      <c r="AV210" t="n">
        <v>0</v>
      </c>
      <c r="AW210" t="n">
        <v>174.84</v>
      </c>
      <c r="AX210" t="inlineStr">
        <is>
          <t>pending</t>
        </is>
      </c>
      <c r="AY210" t="inlineStr">
        <is>
          <t>NA</t>
        </is>
      </c>
      <c r="AZ210" t="inlineStr">
        <is>
          <t>NA</t>
        </is>
      </c>
      <c r="BA210" t="n">
        <v>174.84</v>
      </c>
      <c r="BB210" t="inlineStr">
        <is>
          <t>2c70419a9d9960052c1c4d4810f742b6b79843c037f15b92e84c72262de7934b</t>
        </is>
      </c>
    </row>
    <row r="211">
      <c r="A211" t="inlineStr">
        <is>
          <t>206</t>
        </is>
      </c>
      <c r="B211" t="inlineStr">
        <is>
          <t>7743430378</t>
        </is>
      </c>
      <c r="C211" t="inlineStr">
        <is>
          <t>2026-01-31 15:45:09</t>
        </is>
      </c>
      <c r="D211" t="inlineStr">
        <is>
          <t>5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30% off upto ₹75 (2025-06-25 - 2031-01-01)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229</v>
      </c>
      <c r="P211" t="n">
        <v>3.5</v>
      </c>
      <c r="Q211" t="n">
        <v>0</v>
      </c>
      <c r="R211" t="n">
        <v>68.7</v>
      </c>
      <c r="S211" t="n">
        <v>0</v>
      </c>
      <c r="T211" t="n">
        <v>0</v>
      </c>
      <c r="U211" t="n">
        <v>0</v>
      </c>
      <c r="V211" t="n">
        <v>8.19</v>
      </c>
      <c r="W211" t="n">
        <v>171.99</v>
      </c>
      <c r="X211" t="n">
        <v>163.8</v>
      </c>
      <c r="Y211" t="n">
        <v>19</v>
      </c>
      <c r="Z211" t="n">
        <v>31.12</v>
      </c>
      <c r="AA211" t="n">
        <v>3.16</v>
      </c>
      <c r="AB211" t="n">
        <v>34.28</v>
      </c>
      <c r="AC211" t="n">
        <v>6.17</v>
      </c>
      <c r="AD211" t="n">
        <v>0</v>
      </c>
      <c r="AE211" t="n">
        <v>163.8</v>
      </c>
      <c r="AF211" t="n">
        <v>0</v>
      </c>
      <c r="AG211" t="n">
        <v>0</v>
      </c>
      <c r="AH211" t="n">
        <v>0.16</v>
      </c>
      <c r="AI211" t="n">
        <v>8.199999999999999</v>
      </c>
      <c r="AJ211" t="n">
        <v>-0.01</v>
      </c>
      <c r="AK211" t="n">
        <v>14.53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48.81</v>
      </c>
      <c r="AV211" t="n">
        <v>0</v>
      </c>
      <c r="AW211" t="n">
        <v>123.18</v>
      </c>
      <c r="AX211" t="inlineStr">
        <is>
          <t>pending</t>
        </is>
      </c>
      <c r="AY211" t="inlineStr">
        <is>
          <t>NA</t>
        </is>
      </c>
      <c r="AZ211" t="inlineStr">
        <is>
          <t>NA</t>
        </is>
      </c>
      <c r="BA211" t="n">
        <v>123.18</v>
      </c>
      <c r="BB211" t="inlineStr">
        <is>
          <t>55eeb9f9db325ea6b96d8ad2252b2a1596ab8495efaa5baf4a4f7be069124100</t>
        </is>
      </c>
    </row>
    <row r="212">
      <c r="A212" t="inlineStr">
        <is>
          <t>207</t>
        </is>
      </c>
      <c r="B212" t="inlineStr">
        <is>
          <t>7746326824</t>
        </is>
      </c>
      <c r="C212" t="inlineStr">
        <is>
          <t>2026-01-31 16:19:28</t>
        </is>
      </c>
      <c r="D212" t="inlineStr">
        <is>
          <t>5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30% off upto ₹75 (2025-06-25 - 2031-01-01)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229</v>
      </c>
      <c r="P212" t="n">
        <v>3.5</v>
      </c>
      <c r="Q212" t="n">
        <v>0</v>
      </c>
      <c r="R212" t="n">
        <v>68.7</v>
      </c>
      <c r="S212" t="n">
        <v>0</v>
      </c>
      <c r="T212" t="n">
        <v>0</v>
      </c>
      <c r="U212" t="n">
        <v>0</v>
      </c>
      <c r="V212" t="n">
        <v>8.19</v>
      </c>
      <c r="W212" t="n">
        <v>171.99</v>
      </c>
      <c r="X212" t="n">
        <v>163.8</v>
      </c>
      <c r="Y212" t="n">
        <v>19</v>
      </c>
      <c r="Z212" t="n">
        <v>31.12</v>
      </c>
      <c r="AA212" t="n">
        <v>3.16</v>
      </c>
      <c r="AB212" t="n">
        <v>34.28</v>
      </c>
      <c r="AC212" t="n">
        <v>6.17</v>
      </c>
      <c r="AD212" t="n">
        <v>0</v>
      </c>
      <c r="AE212" t="n">
        <v>163.8</v>
      </c>
      <c r="AF212" t="n">
        <v>0</v>
      </c>
      <c r="AG212" t="n">
        <v>0</v>
      </c>
      <c r="AH212" t="n">
        <v>0.16</v>
      </c>
      <c r="AI212" t="n">
        <v>8.199999999999999</v>
      </c>
      <c r="AJ212" t="n">
        <v>-0.01</v>
      </c>
      <c r="AK212" t="n">
        <v>14.53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48.81</v>
      </c>
      <c r="AV212" t="n">
        <v>0</v>
      </c>
      <c r="AW212" t="n">
        <v>123.18</v>
      </c>
      <c r="AX212" t="inlineStr">
        <is>
          <t>pending</t>
        </is>
      </c>
      <c r="AY212" t="inlineStr">
        <is>
          <t>NA</t>
        </is>
      </c>
      <c r="AZ212" t="inlineStr">
        <is>
          <t>NA</t>
        </is>
      </c>
      <c r="BA212" t="n">
        <v>123.18</v>
      </c>
      <c r="BB212" t="inlineStr">
        <is>
          <t>1cffb8aadfcbeabb4e1e3e8a71fd44fd3cf28ff0e8129c3889f6a5014a287fd4</t>
        </is>
      </c>
    </row>
    <row r="213">
      <c r="A213" t="inlineStr">
        <is>
          <t>208</t>
        </is>
      </c>
      <c r="B213" t="inlineStr">
        <is>
          <t>7739247470</t>
        </is>
      </c>
      <c r="C213" t="inlineStr">
        <is>
          <t>2026-01-31 16:27:12</t>
        </is>
      </c>
      <c r="D213" t="inlineStr">
        <is>
          <t>5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355</v>
      </c>
      <c r="P213" t="n">
        <v>3.5</v>
      </c>
      <c r="Q213" t="n">
        <v>0</v>
      </c>
      <c r="R213" t="n">
        <v>75</v>
      </c>
      <c r="S213" t="n">
        <v>0</v>
      </c>
      <c r="T213" t="n">
        <v>0</v>
      </c>
      <c r="U213" t="n">
        <v>0</v>
      </c>
      <c r="V213" t="n">
        <v>14.18</v>
      </c>
      <c r="W213" t="n">
        <v>297.68</v>
      </c>
      <c r="X213" t="n">
        <v>283.5</v>
      </c>
      <c r="Y213" t="n">
        <v>19</v>
      </c>
      <c r="Z213" t="n">
        <v>53.86</v>
      </c>
      <c r="AA213" t="n">
        <v>5.48</v>
      </c>
      <c r="AB213" t="n">
        <v>59.34</v>
      </c>
      <c r="AC213" t="n">
        <v>10.68</v>
      </c>
      <c r="AD213" t="n">
        <v>0</v>
      </c>
      <c r="AE213" t="n">
        <v>283.5</v>
      </c>
      <c r="AF213" t="n">
        <v>0</v>
      </c>
      <c r="AG213" t="n">
        <v>0</v>
      </c>
      <c r="AH213" t="n">
        <v>0.28</v>
      </c>
      <c r="AI213" t="n">
        <v>14.18</v>
      </c>
      <c r="AJ213" t="n">
        <v>0</v>
      </c>
      <c r="AK213" t="n">
        <v>25.14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84.48</v>
      </c>
      <c r="AV213" t="n">
        <v>0</v>
      </c>
      <c r="AW213" t="n">
        <v>213.2</v>
      </c>
      <c r="AX213" t="inlineStr">
        <is>
          <t>pending</t>
        </is>
      </c>
      <c r="AY213" t="inlineStr">
        <is>
          <t>NA</t>
        </is>
      </c>
      <c r="AZ213" t="inlineStr">
        <is>
          <t>NA</t>
        </is>
      </c>
      <c r="BA213" t="n">
        <v>213.2</v>
      </c>
      <c r="BB213" t="inlineStr">
        <is>
          <t>583977d4fd00851a36dcbf876fc029439b5493da2965ea58edef1f10f97b9860</t>
        </is>
      </c>
    </row>
    <row r="214">
      <c r="A214" t="inlineStr">
        <is>
          <t>209</t>
        </is>
      </c>
      <c r="B214" t="inlineStr">
        <is>
          <t>7740908780</t>
        </is>
      </c>
      <c r="C214" t="inlineStr">
        <is>
          <t>2026-01-31 16:54:29</t>
        </is>
      </c>
      <c r="D214" t="inlineStr">
        <is>
          <t>5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219</v>
      </c>
      <c r="P214" t="n">
        <v>3.5</v>
      </c>
      <c r="Q214" t="n">
        <v>0</v>
      </c>
      <c r="R214" t="n">
        <v>65.7</v>
      </c>
      <c r="S214" t="n">
        <v>0</v>
      </c>
      <c r="T214" t="n">
        <v>0</v>
      </c>
      <c r="U214" t="n">
        <v>0</v>
      </c>
      <c r="V214" t="n">
        <v>7.84</v>
      </c>
      <c r="W214" t="n">
        <v>164.64</v>
      </c>
      <c r="X214" t="n">
        <v>156.8</v>
      </c>
      <c r="Y214" t="n">
        <v>19</v>
      </c>
      <c r="Z214" t="n">
        <v>29.79</v>
      </c>
      <c r="AA214" t="n">
        <v>3.03</v>
      </c>
      <c r="AB214" t="n">
        <v>32.82</v>
      </c>
      <c r="AC214" t="n">
        <v>5.91</v>
      </c>
      <c r="AD214" t="n">
        <v>0</v>
      </c>
      <c r="AE214" t="n">
        <v>156.8</v>
      </c>
      <c r="AF214" t="n">
        <v>0</v>
      </c>
      <c r="AG214" t="n">
        <v>0</v>
      </c>
      <c r="AH214" t="n">
        <v>0.16</v>
      </c>
      <c r="AI214" t="n">
        <v>7.85</v>
      </c>
      <c r="AJ214" t="n">
        <v>-0.01</v>
      </c>
      <c r="AK214" t="n">
        <v>13.92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46.74</v>
      </c>
      <c r="AV214" t="n">
        <v>0</v>
      </c>
      <c r="AW214" t="n">
        <v>117.9</v>
      </c>
      <c r="AX214" t="inlineStr">
        <is>
          <t>pending</t>
        </is>
      </c>
      <c r="AY214" t="inlineStr">
        <is>
          <t>NA</t>
        </is>
      </c>
      <c r="AZ214" t="inlineStr">
        <is>
          <t>NA</t>
        </is>
      </c>
      <c r="BA214" t="n">
        <v>117.9</v>
      </c>
      <c r="BB214" t="inlineStr">
        <is>
          <t>c72588ed8f37ef0aefc42223dab054ad79025de72bde01f87642df15df9cc3c8</t>
        </is>
      </c>
    </row>
    <row r="215">
      <c r="A215" t="inlineStr">
        <is>
          <t>210</t>
        </is>
      </c>
      <c r="B215" t="inlineStr">
        <is>
          <t>7748379800</t>
        </is>
      </c>
      <c r="C215" t="inlineStr">
        <is>
          <t>2026-01-31 16:57:18</t>
        </is>
      </c>
      <c r="D215" t="inlineStr">
        <is>
          <t>5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30% off upto ₹75 (2025-06-25 - 2031-01-01)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876</v>
      </c>
      <c r="P215" t="n">
        <v>3.5</v>
      </c>
      <c r="Q215" t="n">
        <v>0</v>
      </c>
      <c r="R215" t="n">
        <v>75</v>
      </c>
      <c r="S215" t="n">
        <v>0</v>
      </c>
      <c r="T215" t="n">
        <v>0</v>
      </c>
      <c r="U215" t="n">
        <v>0</v>
      </c>
      <c r="V215" t="n">
        <v>40.23</v>
      </c>
      <c r="W215" t="n">
        <v>844.73</v>
      </c>
      <c r="X215" t="n">
        <v>804.5</v>
      </c>
      <c r="Y215" t="n">
        <v>19</v>
      </c>
      <c r="Z215" t="n">
        <v>152.86</v>
      </c>
      <c r="AA215" t="n">
        <v>15.54</v>
      </c>
      <c r="AB215" t="n">
        <v>168.4</v>
      </c>
      <c r="AC215" t="n">
        <v>30.31</v>
      </c>
      <c r="AD215" t="n">
        <v>0</v>
      </c>
      <c r="AE215" t="n">
        <v>804.5</v>
      </c>
      <c r="AF215" t="n">
        <v>0</v>
      </c>
      <c r="AG215" t="n">
        <v>0</v>
      </c>
      <c r="AH215" t="n">
        <v>0.8</v>
      </c>
      <c r="AI215" t="n">
        <v>40.23</v>
      </c>
      <c r="AJ215" t="n">
        <v>0</v>
      </c>
      <c r="AK215" t="n">
        <v>71.34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239.74</v>
      </c>
      <c r="AV215" t="n">
        <v>0</v>
      </c>
      <c r="AW215" t="n">
        <v>604.99</v>
      </c>
      <c r="AX215" t="inlineStr">
        <is>
          <t>pending</t>
        </is>
      </c>
      <c r="AY215" t="inlineStr">
        <is>
          <t>NA</t>
        </is>
      </c>
      <c r="AZ215" t="inlineStr">
        <is>
          <t>NA</t>
        </is>
      </c>
      <c r="BA215" t="n">
        <v>604.99</v>
      </c>
      <c r="BB215" t="inlineStr">
        <is>
          <t>b40005e06acd51589f90b5259172277a2ba8e4410c56cabea795effb88cf4dcf</t>
        </is>
      </c>
    </row>
    <row r="216">
      <c r="A216" t="inlineStr">
        <is>
          <t>211</t>
        </is>
      </c>
      <c r="B216" t="inlineStr">
        <is>
          <t>7744403789</t>
        </is>
      </c>
      <c r="C216" t="inlineStr">
        <is>
          <t>2026-01-31 17:12:19</t>
        </is>
      </c>
      <c r="D216" t="inlineStr">
        <is>
          <t>5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30% off upto ₹75 (2025-06-25 - 2031-01-01)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458</v>
      </c>
      <c r="P216" t="n">
        <v>3.5</v>
      </c>
      <c r="Q216" t="n">
        <v>0</v>
      </c>
      <c r="R216" t="n">
        <v>75</v>
      </c>
      <c r="S216" t="n">
        <v>0</v>
      </c>
      <c r="T216" t="n">
        <v>0</v>
      </c>
      <c r="U216" t="n">
        <v>0</v>
      </c>
      <c r="V216" t="n">
        <v>19.33</v>
      </c>
      <c r="W216" t="n">
        <v>405.83</v>
      </c>
      <c r="X216" t="n">
        <v>386.5</v>
      </c>
      <c r="Y216" t="n">
        <v>19</v>
      </c>
      <c r="Z216" t="n">
        <v>73.44</v>
      </c>
      <c r="AA216" t="n">
        <v>7.47</v>
      </c>
      <c r="AB216" t="n">
        <v>80.91</v>
      </c>
      <c r="AC216" t="n">
        <v>14.56</v>
      </c>
      <c r="AD216" t="n">
        <v>0</v>
      </c>
      <c r="AE216" t="n">
        <v>386.5</v>
      </c>
      <c r="AF216" t="n">
        <v>0</v>
      </c>
      <c r="AG216" t="n">
        <v>0</v>
      </c>
      <c r="AH216" t="n">
        <v>0.39</v>
      </c>
      <c r="AI216" t="n">
        <v>19.33</v>
      </c>
      <c r="AJ216" t="n">
        <v>0</v>
      </c>
      <c r="AK216" t="n">
        <v>34.28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115.19</v>
      </c>
      <c r="AV216" t="n">
        <v>0</v>
      </c>
      <c r="AW216" t="n">
        <v>290.64</v>
      </c>
      <c r="AX216" t="inlineStr">
        <is>
          <t>pending</t>
        </is>
      </c>
      <c r="AY216" t="inlineStr">
        <is>
          <t>NA</t>
        </is>
      </c>
      <c r="AZ216" t="inlineStr">
        <is>
          <t>NA</t>
        </is>
      </c>
      <c r="BA216" t="n">
        <v>290.64</v>
      </c>
      <c r="BB216" t="inlineStr">
        <is>
          <t>fce24a5f7e58d40e23ace9bd791e6c149c02babe3e28d4b21d678cd262fd874f</t>
        </is>
      </c>
    </row>
    <row r="217">
      <c r="A217" t="inlineStr">
        <is>
          <t>212</t>
        </is>
      </c>
      <c r="B217" t="inlineStr">
        <is>
          <t>7736320446</t>
        </is>
      </c>
      <c r="C217" t="inlineStr">
        <is>
          <t>2026-01-31 17:56:13</t>
        </is>
      </c>
      <c r="D217" t="inlineStr">
        <is>
          <t>5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30% off upto ₹75 (2025-06-25 - 2031-01-01)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219</v>
      </c>
      <c r="P217" t="n">
        <v>3.5</v>
      </c>
      <c r="Q217" t="n">
        <v>0</v>
      </c>
      <c r="R217" t="n">
        <v>65.7</v>
      </c>
      <c r="S217" t="n">
        <v>0</v>
      </c>
      <c r="T217" t="n">
        <v>0</v>
      </c>
      <c r="U217" t="n">
        <v>0</v>
      </c>
      <c r="V217" t="n">
        <v>7.84</v>
      </c>
      <c r="W217" t="n">
        <v>164.64</v>
      </c>
      <c r="X217" t="n">
        <v>156.8</v>
      </c>
      <c r="Y217" t="n">
        <v>19</v>
      </c>
      <c r="Z217" t="n">
        <v>29.79</v>
      </c>
      <c r="AA217" t="n">
        <v>3.03</v>
      </c>
      <c r="AB217" t="n">
        <v>32.82</v>
      </c>
      <c r="AC217" t="n">
        <v>5.91</v>
      </c>
      <c r="AD217" t="n">
        <v>0</v>
      </c>
      <c r="AE217" t="n">
        <v>156.8</v>
      </c>
      <c r="AF217" t="n">
        <v>0</v>
      </c>
      <c r="AG217" t="n">
        <v>0</v>
      </c>
      <c r="AH217" t="n">
        <v>0.16</v>
      </c>
      <c r="AI217" t="n">
        <v>7.85</v>
      </c>
      <c r="AJ217" t="n">
        <v>-0.01</v>
      </c>
      <c r="AK217" t="n">
        <v>13.92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46.74</v>
      </c>
      <c r="AV217" t="n">
        <v>0</v>
      </c>
      <c r="AW217" t="n">
        <v>117.9</v>
      </c>
      <c r="AX217" t="inlineStr">
        <is>
          <t>pending</t>
        </is>
      </c>
      <c r="AY217" t="inlineStr">
        <is>
          <t>NA</t>
        </is>
      </c>
      <c r="AZ217" t="inlineStr">
        <is>
          <t>NA</t>
        </is>
      </c>
      <c r="BA217" t="n">
        <v>117.9</v>
      </c>
      <c r="BB217" t="inlineStr">
        <is>
          <t>1c38a6cad7a8e017cc72bd6805e1774e1f47c1a33e9fc735aa1773f2c4703080</t>
        </is>
      </c>
    </row>
    <row r="218">
      <c r="A218" t="inlineStr">
        <is>
          <t>213</t>
        </is>
      </c>
      <c r="B218" t="inlineStr">
        <is>
          <t>7740644558</t>
        </is>
      </c>
      <c r="C218" t="inlineStr">
        <is>
          <t>2026-01-31 17:59:10</t>
        </is>
      </c>
      <c r="D218" t="inlineStr">
        <is>
          <t>5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30% off upto ₹75 (2025-06-25 - 2031-01-01)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219</v>
      </c>
      <c r="P218" t="n">
        <v>3.5</v>
      </c>
      <c r="Q218" t="n">
        <v>0</v>
      </c>
      <c r="R218" t="n">
        <v>65.7</v>
      </c>
      <c r="S218" t="n">
        <v>0</v>
      </c>
      <c r="T218" t="n">
        <v>0</v>
      </c>
      <c r="U218" t="n">
        <v>0</v>
      </c>
      <c r="V218" t="n">
        <v>7.84</v>
      </c>
      <c r="W218" t="n">
        <v>164.64</v>
      </c>
      <c r="X218" t="n">
        <v>156.8</v>
      </c>
      <c r="Y218" t="n">
        <v>19</v>
      </c>
      <c r="Z218" t="n">
        <v>29.79</v>
      </c>
      <c r="AA218" t="n">
        <v>3.03</v>
      </c>
      <c r="AB218" t="n">
        <v>32.82</v>
      </c>
      <c r="AC218" t="n">
        <v>5.91</v>
      </c>
      <c r="AD218" t="n">
        <v>0</v>
      </c>
      <c r="AE218" t="n">
        <v>156.8</v>
      </c>
      <c r="AF218" t="n">
        <v>0</v>
      </c>
      <c r="AG218" t="n">
        <v>0</v>
      </c>
      <c r="AH218" t="n">
        <v>0.16</v>
      </c>
      <c r="AI218" t="n">
        <v>7.85</v>
      </c>
      <c r="AJ218" t="n">
        <v>-0.01</v>
      </c>
      <c r="AK218" t="n">
        <v>13.92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46.74</v>
      </c>
      <c r="AV218" t="n">
        <v>0</v>
      </c>
      <c r="AW218" t="n">
        <v>117.9</v>
      </c>
      <c r="AX218" t="inlineStr">
        <is>
          <t>pending</t>
        </is>
      </c>
      <c r="AY218" t="inlineStr">
        <is>
          <t>NA</t>
        </is>
      </c>
      <c r="AZ218" t="inlineStr">
        <is>
          <t>NA</t>
        </is>
      </c>
      <c r="BA218" t="n">
        <v>117.9</v>
      </c>
      <c r="BB218" t="inlineStr">
        <is>
          <t>03f355a6f295a9f2b8498d4c1016ddb99e8ec3fca5d5493d3b671e3cd30f1309</t>
        </is>
      </c>
    </row>
    <row r="219">
      <c r="A219" t="inlineStr">
        <is>
          <t>214</t>
        </is>
      </c>
      <c r="B219" t="inlineStr">
        <is>
          <t>7746709046</t>
        </is>
      </c>
      <c r="C219" t="inlineStr">
        <is>
          <t>2026-01-31 18:30:07</t>
        </is>
      </c>
      <c r="D219" t="inlineStr">
        <is>
          <t>5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30% off upto ₹75 (2025-06-25 - 2031-01-01)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219</v>
      </c>
      <c r="P219" t="n">
        <v>3.5</v>
      </c>
      <c r="Q219" t="n">
        <v>0</v>
      </c>
      <c r="R219" t="n">
        <v>65.7</v>
      </c>
      <c r="S219" t="n">
        <v>0</v>
      </c>
      <c r="T219" t="n">
        <v>0</v>
      </c>
      <c r="U219" t="n">
        <v>0</v>
      </c>
      <c r="V219" t="n">
        <v>7.84</v>
      </c>
      <c r="W219" t="n">
        <v>164.64</v>
      </c>
      <c r="X219" t="n">
        <v>156.8</v>
      </c>
      <c r="Y219" t="n">
        <v>19</v>
      </c>
      <c r="Z219" t="n">
        <v>29.79</v>
      </c>
      <c r="AA219" t="n">
        <v>3.03</v>
      </c>
      <c r="AB219" t="n">
        <v>32.82</v>
      </c>
      <c r="AC219" t="n">
        <v>5.91</v>
      </c>
      <c r="AD219" t="n">
        <v>0</v>
      </c>
      <c r="AE219" t="n">
        <v>156.8</v>
      </c>
      <c r="AF219" t="n">
        <v>0</v>
      </c>
      <c r="AG219" t="n">
        <v>0</v>
      </c>
      <c r="AH219" t="n">
        <v>0.16</v>
      </c>
      <c r="AI219" t="n">
        <v>7.85</v>
      </c>
      <c r="AJ219" t="n">
        <v>-0.01</v>
      </c>
      <c r="AK219" t="n">
        <v>13.92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46.74</v>
      </c>
      <c r="AV219" t="n">
        <v>0</v>
      </c>
      <c r="AW219" t="n">
        <v>117.9</v>
      </c>
      <c r="AX219" t="inlineStr">
        <is>
          <t>pending</t>
        </is>
      </c>
      <c r="AY219" t="inlineStr">
        <is>
          <t>NA</t>
        </is>
      </c>
      <c r="AZ219" t="inlineStr">
        <is>
          <t>NA</t>
        </is>
      </c>
      <c r="BA219" t="n">
        <v>117.9</v>
      </c>
      <c r="BB219" t="inlineStr">
        <is>
          <t>ca0dcddc1853049519c127e36708a53279219414ff08e1387864c79be1df0c61</t>
        </is>
      </c>
    </row>
    <row r="220">
      <c r="A220" t="inlineStr">
        <is>
          <t>215</t>
        </is>
      </c>
      <c r="B220" t="inlineStr">
        <is>
          <t>7742214040</t>
        </is>
      </c>
      <c r="C220" t="inlineStr">
        <is>
          <t>2026-01-31 18:37:09</t>
        </is>
      </c>
      <c r="D220" t="inlineStr">
        <is>
          <t>5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219</v>
      </c>
      <c r="P220" t="n">
        <v>3.5</v>
      </c>
      <c r="Q220" t="n">
        <v>0</v>
      </c>
      <c r="R220" t="n">
        <v>65.7</v>
      </c>
      <c r="S220" t="n">
        <v>0</v>
      </c>
      <c r="T220" t="n">
        <v>0</v>
      </c>
      <c r="U220" t="n">
        <v>0</v>
      </c>
      <c r="V220" t="n">
        <v>7.84</v>
      </c>
      <c r="W220" t="n">
        <v>164.64</v>
      </c>
      <c r="X220" t="n">
        <v>156.8</v>
      </c>
      <c r="Y220" t="n">
        <v>19</v>
      </c>
      <c r="Z220" t="n">
        <v>29.79</v>
      </c>
      <c r="AA220" t="n">
        <v>3.03</v>
      </c>
      <c r="AB220" t="n">
        <v>32.82</v>
      </c>
      <c r="AC220" t="n">
        <v>5.91</v>
      </c>
      <c r="AD220" t="n">
        <v>0</v>
      </c>
      <c r="AE220" t="n">
        <v>156.8</v>
      </c>
      <c r="AF220" t="n">
        <v>0</v>
      </c>
      <c r="AG220" t="n">
        <v>0</v>
      </c>
      <c r="AH220" t="n">
        <v>0.16</v>
      </c>
      <c r="AI220" t="n">
        <v>7.85</v>
      </c>
      <c r="AJ220" t="n">
        <v>-0.01</v>
      </c>
      <c r="AK220" t="n">
        <v>13.92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46.74</v>
      </c>
      <c r="AV220" t="n">
        <v>0</v>
      </c>
      <c r="AW220" t="n">
        <v>117.9</v>
      </c>
      <c r="AX220" t="inlineStr">
        <is>
          <t>pending</t>
        </is>
      </c>
      <c r="AY220" t="inlineStr">
        <is>
          <t>NA</t>
        </is>
      </c>
      <c r="AZ220" t="inlineStr">
        <is>
          <t>NA</t>
        </is>
      </c>
      <c r="BA220" t="n">
        <v>117.9</v>
      </c>
      <c r="BB220" t="inlineStr">
        <is>
          <t>7b26844111735e7a1d66f56e84a349aa659847c9a1f9e446bfd76cc9f424752b</t>
        </is>
      </c>
    </row>
    <row r="221">
      <c r="A221" t="inlineStr">
        <is>
          <t>216</t>
        </is>
      </c>
      <c r="B221" t="inlineStr">
        <is>
          <t>7748165176</t>
        </is>
      </c>
      <c r="C221" t="inlineStr">
        <is>
          <t>2026-01-31 19:09:46</t>
        </is>
      </c>
      <c r="D221" t="inlineStr">
        <is>
          <t>5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30% off upto ₹75 (2025-06-25 - 2031-01-01)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355</v>
      </c>
      <c r="P221" t="n">
        <v>3.5</v>
      </c>
      <c r="Q221" t="n">
        <v>0</v>
      </c>
      <c r="R221" t="n">
        <v>75</v>
      </c>
      <c r="S221" t="n">
        <v>0</v>
      </c>
      <c r="T221" t="n">
        <v>0</v>
      </c>
      <c r="U221" t="n">
        <v>0</v>
      </c>
      <c r="V221" t="n">
        <v>14.18</v>
      </c>
      <c r="W221" t="n">
        <v>297.68</v>
      </c>
      <c r="X221" t="n">
        <v>283.5</v>
      </c>
      <c r="Y221" t="n">
        <v>19</v>
      </c>
      <c r="Z221" t="n">
        <v>53.86</v>
      </c>
      <c r="AA221" t="n">
        <v>5.48</v>
      </c>
      <c r="AB221" t="n">
        <v>59.34</v>
      </c>
      <c r="AC221" t="n">
        <v>10.68</v>
      </c>
      <c r="AD221" t="n">
        <v>0</v>
      </c>
      <c r="AE221" t="n">
        <v>283.5</v>
      </c>
      <c r="AF221" t="n">
        <v>0</v>
      </c>
      <c r="AG221" t="n">
        <v>0</v>
      </c>
      <c r="AH221" t="n">
        <v>0.28</v>
      </c>
      <c r="AI221" t="n">
        <v>14.18</v>
      </c>
      <c r="AJ221" t="n">
        <v>0</v>
      </c>
      <c r="AK221" t="n">
        <v>25.14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84.48</v>
      </c>
      <c r="AV221" t="n">
        <v>0</v>
      </c>
      <c r="AW221" t="n">
        <v>213.2</v>
      </c>
      <c r="AX221" t="inlineStr">
        <is>
          <t>pending</t>
        </is>
      </c>
      <c r="AY221" t="inlineStr">
        <is>
          <t>NA</t>
        </is>
      </c>
      <c r="AZ221" t="inlineStr">
        <is>
          <t>NA</t>
        </is>
      </c>
      <c r="BA221" t="n">
        <v>213.2</v>
      </c>
      <c r="BB221" t="inlineStr">
        <is>
          <t>08f7fb8c9b34de191093cb4ea335fc67de976c66e9c117ed63db7f1f0528aa4c</t>
        </is>
      </c>
    </row>
    <row r="222">
      <c r="A222" t="inlineStr">
        <is>
          <t>217</t>
        </is>
      </c>
      <c r="B222" t="inlineStr">
        <is>
          <t>7747890693</t>
        </is>
      </c>
      <c r="C222" t="inlineStr">
        <is>
          <t>2026-01-31 19:18:50</t>
        </is>
      </c>
      <c r="D222" t="inlineStr">
        <is>
          <t>5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966</v>
      </c>
      <c r="P222" t="n">
        <v>3.5</v>
      </c>
      <c r="Q222" t="n">
        <v>0</v>
      </c>
      <c r="R222" t="n">
        <v>75</v>
      </c>
      <c r="S222" t="n">
        <v>0</v>
      </c>
      <c r="T222" t="n">
        <v>0</v>
      </c>
      <c r="U222" t="n">
        <v>0</v>
      </c>
      <c r="V222" t="n">
        <v>44.73</v>
      </c>
      <c r="W222" t="n">
        <v>939.23</v>
      </c>
      <c r="X222" t="n">
        <v>894.5</v>
      </c>
      <c r="Y222" t="n">
        <v>19</v>
      </c>
      <c r="Z222" t="n">
        <v>169.96</v>
      </c>
      <c r="AA222" t="n">
        <v>17.28</v>
      </c>
      <c r="AB222" t="n">
        <v>187.24</v>
      </c>
      <c r="AC222" t="n">
        <v>33.7</v>
      </c>
      <c r="AD222" t="n">
        <v>0</v>
      </c>
      <c r="AE222" t="n">
        <v>894.5</v>
      </c>
      <c r="AF222" t="n">
        <v>0</v>
      </c>
      <c r="AG222" t="n">
        <v>0</v>
      </c>
      <c r="AH222" t="n">
        <v>0.89</v>
      </c>
      <c r="AI222" t="n">
        <v>44.73</v>
      </c>
      <c r="AJ222" t="n">
        <v>0</v>
      </c>
      <c r="AK222" t="n">
        <v>79.31999999999999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266.56</v>
      </c>
      <c r="AV222" t="n">
        <v>0</v>
      </c>
      <c r="AW222" t="n">
        <v>672.67</v>
      </c>
      <c r="AX222" t="inlineStr">
        <is>
          <t>pending</t>
        </is>
      </c>
      <c r="AY222" t="inlineStr">
        <is>
          <t>NA</t>
        </is>
      </c>
      <c r="AZ222" t="inlineStr">
        <is>
          <t>NA</t>
        </is>
      </c>
      <c r="BA222" t="n">
        <v>672.67</v>
      </c>
      <c r="BB222" t="inlineStr">
        <is>
          <t>3e60bb8f76465882f39208b37226e7e7ecf1b825cd9de1e2122bca3607f4b257</t>
        </is>
      </c>
    </row>
    <row r="223">
      <c r="A223" t="inlineStr">
        <is>
          <t>218</t>
        </is>
      </c>
      <c r="B223" t="inlineStr">
        <is>
          <t>7735834343</t>
        </is>
      </c>
      <c r="C223" t="inlineStr">
        <is>
          <t>2026-01-31 20:01:41</t>
        </is>
      </c>
      <c r="D223" t="inlineStr">
        <is>
          <t>5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NA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219</v>
      </c>
      <c r="P223" t="n">
        <v>3.5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11.13</v>
      </c>
      <c r="W223" t="n">
        <v>233.63</v>
      </c>
      <c r="X223" t="n">
        <v>222.5</v>
      </c>
      <c r="Y223" t="n">
        <v>19</v>
      </c>
      <c r="Z223" t="n">
        <v>42.28</v>
      </c>
      <c r="AA223" t="n">
        <v>4.3</v>
      </c>
      <c r="AB223" t="n">
        <v>46.58</v>
      </c>
      <c r="AC223" t="n">
        <v>8.380000000000001</v>
      </c>
      <c r="AD223" t="n">
        <v>0</v>
      </c>
      <c r="AE223" t="n">
        <v>222.5</v>
      </c>
      <c r="AF223" t="n">
        <v>0</v>
      </c>
      <c r="AG223" t="n">
        <v>0</v>
      </c>
      <c r="AH223" t="n">
        <v>0.22</v>
      </c>
      <c r="AI223" t="n">
        <v>11.13</v>
      </c>
      <c r="AJ223" t="n">
        <v>0</v>
      </c>
      <c r="AK223" t="n">
        <v>19.73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66.31</v>
      </c>
      <c r="AV223" t="n">
        <v>0</v>
      </c>
      <c r="AW223" t="n">
        <v>167.32</v>
      </c>
      <c r="AX223" t="inlineStr">
        <is>
          <t>pending</t>
        </is>
      </c>
      <c r="AY223" t="inlineStr">
        <is>
          <t>NA</t>
        </is>
      </c>
      <c r="AZ223" t="inlineStr">
        <is>
          <t>NA</t>
        </is>
      </c>
      <c r="BA223" t="n">
        <v>167.32</v>
      </c>
      <c r="BB223" t="inlineStr">
        <is>
          <t>64d00286fd41287bf905a8aa638ba059b60db45e48a424168b815be510e836c1</t>
        </is>
      </c>
    </row>
    <row r="224">
      <c r="A224" t="inlineStr">
        <is>
          <t>219</t>
        </is>
      </c>
      <c r="B224" t="inlineStr">
        <is>
          <t>7748932025</t>
        </is>
      </c>
      <c r="C224" t="inlineStr">
        <is>
          <t>2026-01-31 20:04:06</t>
        </is>
      </c>
      <c r="D224" t="inlineStr">
        <is>
          <t>5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30% off upto ₹75 (2025-06-25 - 2031-01-01)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229</v>
      </c>
      <c r="P224" t="n">
        <v>3.5</v>
      </c>
      <c r="Q224" t="n">
        <v>0</v>
      </c>
      <c r="R224" t="n">
        <v>68.7</v>
      </c>
      <c r="S224" t="n">
        <v>0</v>
      </c>
      <c r="T224" t="n">
        <v>0</v>
      </c>
      <c r="U224" t="n">
        <v>0</v>
      </c>
      <c r="V224" t="n">
        <v>8.19</v>
      </c>
      <c r="W224" t="n">
        <v>171.99</v>
      </c>
      <c r="X224" t="n">
        <v>163.8</v>
      </c>
      <c r="Y224" t="n">
        <v>19</v>
      </c>
      <c r="Z224" t="n">
        <v>31.12</v>
      </c>
      <c r="AA224" t="n">
        <v>3.16</v>
      </c>
      <c r="AB224" t="n">
        <v>34.28</v>
      </c>
      <c r="AC224" t="n">
        <v>6.17</v>
      </c>
      <c r="AD224" t="n">
        <v>0</v>
      </c>
      <c r="AE224" t="n">
        <v>163.8</v>
      </c>
      <c r="AF224" t="n">
        <v>0</v>
      </c>
      <c r="AG224" t="n">
        <v>0</v>
      </c>
      <c r="AH224" t="n">
        <v>0.16</v>
      </c>
      <c r="AI224" t="n">
        <v>8.199999999999999</v>
      </c>
      <c r="AJ224" t="n">
        <v>-0.01</v>
      </c>
      <c r="AK224" t="n">
        <v>14.53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48.81</v>
      </c>
      <c r="AV224" t="n">
        <v>0</v>
      </c>
      <c r="AW224" t="n">
        <v>123.18</v>
      </c>
      <c r="AX224" t="inlineStr">
        <is>
          <t>pending</t>
        </is>
      </c>
      <c r="AY224" t="inlineStr">
        <is>
          <t>NA</t>
        </is>
      </c>
      <c r="AZ224" t="inlineStr">
        <is>
          <t>NA</t>
        </is>
      </c>
      <c r="BA224" t="n">
        <v>123.18</v>
      </c>
      <c r="BB224" t="inlineStr">
        <is>
          <t>9c6bcac5d2e05b2341f2aecaaa1243209d7092b22d1b8c2151ba1323ea9d7a4a</t>
        </is>
      </c>
    </row>
    <row r="225">
      <c r="A225" t="inlineStr">
        <is>
          <t>220</t>
        </is>
      </c>
      <c r="B225" t="inlineStr">
        <is>
          <t>7740407321</t>
        </is>
      </c>
      <c r="C225" t="inlineStr">
        <is>
          <t>2026-01-31 20:10:26</t>
        </is>
      </c>
      <c r="D225" t="inlineStr">
        <is>
          <t>5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NA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219</v>
      </c>
      <c r="P225" t="n">
        <v>3.5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11.13</v>
      </c>
      <c r="W225" t="n">
        <v>233.63</v>
      </c>
      <c r="X225" t="n">
        <v>222.5</v>
      </c>
      <c r="Y225" t="n">
        <v>19</v>
      </c>
      <c r="Z225" t="n">
        <v>42.28</v>
      </c>
      <c r="AA225" t="n">
        <v>4.3</v>
      </c>
      <c r="AB225" t="n">
        <v>46.58</v>
      </c>
      <c r="AC225" t="n">
        <v>8.380000000000001</v>
      </c>
      <c r="AD225" t="n">
        <v>0</v>
      </c>
      <c r="AE225" t="n">
        <v>222.5</v>
      </c>
      <c r="AF225" t="n">
        <v>0</v>
      </c>
      <c r="AG225" t="n">
        <v>0</v>
      </c>
      <c r="AH225" t="n">
        <v>0.22</v>
      </c>
      <c r="AI225" t="n">
        <v>11.13</v>
      </c>
      <c r="AJ225" t="n">
        <v>0</v>
      </c>
      <c r="AK225" t="n">
        <v>19.73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66.31</v>
      </c>
      <c r="AV225" t="n">
        <v>0</v>
      </c>
      <c r="AW225" t="n">
        <v>167.32</v>
      </c>
      <c r="AX225" t="inlineStr">
        <is>
          <t>pending</t>
        </is>
      </c>
      <c r="AY225" t="inlineStr">
        <is>
          <t>NA</t>
        </is>
      </c>
      <c r="AZ225" t="inlineStr">
        <is>
          <t>NA</t>
        </is>
      </c>
      <c r="BA225" t="n">
        <v>167.32</v>
      </c>
      <c r="BB225" t="inlineStr">
        <is>
          <t>6efc2747b282be0e5985ae4d7e14d02f242dd25ee7cef437905a8cc51355da85</t>
        </is>
      </c>
    </row>
    <row r="226">
      <c r="A226" t="inlineStr">
        <is>
          <t>221</t>
        </is>
      </c>
      <c r="B226" t="inlineStr">
        <is>
          <t>7747441000</t>
        </is>
      </c>
      <c r="C226" t="inlineStr">
        <is>
          <t>2026-01-31 20:32:00</t>
        </is>
      </c>
      <c r="D226" t="inlineStr">
        <is>
          <t>5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30% off upto ₹75 (2025-06-25 - 2031-01-01)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803</v>
      </c>
      <c r="P226" t="n">
        <v>3.5</v>
      </c>
      <c r="Q226" t="n">
        <v>0</v>
      </c>
      <c r="R226" t="n">
        <v>75</v>
      </c>
      <c r="S226" t="n">
        <v>0</v>
      </c>
      <c r="T226" t="n">
        <v>0</v>
      </c>
      <c r="U226" t="n">
        <v>0</v>
      </c>
      <c r="V226" t="n">
        <v>36.58</v>
      </c>
      <c r="W226" t="n">
        <v>768.08</v>
      </c>
      <c r="X226" t="n">
        <v>731.5</v>
      </c>
      <c r="Y226" t="n">
        <v>19</v>
      </c>
      <c r="Z226" t="n">
        <v>138.98</v>
      </c>
      <c r="AA226" t="n">
        <v>14.13</v>
      </c>
      <c r="AB226" t="n">
        <v>153.11</v>
      </c>
      <c r="AC226" t="n">
        <v>27.56</v>
      </c>
      <c r="AD226" t="n">
        <v>0</v>
      </c>
      <c r="AE226" t="n">
        <v>731.5</v>
      </c>
      <c r="AF226" t="n">
        <v>0</v>
      </c>
      <c r="AG226" t="n">
        <v>0</v>
      </c>
      <c r="AH226" t="n">
        <v>0.73</v>
      </c>
      <c r="AI226" t="n">
        <v>36.58</v>
      </c>
      <c r="AJ226" t="n">
        <v>0</v>
      </c>
      <c r="AK226" t="n">
        <v>64.87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217.98</v>
      </c>
      <c r="AV226" t="n">
        <v>0</v>
      </c>
      <c r="AW226" t="n">
        <v>550.1</v>
      </c>
      <c r="AX226" t="inlineStr">
        <is>
          <t>pending</t>
        </is>
      </c>
      <c r="AY226" t="inlineStr">
        <is>
          <t>NA</t>
        </is>
      </c>
      <c r="AZ226" t="inlineStr">
        <is>
          <t>NA</t>
        </is>
      </c>
      <c r="BA226" t="n">
        <v>550.1</v>
      </c>
      <c r="BB226" t="inlineStr">
        <is>
          <t>72c34bce6d886f4439ed9a14721d2f6c56d2d574ad27f7951e7a7696dc8f6144</t>
        </is>
      </c>
    </row>
    <row r="227">
      <c r="A227" t="inlineStr">
        <is>
          <t>222</t>
        </is>
      </c>
      <c r="B227" t="inlineStr">
        <is>
          <t>7748960862</t>
        </is>
      </c>
      <c r="C227" t="inlineStr">
        <is>
          <t>2026-01-31 20:57:37</t>
        </is>
      </c>
      <c r="D227" t="inlineStr">
        <is>
          <t>5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30% off upto ₹75 (2025-06-25 - 2031-01-01)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219</v>
      </c>
      <c r="P227" t="n">
        <v>3.5</v>
      </c>
      <c r="Q227" t="n">
        <v>0</v>
      </c>
      <c r="R227" t="n">
        <v>65.7</v>
      </c>
      <c r="S227" t="n">
        <v>0</v>
      </c>
      <c r="T227" t="n">
        <v>0</v>
      </c>
      <c r="U227" t="n">
        <v>0</v>
      </c>
      <c r="V227" t="n">
        <v>7.84</v>
      </c>
      <c r="W227" t="n">
        <v>164.64</v>
      </c>
      <c r="X227" t="n">
        <v>156.8</v>
      </c>
      <c r="Y227" t="n">
        <v>19</v>
      </c>
      <c r="Z227" t="n">
        <v>29.79</v>
      </c>
      <c r="AA227" t="n">
        <v>3.03</v>
      </c>
      <c r="AB227" t="n">
        <v>32.82</v>
      </c>
      <c r="AC227" t="n">
        <v>5.91</v>
      </c>
      <c r="AD227" t="n">
        <v>0</v>
      </c>
      <c r="AE227" t="n">
        <v>156.8</v>
      </c>
      <c r="AF227" t="n">
        <v>0</v>
      </c>
      <c r="AG227" t="n">
        <v>0</v>
      </c>
      <c r="AH227" t="n">
        <v>0.16</v>
      </c>
      <c r="AI227" t="n">
        <v>7.85</v>
      </c>
      <c r="AJ227" t="n">
        <v>-0.01</v>
      </c>
      <c r="AK227" t="n">
        <v>13.92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46.74</v>
      </c>
      <c r="AV227" t="n">
        <v>0</v>
      </c>
      <c r="AW227" t="n">
        <v>117.9</v>
      </c>
      <c r="AX227" t="inlineStr">
        <is>
          <t>pending</t>
        </is>
      </c>
      <c r="AY227" t="inlineStr">
        <is>
          <t>NA</t>
        </is>
      </c>
      <c r="AZ227" t="inlineStr">
        <is>
          <t>NA</t>
        </is>
      </c>
      <c r="BA227" t="n">
        <v>117.9</v>
      </c>
      <c r="BB227" t="inlineStr">
        <is>
          <t>5488ea754f88029ad05832dd0b3e664766e67e9eee569c24baa302a611aac1d2</t>
        </is>
      </c>
    </row>
    <row r="228">
      <c r="A228" t="inlineStr">
        <is>
          <t>223</t>
        </is>
      </c>
      <c r="B228" t="inlineStr">
        <is>
          <t>7747998612</t>
        </is>
      </c>
      <c r="C228" t="inlineStr">
        <is>
          <t>2026-01-31 21:55:27</t>
        </is>
      </c>
      <c r="D228" t="inlineStr">
        <is>
          <t>5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30% off upto ₹75 (2025-06-25 - 2031-01-01)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229</v>
      </c>
      <c r="P228" t="n">
        <v>3.5</v>
      </c>
      <c r="Q228" t="n">
        <v>0</v>
      </c>
      <c r="R228" t="n">
        <v>68.7</v>
      </c>
      <c r="S228" t="n">
        <v>0</v>
      </c>
      <c r="T228" t="n">
        <v>0</v>
      </c>
      <c r="U228" t="n">
        <v>0</v>
      </c>
      <c r="V228" t="n">
        <v>8.19</v>
      </c>
      <c r="W228" t="n">
        <v>171.99</v>
      </c>
      <c r="X228" t="n">
        <v>163.8</v>
      </c>
      <c r="Y228" t="n">
        <v>19</v>
      </c>
      <c r="Z228" t="n">
        <v>31.12</v>
      </c>
      <c r="AA228" t="n">
        <v>3.16</v>
      </c>
      <c r="AB228" t="n">
        <v>34.28</v>
      </c>
      <c r="AC228" t="n">
        <v>6.17</v>
      </c>
      <c r="AD228" t="n">
        <v>0</v>
      </c>
      <c r="AE228" t="n">
        <v>163.8</v>
      </c>
      <c r="AF228" t="n">
        <v>0</v>
      </c>
      <c r="AG228" t="n">
        <v>0</v>
      </c>
      <c r="AH228" t="n">
        <v>0.16</v>
      </c>
      <c r="AI228" t="n">
        <v>8.199999999999999</v>
      </c>
      <c r="AJ228" t="n">
        <v>-0.01</v>
      </c>
      <c r="AK228" t="n">
        <v>14.53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48.81</v>
      </c>
      <c r="AV228" t="n">
        <v>0</v>
      </c>
      <c r="AW228" t="n">
        <v>123.18</v>
      </c>
      <c r="AX228" t="inlineStr">
        <is>
          <t>pending</t>
        </is>
      </c>
      <c r="AY228" t="inlineStr">
        <is>
          <t>NA</t>
        </is>
      </c>
      <c r="AZ228" t="inlineStr">
        <is>
          <t>NA</t>
        </is>
      </c>
      <c r="BA228" t="n">
        <v>123.18</v>
      </c>
      <c r="BB228" t="inlineStr">
        <is>
          <t>f942e53ef1f1c2ae83ffa77ac48be23a127d892498d15542f3c712ca5accd0c1</t>
        </is>
      </c>
    </row>
    <row r="229">
      <c r="A229" t="inlineStr">
        <is>
          <t>224</t>
        </is>
      </c>
      <c r="B229" t="inlineStr">
        <is>
          <t>7747745584</t>
        </is>
      </c>
      <c r="C229" t="inlineStr">
        <is>
          <t>2026-01-31 22:01:45</t>
        </is>
      </c>
      <c r="D229" t="inlineStr">
        <is>
          <t>5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239</v>
      </c>
      <c r="P229" t="n">
        <v>3.5</v>
      </c>
      <c r="Q229" t="n">
        <v>0</v>
      </c>
      <c r="R229" t="n">
        <v>71.7</v>
      </c>
      <c r="S229" t="n">
        <v>0</v>
      </c>
      <c r="T229" t="n">
        <v>0</v>
      </c>
      <c r="U229" t="n">
        <v>0</v>
      </c>
      <c r="V229" t="n">
        <v>8.539999999999999</v>
      </c>
      <c r="W229" t="n">
        <v>179.34</v>
      </c>
      <c r="X229" t="n">
        <v>170.8</v>
      </c>
      <c r="Y229" t="n">
        <v>19</v>
      </c>
      <c r="Z229" t="n">
        <v>32.45</v>
      </c>
      <c r="AA229" t="n">
        <v>3.3</v>
      </c>
      <c r="AB229" t="n">
        <v>35.75</v>
      </c>
      <c r="AC229" t="n">
        <v>6.43</v>
      </c>
      <c r="AD229" t="n">
        <v>0</v>
      </c>
      <c r="AE229" t="n">
        <v>170.8</v>
      </c>
      <c r="AF229" t="n">
        <v>0</v>
      </c>
      <c r="AG229" t="n">
        <v>0</v>
      </c>
      <c r="AH229" t="n">
        <v>0.17</v>
      </c>
      <c r="AI229" t="n">
        <v>8.550000000000001</v>
      </c>
      <c r="AJ229" t="n">
        <v>-0.01</v>
      </c>
      <c r="AK229" t="n">
        <v>15.15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50.9</v>
      </c>
      <c r="AV229" t="n">
        <v>0</v>
      </c>
      <c r="AW229" t="n">
        <v>128.44</v>
      </c>
      <c r="AX229" t="inlineStr">
        <is>
          <t>pending</t>
        </is>
      </c>
      <c r="AY229" t="inlineStr">
        <is>
          <t>NA</t>
        </is>
      </c>
      <c r="AZ229" t="inlineStr">
        <is>
          <t>NA</t>
        </is>
      </c>
      <c r="BA229" t="n">
        <v>128.44</v>
      </c>
      <c r="BB229" t="inlineStr">
        <is>
          <t>a11905ec5b7101ee60a4e48e8af495fb45d4892af570222904c5d27cf495852e</t>
        </is>
      </c>
    </row>
    <row r="230">
      <c r="A230" t="inlineStr">
        <is>
          <t>225</t>
        </is>
      </c>
      <c r="B230" t="inlineStr">
        <is>
          <t>7748887711</t>
        </is>
      </c>
      <c r="C230" t="inlineStr">
        <is>
          <t>2026-01-31 22:18:12</t>
        </is>
      </c>
      <c r="D230" t="inlineStr">
        <is>
          <t>5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30% off upto ₹75 (2025-06-25 - 2031-01-01)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229</v>
      </c>
      <c r="P230" t="n">
        <v>3.5</v>
      </c>
      <c r="Q230" t="n">
        <v>0</v>
      </c>
      <c r="R230" t="n">
        <v>68.7</v>
      </c>
      <c r="S230" t="n">
        <v>0</v>
      </c>
      <c r="T230" t="n">
        <v>0</v>
      </c>
      <c r="U230" t="n">
        <v>0</v>
      </c>
      <c r="V230" t="n">
        <v>8.19</v>
      </c>
      <c r="W230" t="n">
        <v>171.99</v>
      </c>
      <c r="X230" t="n">
        <v>163.8</v>
      </c>
      <c r="Y230" t="n">
        <v>19</v>
      </c>
      <c r="Z230" t="n">
        <v>31.12</v>
      </c>
      <c r="AA230" t="n">
        <v>3.16</v>
      </c>
      <c r="AB230" t="n">
        <v>34.28</v>
      </c>
      <c r="AC230" t="n">
        <v>6.17</v>
      </c>
      <c r="AD230" t="n">
        <v>0</v>
      </c>
      <c r="AE230" t="n">
        <v>163.8</v>
      </c>
      <c r="AF230" t="n">
        <v>0</v>
      </c>
      <c r="AG230" t="n">
        <v>0</v>
      </c>
      <c r="AH230" t="n">
        <v>0.16</v>
      </c>
      <c r="AI230" t="n">
        <v>8.199999999999999</v>
      </c>
      <c r="AJ230" t="n">
        <v>-0.01</v>
      </c>
      <c r="AK230" t="n">
        <v>14.53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48.81</v>
      </c>
      <c r="AV230" t="n">
        <v>0</v>
      </c>
      <c r="AW230" t="n">
        <v>123.18</v>
      </c>
      <c r="AX230" t="inlineStr">
        <is>
          <t>pending</t>
        </is>
      </c>
      <c r="AY230" t="inlineStr">
        <is>
          <t>NA</t>
        </is>
      </c>
      <c r="AZ230" t="inlineStr">
        <is>
          <t>NA</t>
        </is>
      </c>
      <c r="BA230" t="n">
        <v>123.18</v>
      </c>
      <c r="BB230" t="inlineStr">
        <is>
          <t>a96a8cb38b129d4908878dd0bc371eb1fed611939c267cff465624b27cace1b4</t>
        </is>
      </c>
    </row>
    <row r="231">
      <c r="A231" t="inlineStr">
        <is>
          <t>226</t>
        </is>
      </c>
      <c r="B231" t="inlineStr">
        <is>
          <t>7750185013</t>
        </is>
      </c>
      <c r="C231" t="inlineStr">
        <is>
          <t>2026-01-31 22:24:54</t>
        </is>
      </c>
      <c r="D231" t="inlineStr">
        <is>
          <t>5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30% off upto ₹75 (2025-06-25 - 2031-01-01)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358</v>
      </c>
      <c r="P231" t="n">
        <v>3.5</v>
      </c>
      <c r="Q231" t="n">
        <v>0</v>
      </c>
      <c r="R231" t="n">
        <v>75</v>
      </c>
      <c r="S231" t="n">
        <v>0</v>
      </c>
      <c r="T231" t="n">
        <v>0</v>
      </c>
      <c r="U231" t="n">
        <v>0</v>
      </c>
      <c r="V231" t="n">
        <v>14.33</v>
      </c>
      <c r="W231" t="n">
        <v>300.83</v>
      </c>
      <c r="X231" t="n">
        <v>286.5</v>
      </c>
      <c r="Y231" t="n">
        <v>19</v>
      </c>
      <c r="Z231" t="n">
        <v>54.44</v>
      </c>
      <c r="AA231" t="n">
        <v>5.54</v>
      </c>
      <c r="AB231" t="n">
        <v>59.98</v>
      </c>
      <c r="AC231" t="n">
        <v>10.8</v>
      </c>
      <c r="AD231" t="n">
        <v>0</v>
      </c>
      <c r="AE231" t="n">
        <v>286.5</v>
      </c>
      <c r="AF231" t="n">
        <v>0</v>
      </c>
      <c r="AG231" t="n">
        <v>0</v>
      </c>
      <c r="AH231" t="n">
        <v>0.29</v>
      </c>
      <c r="AI231" t="n">
        <v>14.33</v>
      </c>
      <c r="AJ231" t="n">
        <v>0</v>
      </c>
      <c r="AK231" t="n">
        <v>25.42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85.40000000000001</v>
      </c>
      <c r="AV231" t="n">
        <v>0</v>
      </c>
      <c r="AW231" t="n">
        <v>215.43</v>
      </c>
      <c r="AX231" t="inlineStr">
        <is>
          <t>pending</t>
        </is>
      </c>
      <c r="AY231" t="inlineStr">
        <is>
          <t>NA</t>
        </is>
      </c>
      <c r="AZ231" t="inlineStr">
        <is>
          <t>NA</t>
        </is>
      </c>
      <c r="BA231" t="n">
        <v>215.43</v>
      </c>
      <c r="BB231" t="inlineStr">
        <is>
          <t>1f6add3d4b89d616b0f95c7a7df3373f32dc0f084f971847fae5f8567baf71bf</t>
        </is>
      </c>
    </row>
    <row r="232">
      <c r="A232" t="inlineStr">
        <is>
          <t>227</t>
        </is>
      </c>
      <c r="B232" t="inlineStr">
        <is>
          <t>7744801249</t>
        </is>
      </c>
      <c r="C232" t="inlineStr">
        <is>
          <t>2026-01-31 22:27:40</t>
        </is>
      </c>
      <c r="D232" t="inlineStr">
        <is>
          <t>5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438</v>
      </c>
      <c r="P232" t="n">
        <v>3.5</v>
      </c>
      <c r="Q232" t="n">
        <v>0</v>
      </c>
      <c r="R232" t="n">
        <v>75</v>
      </c>
      <c r="S232" t="n">
        <v>0</v>
      </c>
      <c r="T232" t="n">
        <v>0</v>
      </c>
      <c r="U232" t="n">
        <v>0</v>
      </c>
      <c r="V232" t="n">
        <v>18.33</v>
      </c>
      <c r="W232" t="n">
        <v>384.83</v>
      </c>
      <c r="X232" t="n">
        <v>366.5</v>
      </c>
      <c r="Y232" t="n">
        <v>19</v>
      </c>
      <c r="Z232" t="n">
        <v>69.64</v>
      </c>
      <c r="AA232" t="n">
        <v>7.08</v>
      </c>
      <c r="AB232" t="n">
        <v>76.72</v>
      </c>
      <c r="AC232" t="n">
        <v>13.81</v>
      </c>
      <c r="AD232" t="n">
        <v>0</v>
      </c>
      <c r="AE232" t="n">
        <v>366.5</v>
      </c>
      <c r="AF232" t="n">
        <v>0</v>
      </c>
      <c r="AG232" t="n">
        <v>0</v>
      </c>
      <c r="AH232" t="n">
        <v>0.37</v>
      </c>
      <c r="AI232" t="n">
        <v>18.33</v>
      </c>
      <c r="AJ232" t="n">
        <v>0</v>
      </c>
      <c r="AK232" t="n">
        <v>32.51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109.23</v>
      </c>
      <c r="AV232" t="n">
        <v>0</v>
      </c>
      <c r="AW232" t="n">
        <v>275.6</v>
      </c>
      <c r="AX232" t="inlineStr">
        <is>
          <t>pending</t>
        </is>
      </c>
      <c r="AY232" t="inlineStr">
        <is>
          <t>NA</t>
        </is>
      </c>
      <c r="AZ232" t="inlineStr">
        <is>
          <t>NA</t>
        </is>
      </c>
      <c r="BA232" t="n">
        <v>275.6</v>
      </c>
      <c r="BB232" t="inlineStr">
        <is>
          <t>45851e894dc61d6992b9aded42560561f5c7ea294e2b13c7cfdce244fe5d3783</t>
        </is>
      </c>
    </row>
    <row r="233">
      <c r="A233" t="inlineStr">
        <is>
          <t>228</t>
        </is>
      </c>
      <c r="B233" t="inlineStr">
        <is>
          <t>7749162864</t>
        </is>
      </c>
      <c r="C233" t="inlineStr">
        <is>
          <t>2026-01-31 22:35:04</t>
        </is>
      </c>
      <c r="D233" t="inlineStr">
        <is>
          <t>5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289</v>
      </c>
      <c r="P233" t="n">
        <v>3.5</v>
      </c>
      <c r="Q233" t="n">
        <v>0</v>
      </c>
      <c r="R233" t="n">
        <v>75</v>
      </c>
      <c r="S233" t="n">
        <v>0</v>
      </c>
      <c r="T233" t="n">
        <v>0</v>
      </c>
      <c r="U233" t="n">
        <v>0</v>
      </c>
      <c r="V233" t="n">
        <v>10.88</v>
      </c>
      <c r="W233" t="n">
        <v>228.38</v>
      </c>
      <c r="X233" t="n">
        <v>217.5</v>
      </c>
      <c r="Y233" t="n">
        <v>19</v>
      </c>
      <c r="Z233" t="n">
        <v>41.32</v>
      </c>
      <c r="AA233" t="n">
        <v>4.2</v>
      </c>
      <c r="AB233" t="n">
        <v>45.52</v>
      </c>
      <c r="AC233" t="n">
        <v>8.199999999999999</v>
      </c>
      <c r="AD233" t="n">
        <v>0</v>
      </c>
      <c r="AE233" t="n">
        <v>217.5</v>
      </c>
      <c r="AF233" t="n">
        <v>0</v>
      </c>
      <c r="AG233" t="n">
        <v>0</v>
      </c>
      <c r="AH233" t="n">
        <v>0.22</v>
      </c>
      <c r="AI233" t="n">
        <v>10.88</v>
      </c>
      <c r="AJ233" t="n">
        <v>0</v>
      </c>
      <c r="AK233" t="n">
        <v>19.3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64.81999999999999</v>
      </c>
      <c r="AV233" t="n">
        <v>0</v>
      </c>
      <c r="AW233" t="n">
        <v>163.56</v>
      </c>
      <c r="AX233" t="inlineStr">
        <is>
          <t>pending</t>
        </is>
      </c>
      <c r="AY233" t="inlineStr">
        <is>
          <t>NA</t>
        </is>
      </c>
      <c r="AZ233" t="inlineStr">
        <is>
          <t>NA</t>
        </is>
      </c>
      <c r="BA233" t="n">
        <v>163.56</v>
      </c>
      <c r="BB233" t="inlineStr">
        <is>
          <t>fcb1f5fd0bf2e86493c98965323b1f02c2d70a09800d77d2b0a87958aa64e514</t>
        </is>
      </c>
    </row>
    <row r="234">
      <c r="A234" t="inlineStr">
        <is>
          <t>229</t>
        </is>
      </c>
      <c r="B234" t="inlineStr">
        <is>
          <t>7743337539</t>
        </is>
      </c>
      <c r="C234" t="inlineStr">
        <is>
          <t>2026-01-31 22:51:25</t>
        </is>
      </c>
      <c r="D234" t="inlineStr">
        <is>
          <t>5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229</v>
      </c>
      <c r="P234" t="n">
        <v>3.5</v>
      </c>
      <c r="Q234" t="n">
        <v>0</v>
      </c>
      <c r="R234" t="n">
        <v>68.7</v>
      </c>
      <c r="S234" t="n">
        <v>0</v>
      </c>
      <c r="T234" t="n">
        <v>0</v>
      </c>
      <c r="U234" t="n">
        <v>0</v>
      </c>
      <c r="V234" t="n">
        <v>8.19</v>
      </c>
      <c r="W234" t="n">
        <v>171.99</v>
      </c>
      <c r="X234" t="n">
        <v>163.8</v>
      </c>
      <c r="Y234" t="n">
        <v>19</v>
      </c>
      <c r="Z234" t="n">
        <v>31.12</v>
      </c>
      <c r="AA234" t="n">
        <v>3.16</v>
      </c>
      <c r="AB234" t="n">
        <v>34.28</v>
      </c>
      <c r="AC234" t="n">
        <v>6.17</v>
      </c>
      <c r="AD234" t="n">
        <v>0</v>
      </c>
      <c r="AE234" t="n">
        <v>163.8</v>
      </c>
      <c r="AF234" t="n">
        <v>0</v>
      </c>
      <c r="AG234" t="n">
        <v>0</v>
      </c>
      <c r="AH234" t="n">
        <v>0.16</v>
      </c>
      <c r="AI234" t="n">
        <v>8.199999999999999</v>
      </c>
      <c r="AJ234" t="n">
        <v>-0.01</v>
      </c>
      <c r="AK234" t="n">
        <v>14.53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48.81</v>
      </c>
      <c r="AV234" t="n">
        <v>0</v>
      </c>
      <c r="AW234" t="n">
        <v>123.18</v>
      </c>
      <c r="AX234" t="inlineStr">
        <is>
          <t>pending</t>
        </is>
      </c>
      <c r="AY234" t="inlineStr">
        <is>
          <t>NA</t>
        </is>
      </c>
      <c r="AZ234" t="inlineStr">
        <is>
          <t>NA</t>
        </is>
      </c>
      <c r="BA234" t="n">
        <v>123.18</v>
      </c>
      <c r="BB234" t="inlineStr">
        <is>
          <t>6bc11850a83e9f9149515528244e4cab7766284978933d4553c27e78d99324cf</t>
        </is>
      </c>
    </row>
    <row r="235">
      <c r="A235" t="inlineStr">
        <is>
          <t>230</t>
        </is>
      </c>
      <c r="B235" t="inlineStr">
        <is>
          <t>7747400456</t>
        </is>
      </c>
      <c r="C235" t="inlineStr">
        <is>
          <t>2026-01-31 22:59:03</t>
        </is>
      </c>
      <c r="D235" t="inlineStr">
        <is>
          <t>5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229</v>
      </c>
      <c r="P235" t="n">
        <v>3.5</v>
      </c>
      <c r="Q235" t="n">
        <v>0</v>
      </c>
      <c r="R235" t="n">
        <v>68.7</v>
      </c>
      <c r="S235" t="n">
        <v>0</v>
      </c>
      <c r="T235" t="n">
        <v>0</v>
      </c>
      <c r="U235" t="n">
        <v>0</v>
      </c>
      <c r="V235" t="n">
        <v>8.19</v>
      </c>
      <c r="W235" t="n">
        <v>171.99</v>
      </c>
      <c r="X235" t="n">
        <v>163.8</v>
      </c>
      <c r="Y235" t="n">
        <v>19</v>
      </c>
      <c r="Z235" t="n">
        <v>31.12</v>
      </c>
      <c r="AA235" t="n">
        <v>3.16</v>
      </c>
      <c r="AB235" t="n">
        <v>34.28</v>
      </c>
      <c r="AC235" t="n">
        <v>6.17</v>
      </c>
      <c r="AD235" t="n">
        <v>0</v>
      </c>
      <c r="AE235" t="n">
        <v>163.8</v>
      </c>
      <c r="AF235" t="n">
        <v>0</v>
      </c>
      <c r="AG235" t="n">
        <v>0</v>
      </c>
      <c r="AH235" t="n">
        <v>0.16</v>
      </c>
      <c r="AI235" t="n">
        <v>8.199999999999999</v>
      </c>
      <c r="AJ235" t="n">
        <v>-0.01</v>
      </c>
      <c r="AK235" t="n">
        <v>14.53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48.81</v>
      </c>
      <c r="AV235" t="n">
        <v>0</v>
      </c>
      <c r="AW235" t="n">
        <v>123.18</v>
      </c>
      <c r="AX235" t="inlineStr">
        <is>
          <t>pending</t>
        </is>
      </c>
      <c r="AY235" t="inlineStr">
        <is>
          <t>NA</t>
        </is>
      </c>
      <c r="AZ235" t="inlineStr">
        <is>
          <t>NA</t>
        </is>
      </c>
      <c r="BA235" t="n">
        <v>123.18</v>
      </c>
      <c r="BB235" t="inlineStr">
        <is>
          <t>ece68736b12e6fc47905ad11eb8400ba427da1a8ae7ba9222c1bbdfc9a125239</t>
        </is>
      </c>
    </row>
    <row r="236">
      <c r="A236" t="inlineStr">
        <is>
          <t>231</t>
        </is>
      </c>
      <c r="B236" t="inlineStr">
        <is>
          <t>7747342819</t>
        </is>
      </c>
      <c r="C236" t="inlineStr">
        <is>
          <t>2026-01-31 23:27:39</t>
        </is>
      </c>
      <c r="D236" t="inlineStr">
        <is>
          <t>5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30% off upto ₹75 (2025-06-25 - 2031-01-01)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338</v>
      </c>
      <c r="P236" t="n">
        <v>3.5</v>
      </c>
      <c r="Q236" t="n">
        <v>0</v>
      </c>
      <c r="R236" t="n">
        <v>75</v>
      </c>
      <c r="S236" t="n">
        <v>0</v>
      </c>
      <c r="T236" t="n">
        <v>0</v>
      </c>
      <c r="U236" t="n">
        <v>0</v>
      </c>
      <c r="V236" t="n">
        <v>13.33</v>
      </c>
      <c r="W236" t="n">
        <v>279.83</v>
      </c>
      <c r="X236" t="n">
        <v>266.5</v>
      </c>
      <c r="Y236" t="n">
        <v>19</v>
      </c>
      <c r="Z236" t="n">
        <v>50.64</v>
      </c>
      <c r="AA236" t="n">
        <v>5.15</v>
      </c>
      <c r="AB236" t="n">
        <v>55.79</v>
      </c>
      <c r="AC236" t="n">
        <v>10.05</v>
      </c>
      <c r="AD236" t="n">
        <v>0</v>
      </c>
      <c r="AE236" t="n">
        <v>266.5</v>
      </c>
      <c r="AF236" t="n">
        <v>0</v>
      </c>
      <c r="AG236" t="n">
        <v>0</v>
      </c>
      <c r="AH236" t="n">
        <v>0.27</v>
      </c>
      <c r="AI236" t="n">
        <v>13.33</v>
      </c>
      <c r="AJ236" t="n">
        <v>0</v>
      </c>
      <c r="AK236" t="n">
        <v>23.65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79.44</v>
      </c>
      <c r="AV236" t="n">
        <v>0</v>
      </c>
      <c r="AW236" t="n">
        <v>200.39</v>
      </c>
      <c r="AX236" t="inlineStr">
        <is>
          <t>pending</t>
        </is>
      </c>
      <c r="AY236" t="inlineStr">
        <is>
          <t>NA</t>
        </is>
      </c>
      <c r="AZ236" t="inlineStr">
        <is>
          <t>NA</t>
        </is>
      </c>
      <c r="BA236" t="n">
        <v>200.39</v>
      </c>
      <c r="BB236" t="inlineStr">
        <is>
          <t>d637ab105f21043ac3eaeaab4293ef08ac76117a14fe3e79bde33922e5bfea52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33485878</t>
        </is>
      </c>
      <c r="E13" t="inlineStr">
        <is>
          <t>26 January 26 - 27 January 26</t>
        </is>
      </c>
      <c r="F13" t="inlineStr">
        <is>
          <t>pending</t>
        </is>
      </c>
      <c r="G13" t="n">
        <v>1070.5</v>
      </c>
      <c r="H13" t="n">
        <v>0</v>
      </c>
      <c r="I13" t="n">
        <v>1070.5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33613871</t>
        </is>
      </c>
      <c r="E14" t="inlineStr">
        <is>
          <t>28 January 26 - 31 January 26</t>
        </is>
      </c>
      <c r="F14" t="inlineStr">
        <is>
          <t>pending</t>
        </is>
      </c>
      <c r="G14" t="n">
        <v>2931.12</v>
      </c>
      <c r="H14" t="n">
        <v>0</v>
      </c>
      <c r="I14" t="n">
        <v>2931.12</v>
      </c>
    </row>
    <row r="15">
      <c r="B15" t="inlineStr">
        <is>
          <t>Total Ads &amp; miscellaneous services</t>
        </is>
      </c>
      <c r="G15" t="n">
        <v>4001.62</v>
      </c>
      <c r="H15" t="n">
        <v>0</v>
      </c>
      <c r="I15" t="n">
        <v>4001.62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4001.62</v>
      </c>
      <c r="H23" t="n">
        <v>0</v>
      </c>
      <c r="I23" t="n">
        <v>4001.62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Nikhitha</dc:creator>
  <dcterms:created xsi:type="dcterms:W3CDTF">2025-07-09T03:45:13Z</dcterms:created>
  <dcterms:modified xsi:type="dcterms:W3CDTF">2026-02-10T18:22:43Z</dcterms:modified>
  <cp:lastModifiedBy>varun reddy</cp:lastModifiedBy>
  <cp:lastPrinted>2026-01-30T20:02:20Z</cp:lastPrinted>
</cp:coreProperties>
</file>