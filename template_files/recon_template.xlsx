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run\Desktop\Backup AutoRecons\Zomato Auto recons\template_files\"/>
    </mc:Choice>
  </mc:AlternateContent>
  <xr:revisionPtr revIDLastSave="0" documentId="13_ncr:1_{8D3F36B9-AD7B-4352-BCBD-F60DF4D8F41B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Summary" sheetId="1" r:id="rId1"/>
    <sheet name="Cashflow" sheetId="2" r:id="rId2"/>
    <sheet name="Profit statement" sheetId="4" r:id="rId3"/>
    <sheet name="Discrepancies" sheetId="5" r:id="rId4"/>
    <sheet name="BANK" sheetId="3" r:id="rId5"/>
    <sheet name="POS" sheetId="6" r:id="rId6"/>
  </sheets>
  <definedNames>
    <definedName name="_xlnm.Print_Area" localSheetId="1">Cashflow!$A$1:$I$39</definedName>
    <definedName name="Summary">#REF!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9" i="5" l="1"/>
  <c r="F19" i="5"/>
  <c r="E19" i="5"/>
  <c r="D19" i="5"/>
  <c r="D21" i="5" s="1"/>
  <c r="C19" i="5"/>
  <c r="H19" i="5" s="1"/>
  <c r="H21" i="5" s="1"/>
  <c r="F21" i="5"/>
  <c r="E21" i="5"/>
  <c r="G21" i="5"/>
  <c r="G35" i="2"/>
  <c r="F35" i="2"/>
  <c r="E35" i="2"/>
  <c r="D35" i="2"/>
  <c r="C35" i="2"/>
  <c r="H32" i="2"/>
  <c r="G4" i="2"/>
  <c r="G7" i="4"/>
  <c r="F7" i="4"/>
  <c r="E7" i="4"/>
  <c r="D7" i="4"/>
  <c r="G20" i="5"/>
  <c r="F20" i="5"/>
  <c r="E20" i="5"/>
  <c r="D20" i="5"/>
  <c r="C20" i="5"/>
  <c r="C21" i="5" l="1"/>
  <c r="H20" i="5"/>
  <c r="G13" i="2"/>
  <c r="F13" i="2"/>
  <c r="E13" i="2"/>
  <c r="D13" i="2"/>
  <c r="H23" i="2"/>
  <c r="G20" i="2"/>
  <c r="F20" i="2"/>
  <c r="E20" i="2"/>
  <c r="D20" i="2"/>
  <c r="D16" i="4" s="1"/>
  <c r="H18" i="5"/>
  <c r="H13" i="5"/>
  <c r="H12" i="5"/>
  <c r="H7" i="5"/>
  <c r="G4" i="5"/>
  <c r="F4" i="5"/>
  <c r="E4" i="5"/>
  <c r="D4" i="5"/>
  <c r="C4" i="5"/>
  <c r="B1" i="5"/>
  <c r="G4" i="4"/>
  <c r="B1" i="4"/>
  <c r="H33" i="2"/>
  <c r="H29" i="2"/>
  <c r="H28" i="2"/>
  <c r="F26" i="2"/>
  <c r="E26" i="2"/>
  <c r="D26" i="2"/>
  <c r="C26" i="2"/>
  <c r="H24" i="2"/>
  <c r="H22" i="2"/>
  <c r="C20" i="2"/>
  <c r="H19" i="2"/>
  <c r="E16" i="2"/>
  <c r="G16" i="2"/>
  <c r="F16" i="2"/>
  <c r="D16" i="2"/>
  <c r="D12" i="4" s="1"/>
  <c r="H17" i="2"/>
  <c r="H15" i="2"/>
  <c r="H14" i="2"/>
  <c r="G11" i="2"/>
  <c r="M16" i="2"/>
  <c r="M17" i="2" s="1"/>
  <c r="L16" i="2"/>
  <c r="L17" i="2" s="1"/>
  <c r="K16" i="2"/>
  <c r="K17" i="2" s="1"/>
  <c r="G15" i="1"/>
  <c r="E15" i="1"/>
  <c r="H6" i="2"/>
  <c r="H5" i="2"/>
  <c r="G10" i="2"/>
  <c r="G8" i="1" s="1"/>
  <c r="G10" i="1" s="1"/>
  <c r="E10" i="2"/>
  <c r="F4" i="2"/>
  <c r="F4" i="4" s="1"/>
  <c r="E4" i="2"/>
  <c r="E4" i="4" s="1"/>
  <c r="D4" i="2"/>
  <c r="D4" i="4" s="1"/>
  <c r="C4" i="2"/>
  <c r="C4" i="4" s="1"/>
  <c r="A1" i="2"/>
  <c r="F15" i="1"/>
  <c r="D15" i="1"/>
  <c r="C15" i="1"/>
  <c r="H12" i="1"/>
  <c r="H6" i="1"/>
  <c r="D19" i="1" l="1"/>
  <c r="D21" i="1"/>
  <c r="C6" i="4"/>
  <c r="H9" i="2"/>
  <c r="N16" i="2"/>
  <c r="N17" i="2" s="1"/>
  <c r="D10" i="2"/>
  <c r="D8" i="1" s="1"/>
  <c r="D10" i="1" s="1"/>
  <c r="H18" i="2"/>
  <c r="G19" i="1"/>
  <c r="G20" i="1" s="1"/>
  <c r="G12" i="4"/>
  <c r="E21" i="1"/>
  <c r="E16" i="4"/>
  <c r="H15" i="1"/>
  <c r="G17" i="1"/>
  <c r="G18" i="1" s="1"/>
  <c r="G10" i="4"/>
  <c r="F21" i="1"/>
  <c r="F16" i="4"/>
  <c r="F10" i="2"/>
  <c r="D6" i="4"/>
  <c r="D8" i="4" s="1"/>
  <c r="H8" i="2"/>
  <c r="E19" i="1"/>
  <c r="E12" i="4"/>
  <c r="G16" i="4"/>
  <c r="L12" i="2"/>
  <c r="E8" i="1"/>
  <c r="L15" i="2"/>
  <c r="E6" i="5"/>
  <c r="E8" i="5" s="1"/>
  <c r="E9" i="5" s="1"/>
  <c r="N15" i="2"/>
  <c r="G6" i="5"/>
  <c r="G8" i="5" s="1"/>
  <c r="G9" i="5" s="1"/>
  <c r="G14" i="1"/>
  <c r="G14" i="4"/>
  <c r="H7" i="2"/>
  <c r="C7" i="4"/>
  <c r="H7" i="4" s="1"/>
  <c r="C21" i="1"/>
  <c r="H20" i="2"/>
  <c r="C16" i="4"/>
  <c r="G26" i="2"/>
  <c r="G21" i="1" s="1"/>
  <c r="H27" i="2"/>
  <c r="G25" i="2"/>
  <c r="G30" i="2" s="1"/>
  <c r="D14" i="1"/>
  <c r="D14" i="4"/>
  <c r="G16" i="1"/>
  <c r="E14" i="1"/>
  <c r="E14" i="4"/>
  <c r="F14" i="4"/>
  <c r="F14" i="1"/>
  <c r="F19" i="1"/>
  <c r="F12" i="4"/>
  <c r="H21" i="2"/>
  <c r="D25" i="2"/>
  <c r="D30" i="2" s="1"/>
  <c r="E6" i="4"/>
  <c r="E8" i="4" s="1"/>
  <c r="E25" i="2"/>
  <c r="E30" i="2" s="1"/>
  <c r="H34" i="2"/>
  <c r="F6" i="4"/>
  <c r="F8" i="4" s="1"/>
  <c r="F25" i="2"/>
  <c r="F30" i="2" s="1"/>
  <c r="G6" i="4"/>
  <c r="G8" i="4" s="1"/>
  <c r="C11" i="2"/>
  <c r="D11" i="2"/>
  <c r="C13" i="2"/>
  <c r="E11" i="2"/>
  <c r="F11" i="2"/>
  <c r="H12" i="2"/>
  <c r="C16" i="2"/>
  <c r="C10" i="2"/>
  <c r="J16" i="2"/>
  <c r="J17" i="2" s="1"/>
  <c r="E16" i="1" l="1"/>
  <c r="E10" i="1"/>
  <c r="D22" i="1"/>
  <c r="D20" i="1"/>
  <c r="D16" i="1"/>
  <c r="H16" i="4"/>
  <c r="G18" i="4"/>
  <c r="G19" i="4" s="1"/>
  <c r="K12" i="2"/>
  <c r="D6" i="5"/>
  <c r="D8" i="5" s="1"/>
  <c r="D9" i="5" s="1"/>
  <c r="K15" i="2"/>
  <c r="C25" i="2"/>
  <c r="C30" i="2" s="1"/>
  <c r="G22" i="1"/>
  <c r="G24" i="1"/>
  <c r="G25" i="1" s="1"/>
  <c r="C8" i="1"/>
  <c r="C10" i="1" s="1"/>
  <c r="J15" i="2"/>
  <c r="H10" i="2"/>
  <c r="C6" i="5"/>
  <c r="H6" i="4"/>
  <c r="H8" i="4" s="1"/>
  <c r="E20" i="1"/>
  <c r="H21" i="1"/>
  <c r="H26" i="2"/>
  <c r="C19" i="1"/>
  <c r="C20" i="1" s="1"/>
  <c r="H16" i="2"/>
  <c r="C12" i="4"/>
  <c r="H12" i="4" s="1"/>
  <c r="E17" i="5"/>
  <c r="F17" i="5"/>
  <c r="M1" i="2"/>
  <c r="M2" i="2" s="1"/>
  <c r="K7" i="2"/>
  <c r="F17" i="1"/>
  <c r="F10" i="4"/>
  <c r="F18" i="4" s="1"/>
  <c r="F19" i="4" s="1"/>
  <c r="E17" i="1"/>
  <c r="E18" i="1" s="1"/>
  <c r="E10" i="4"/>
  <c r="E18" i="4" s="1"/>
  <c r="E19" i="4" s="1"/>
  <c r="H13" i="2"/>
  <c r="C14" i="1"/>
  <c r="H14" i="1" s="1"/>
  <c r="C14" i="4"/>
  <c r="H14" i="4" s="1"/>
  <c r="J12" i="2"/>
  <c r="F8" i="1"/>
  <c r="M15" i="2"/>
  <c r="M12" i="2"/>
  <c r="F6" i="5"/>
  <c r="F8" i="5" s="1"/>
  <c r="F9" i="5" s="1"/>
  <c r="E22" i="1"/>
  <c r="D17" i="1"/>
  <c r="D18" i="1" s="1"/>
  <c r="D10" i="4"/>
  <c r="D18" i="4" s="1"/>
  <c r="D19" i="4" s="1"/>
  <c r="G17" i="5"/>
  <c r="D17" i="5"/>
  <c r="C10" i="4"/>
  <c r="C17" i="1"/>
  <c r="C18" i="1" s="1"/>
  <c r="H11" i="2"/>
  <c r="C8" i="4"/>
  <c r="F22" i="1" l="1"/>
  <c r="F10" i="1"/>
  <c r="C16" i="1"/>
  <c r="H10" i="4"/>
  <c r="H18" i="4" s="1"/>
  <c r="H19" i="4" s="1"/>
  <c r="C22" i="1"/>
  <c r="H25" i="2"/>
  <c r="F20" i="1"/>
  <c r="K6" i="2"/>
  <c r="K1" i="2"/>
  <c r="J10" i="2"/>
  <c r="H17" i="1"/>
  <c r="C24" i="1"/>
  <c r="C25" i="1" s="1"/>
  <c r="H8" i="1"/>
  <c r="H19" i="1"/>
  <c r="F24" i="1"/>
  <c r="F25" i="1" s="1"/>
  <c r="F16" i="1"/>
  <c r="E24" i="1"/>
  <c r="E25" i="1" s="1"/>
  <c r="D24" i="1"/>
  <c r="D25" i="1" s="1"/>
  <c r="H6" i="5"/>
  <c r="C8" i="5"/>
  <c r="C9" i="5" s="1"/>
  <c r="N12" i="2"/>
  <c r="N9" i="2"/>
  <c r="F18" i="1"/>
  <c r="C18" i="4"/>
  <c r="C19" i="4" s="1"/>
  <c r="C17" i="5"/>
  <c r="H35" i="2"/>
  <c r="H30" i="2"/>
  <c r="H22" i="1" l="1"/>
  <c r="H10" i="1"/>
  <c r="H20" i="1"/>
  <c r="H18" i="1"/>
  <c r="H16" i="1"/>
  <c r="H8" i="5"/>
  <c r="H9" i="5" s="1"/>
  <c r="H17" i="5"/>
  <c r="H24" i="1"/>
  <c r="H25" i="1" s="1"/>
</calcChain>
</file>

<file path=xl/sharedStrings.xml><?xml version="1.0" encoding="utf-8"?>
<sst xmlns="http://schemas.openxmlformats.org/spreadsheetml/2006/main" count="87" uniqueCount="79">
  <si>
    <t>Details</t>
  </si>
  <si>
    <t>1st to 5th</t>
  </si>
  <si>
    <t>6th to 12th</t>
  </si>
  <si>
    <t>13th to 19th</t>
  </si>
  <si>
    <t>20th to 26th</t>
  </si>
  <si>
    <t>27th to 31st</t>
  </si>
  <si>
    <t>Total</t>
  </si>
  <si>
    <t>No.of orders</t>
  </si>
  <si>
    <t>Total Income (Number that you see on Swiggy dashboard)</t>
  </si>
  <si>
    <t>Avg. order value</t>
  </si>
  <si>
    <t>No of Disputed Orders</t>
  </si>
  <si>
    <t>Refund amount for disputed orders</t>
  </si>
  <si>
    <t>Discounts</t>
  </si>
  <si>
    <t>Commission</t>
  </si>
  <si>
    <t>(Calculated on Sales + GST)</t>
  </si>
  <si>
    <t>Marketing &amp; Ads</t>
  </si>
  <si>
    <t>Other charges &amp; Tax Adjustments</t>
  </si>
  <si>
    <t>Money received</t>
  </si>
  <si>
    <t>S.No</t>
  </si>
  <si>
    <t>Item sales (Delivered orders)</t>
  </si>
  <si>
    <t>Add:- Packing charges</t>
  </si>
  <si>
    <t>GST</t>
  </si>
  <si>
    <t>Add:- Compensation paid for cancelled orders</t>
  </si>
  <si>
    <t>TDS</t>
  </si>
  <si>
    <t>Less:- Discount</t>
  </si>
  <si>
    <t>Add:- GST 5%</t>
  </si>
  <si>
    <t>Net Sales</t>
  </si>
  <si>
    <t>Less:- Commission</t>
  </si>
  <si>
    <t>Platform Fee</t>
  </si>
  <si>
    <t>Less:- Refunds</t>
  </si>
  <si>
    <t>Paid by Restaurant</t>
  </si>
  <si>
    <t>Received by Restaurant</t>
  </si>
  <si>
    <t>Less:- Marketing Charges</t>
  </si>
  <si>
    <t>High Priority</t>
  </si>
  <si>
    <t xml:space="preserve">Call Center Service Fees </t>
  </si>
  <si>
    <t>PocketHero Fee</t>
  </si>
  <si>
    <t>Less:- Other Charges</t>
  </si>
  <si>
    <t>Collection Charges</t>
  </si>
  <si>
    <t>Long Distance Fee</t>
  </si>
  <si>
    <t>Merchant Cancellation Charges</t>
  </si>
  <si>
    <t>Profit from Swiggy</t>
  </si>
  <si>
    <t>Less:- Tax Adjustments</t>
  </si>
  <si>
    <t>TDS deduction for aggrigators</t>
  </si>
  <si>
    <t>TCS</t>
  </si>
  <si>
    <t>GST collected and paid by swiggy</t>
  </si>
  <si>
    <t>Expected Receipts</t>
  </si>
  <si>
    <t>Intriem payments</t>
  </si>
  <si>
    <t>EMI Loan deductions</t>
  </si>
  <si>
    <t>Difference</t>
  </si>
  <si>
    <t>Notes:-</t>
  </si>
  <si>
    <t>A. Net Sales</t>
  </si>
  <si>
    <t>Total Income</t>
  </si>
  <si>
    <t>Add- Adjust: Cancelled orders (By Swiggy)</t>
  </si>
  <si>
    <t>Net Sales (Number that you see on Numerize app)</t>
  </si>
  <si>
    <t>B.  Less:- Commission</t>
  </si>
  <si>
    <t>C.  Less:- Marketing &amp; Ads</t>
  </si>
  <si>
    <t>D. Less:- Refund on disputed orders</t>
  </si>
  <si>
    <t>E. Other charges</t>
  </si>
  <si>
    <t>F. Profit</t>
  </si>
  <si>
    <t>Percentage</t>
  </si>
  <si>
    <t xml:space="preserve">A. POS discrepancies </t>
  </si>
  <si>
    <t>Sales as per Swiggy</t>
  </si>
  <si>
    <t>Sale as per POS</t>
  </si>
  <si>
    <t>B. Order discrepancies</t>
  </si>
  <si>
    <t>No.of delivered orders for which payment isn't received</t>
  </si>
  <si>
    <t>Value of such orders</t>
  </si>
  <si>
    <t>C. Payment discrepancies</t>
  </si>
  <si>
    <t>Expected receipts in the bank account</t>
  </si>
  <si>
    <t>Interim Payments</t>
  </si>
  <si>
    <t>Actual receipts in the bank</t>
  </si>
  <si>
    <t>Notes:</t>
  </si>
  <si>
    <t>Swiggy One Fees</t>
  </si>
  <si>
    <t>Actual Receipts</t>
  </si>
  <si>
    <t>Swiggy Summary - July 2026</t>
  </si>
  <si>
    <t>Swiggy Cash Flow Statement - July 2026</t>
  </si>
  <si>
    <t>Swiggy Profit Statement - July 2026</t>
  </si>
  <si>
    <t>Swiggy Discrepancies - July 2026</t>
  </si>
  <si>
    <t>Previous week Adjustments</t>
  </si>
  <si>
    <t>Previous Week Adjustments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</si>
</sst>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0"/>
      <color rgb="FF000000"/>
      <name val="Arial"/>
      <family val="2"/>
      <scheme val="minor"/>
    </font>
    <font>
      <sz val="10"/>
      <name val="Arial"/>
      <family val="2"/>
    </font>
    <font>
      <b/>
      <sz val="13"/>
      <color theme="1"/>
      <name val="Calibri"/>
      <family val="2"/>
    </font>
    <font>
      <sz val="10"/>
      <color rgb="FF000000"/>
      <name val="Calibri"/>
      <family val="2"/>
    </font>
    <font>
      <u/>
      <sz val="10"/>
      <color theme="1"/>
      <name val="Calibri"/>
      <family val="2"/>
    </font>
    <font>
      <b/>
      <u/>
      <sz val="10"/>
      <color theme="1"/>
      <name val="Calibri"/>
      <family val="2"/>
    </font>
    <font>
      <b/>
      <sz val="10"/>
      <color rgb="FF000000"/>
      <name val="Calibri"/>
      <family val="2"/>
    </font>
    <font>
      <sz val="12"/>
      <color rgb="FF333333"/>
      <name val="Calibri"/>
      <family val="2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4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C000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</borders>
  <cellStyleXfs count="20">
    <xf numFmtId="0" fontId="0" fillId="0" borderId="11"/>
    <xf numFmtId="0" fontId="7" fillId="0" borderId="11"/>
    <xf numFmtId="0" fontId="8" fillId="0" borderId="11"/>
    <xf numFmtId="0" fontId="9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1" fillId="0" borderId="11"/>
  </cellStyleXfs>
  <cellXfs count="116">
    <xf numFmtId="0" fontId="0" fillId="0" borderId="0" xfId="0" applyBorder="1"/>
    <xf numFmtId="0" fontId="2" fillId="0" borderId="0" xfId="0" applyFont="1" applyBorder="1"/>
    <xf numFmtId="2" fontId="2" fillId="0" borderId="0" xfId="0" applyNumberFormat="1" applyFont="1" applyBorder="1"/>
    <xf numFmtId="10" fontId="3" fillId="0" borderId="0" xfId="0" applyNumberFormat="1" applyFont="1" applyBorder="1"/>
    <xf numFmtId="2" fontId="3" fillId="0" borderId="0" xfId="0" applyNumberFormat="1" applyFont="1" applyBorder="1"/>
    <xf numFmtId="0" fontId="4" fillId="0" borderId="3" xfId="0" applyFont="1" applyBorder="1"/>
    <xf numFmtId="0" fontId="5" fillId="0" borderId="3" xfId="0" applyFont="1" applyBorder="1"/>
    <xf numFmtId="164" fontId="3" fillId="0" borderId="0" xfId="0" applyNumberFormat="1" applyFont="1" applyBorder="1"/>
    <xf numFmtId="0" fontId="4" fillId="0" borderId="12" xfId="0" applyFont="1" applyBorder="1"/>
    <xf numFmtId="0" fontId="5" fillId="0" borderId="12" xfId="0" applyFont="1" applyBorder="1"/>
    <xf numFmtId="2" fontId="1" fillId="0" borderId="0" xfId="0" applyNumberFormat="1" applyFont="1" applyBorder="1"/>
    <xf numFmtId="0" fontId="4" fillId="0" borderId="13" xfId="0" applyFont="1" applyBorder="1"/>
    <xf numFmtId="0" fontId="2" fillId="0" borderId="0" xfId="0" applyFont="1" applyBorder="1" applyAlignment="1">
      <alignment horizontal="center"/>
    </xf>
    <xf numFmtId="49" fontId="3" fillId="0" borderId="0" xfId="0" applyNumberFormat="1" applyFont="1" applyBorder="1"/>
    <xf numFmtId="0" fontId="2" fillId="2" borderId="0" xfId="0" applyFont="1" applyFill="1" applyBorder="1"/>
    <xf numFmtId="2" fontId="3" fillId="2" borderId="0" xfId="0" applyNumberFormat="1" applyFont="1" applyFill="1" applyBorder="1"/>
    <xf numFmtId="0" fontId="3" fillId="3" borderId="11" xfId="0" applyFont="1" applyFill="1"/>
    <xf numFmtId="2" fontId="3" fillId="3" borderId="11" xfId="0" applyNumberFormat="1" applyFont="1" applyFill="1"/>
    <xf numFmtId="2" fontId="0" fillId="0" borderId="0" xfId="0" applyNumberFormat="1" applyBorder="1"/>
    <xf numFmtId="0" fontId="6" fillId="0" borderId="0" xfId="0" applyFont="1" applyBorder="1" applyAlignment="1">
      <alignment horizontal="left" vertical="top" wrapText="1"/>
    </xf>
    <xf numFmtId="0" fontId="0" fillId="0" borderId="0" xfId="0" applyBorder="1"/>
    <xf numFmtId="0" fontId="3" fillId="0" borderId="11" xfId="0" applyFont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0" fontId="5" fillId="0" borderId="0" xfId="0" applyFont="1" applyBorder="1"/>
    <xf numFmtId="2" fontId="5" fillId="0" borderId="0" xfId="0" applyNumberFormat="1" applyFont="1" applyBorder="1" applyAlignment="1">
      <alignment horizontal="right"/>
    </xf>
    <xf numFmtId="2" fontId="5" fillId="0" borderId="3" xfId="0" applyNumberFormat="1" applyFont="1" applyBorder="1" applyAlignment="1">
      <alignment horizontal="right"/>
    </xf>
    <xf numFmtId="2" fontId="5" fillId="0" borderId="0" xfId="0" applyNumberFormat="1" applyFont="1" applyBorder="1"/>
    <xf numFmtId="2" fontId="5" fillId="0" borderId="3" xfId="0" applyNumberFormat="1" applyFont="1" applyBorder="1" applyAlignment="1">
      <alignment wrapText="1"/>
    </xf>
    <xf numFmtId="2" fontId="5" fillId="0" borderId="3" xfId="0" applyNumberFormat="1" applyFont="1" applyBorder="1"/>
    <xf numFmtId="0" fontId="5" fillId="0" borderId="4" xfId="0" applyFont="1" applyBorder="1" applyAlignment="1">
      <alignment wrapText="1"/>
    </xf>
    <xf numFmtId="2" fontId="5" fillId="0" borderId="5" xfId="0" applyNumberFormat="1" applyFont="1" applyBorder="1"/>
    <xf numFmtId="2" fontId="5" fillId="0" borderId="4" xfId="0" applyNumberFormat="1" applyFont="1" applyBorder="1"/>
    <xf numFmtId="1" fontId="5" fillId="0" borderId="0" xfId="0" applyNumberFormat="1" applyFont="1" applyBorder="1"/>
    <xf numFmtId="1" fontId="5" fillId="0" borderId="3" xfId="0" applyNumberFormat="1" applyFont="1" applyBorder="1"/>
    <xf numFmtId="2" fontId="5" fillId="0" borderId="4" xfId="0" applyNumberFormat="1" applyFont="1" applyBorder="1" applyAlignment="1">
      <alignment horizontal="right"/>
    </xf>
    <xf numFmtId="2" fontId="5" fillId="0" borderId="6" xfId="0" applyNumberFormat="1" applyFont="1" applyBorder="1"/>
    <xf numFmtId="10" fontId="5" fillId="0" borderId="0" xfId="0" applyNumberFormat="1" applyFont="1" applyBorder="1" applyAlignment="1">
      <alignment wrapText="1"/>
    </xf>
    <xf numFmtId="10" fontId="5" fillId="0" borderId="3" xfId="0" applyNumberFormat="1" applyFont="1" applyBorder="1" applyAlignment="1">
      <alignment wrapText="1"/>
    </xf>
    <xf numFmtId="10" fontId="5" fillId="0" borderId="4" xfId="0" applyNumberFormat="1" applyFont="1" applyBorder="1" applyAlignment="1">
      <alignment horizontal="right"/>
    </xf>
    <xf numFmtId="0" fontId="5" fillId="0" borderId="6" xfId="0" applyFont="1" applyBorder="1" applyAlignment="1">
      <alignment wrapText="1"/>
    </xf>
    <xf numFmtId="2" fontId="5" fillId="0" borderId="7" xfId="0" applyNumberFormat="1" applyFont="1" applyBorder="1"/>
    <xf numFmtId="10" fontId="5" fillId="0" borderId="5" xfId="0" applyNumberFormat="1" applyFont="1" applyBorder="1" applyAlignment="1">
      <alignment horizontal="right"/>
    </xf>
    <xf numFmtId="2" fontId="5" fillId="0" borderId="7" xfId="0" applyNumberFormat="1" applyFont="1" applyBorder="1" applyAlignment="1">
      <alignment horizontal="right"/>
    </xf>
    <xf numFmtId="2" fontId="5" fillId="0" borderId="6" xfId="0" applyNumberFormat="1" applyFont="1" applyBorder="1" applyAlignment="1">
      <alignment horizontal="right"/>
    </xf>
    <xf numFmtId="10" fontId="5" fillId="0" borderId="5" xfId="0" applyNumberFormat="1" applyFont="1" applyBorder="1"/>
    <xf numFmtId="10" fontId="5" fillId="0" borderId="4" xfId="0" applyNumberFormat="1" applyFont="1" applyBorder="1"/>
    <xf numFmtId="0" fontId="5" fillId="0" borderId="8" xfId="0" applyFont="1" applyBorder="1" applyAlignment="1">
      <alignment wrapText="1"/>
    </xf>
    <xf numFmtId="10" fontId="5" fillId="0" borderId="9" xfId="0" applyNumberFormat="1" applyFont="1" applyBorder="1"/>
    <xf numFmtId="10" fontId="5" fillId="0" borderId="8" xfId="0" applyNumberFormat="1" applyFont="1" applyBorder="1"/>
    <xf numFmtId="0" fontId="5" fillId="0" borderId="0" xfId="0" applyFont="1" applyBorder="1" applyAlignment="1">
      <alignment wrapText="1"/>
    </xf>
    <xf numFmtId="2" fontId="13" fillId="0" borderId="0" xfId="0" applyNumberFormat="1" applyFont="1" applyBorder="1"/>
    <xf numFmtId="0" fontId="4" fillId="0" borderId="20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/>
    </xf>
    <xf numFmtId="0" fontId="4" fillId="0" borderId="3" xfId="0" applyFont="1" applyBorder="1" applyAlignment="1">
      <alignment wrapText="1"/>
    </xf>
    <xf numFmtId="2" fontId="13" fillId="0" borderId="4" xfId="0" applyNumberFormat="1" applyFont="1" applyBorder="1"/>
    <xf numFmtId="0" fontId="4" fillId="0" borderId="12" xfId="0" applyFont="1" applyBorder="1" applyAlignment="1">
      <alignment wrapText="1"/>
    </xf>
    <xf numFmtId="2" fontId="4" fillId="0" borderId="12" xfId="0" applyNumberFormat="1" applyFont="1" applyBorder="1"/>
    <xf numFmtId="10" fontId="5" fillId="0" borderId="3" xfId="0" applyNumberFormat="1" applyFont="1" applyBorder="1" applyAlignment="1">
      <alignment horizontal="right"/>
    </xf>
    <xf numFmtId="10" fontId="5" fillId="0" borderId="3" xfId="0" applyNumberFormat="1" applyFont="1" applyBorder="1"/>
    <xf numFmtId="4" fontId="5" fillId="0" borderId="3" xfId="0" applyNumberFormat="1" applyFont="1" applyBorder="1"/>
    <xf numFmtId="0" fontId="4" fillId="0" borderId="13" xfId="0" applyFont="1" applyBorder="1" applyAlignment="1">
      <alignment vertical="center" wrapText="1"/>
    </xf>
    <xf numFmtId="2" fontId="4" fillId="0" borderId="13" xfId="0" applyNumberFormat="1" applyFont="1" applyBorder="1"/>
    <xf numFmtId="0" fontId="4" fillId="0" borderId="0" xfId="0" applyFont="1" applyBorder="1" applyAlignment="1">
      <alignment wrapText="1"/>
    </xf>
    <xf numFmtId="0" fontId="5" fillId="0" borderId="0" xfId="0" applyFont="1" applyBorder="1" applyAlignment="1">
      <alignment horizontal="center"/>
    </xf>
    <xf numFmtId="0" fontId="14" fillId="0" borderId="14" xfId="0" applyFont="1" applyBorder="1"/>
    <xf numFmtId="0" fontId="5" fillId="0" borderId="15" xfId="0" applyFont="1" applyBorder="1"/>
    <xf numFmtId="0" fontId="5" fillId="0" borderId="14" xfId="0" applyFont="1" applyBorder="1"/>
    <xf numFmtId="2" fontId="5" fillId="0" borderId="15" xfId="0" applyNumberFormat="1" applyFont="1" applyBorder="1" applyAlignment="1">
      <alignment horizontal="right"/>
    </xf>
    <xf numFmtId="0" fontId="4" fillId="0" borderId="16" xfId="0" applyFont="1" applyBorder="1"/>
    <xf numFmtId="2" fontId="4" fillId="0" borderId="1" xfId="0" applyNumberFormat="1" applyFont="1" applyBorder="1"/>
    <xf numFmtId="2" fontId="4" fillId="0" borderId="17" xfId="0" applyNumberFormat="1" applyFont="1" applyBorder="1"/>
    <xf numFmtId="0" fontId="15" fillId="0" borderId="14" xfId="0" applyFont="1" applyBorder="1"/>
    <xf numFmtId="2" fontId="4" fillId="0" borderId="3" xfId="0" applyNumberFormat="1" applyFont="1" applyBorder="1"/>
    <xf numFmtId="2" fontId="4" fillId="0" borderId="15" xfId="0" applyNumberFormat="1" applyFont="1" applyBorder="1" applyAlignment="1">
      <alignment horizontal="right"/>
    </xf>
    <xf numFmtId="2" fontId="4" fillId="0" borderId="15" xfId="0" applyNumberFormat="1" applyFont="1" applyBorder="1"/>
    <xf numFmtId="0" fontId="5" fillId="0" borderId="8" xfId="0" applyFont="1" applyBorder="1"/>
    <xf numFmtId="0" fontId="15" fillId="0" borderId="16" xfId="0" applyFont="1" applyBorder="1" applyAlignment="1">
      <alignment horizontal="left" vertical="center"/>
    </xf>
    <xf numFmtId="0" fontId="5" fillId="0" borderId="18" xfId="0" applyFont="1" applyBorder="1"/>
    <xf numFmtId="10" fontId="5" fillId="0" borderId="8" xfId="0" applyNumberFormat="1" applyFont="1" applyBorder="1" applyAlignment="1">
      <alignment horizontal="right"/>
    </xf>
    <xf numFmtId="10" fontId="5" fillId="0" borderId="19" xfId="0" applyNumberFormat="1" applyFont="1" applyBorder="1" applyAlignment="1">
      <alignment horizontal="right"/>
    </xf>
    <xf numFmtId="0" fontId="16" fillId="0" borderId="1" xfId="0" applyFont="1" applyBorder="1" applyAlignment="1">
      <alignment horizontal="center" vertical="center" wrapText="1"/>
    </xf>
    <xf numFmtId="2" fontId="5" fillId="0" borderId="10" xfId="0" applyNumberFormat="1" applyFont="1" applyBorder="1"/>
    <xf numFmtId="2" fontId="13" fillId="0" borderId="3" xfId="0" applyNumberFormat="1" applyFont="1" applyBorder="1"/>
    <xf numFmtId="2" fontId="4" fillId="0" borderId="6" xfId="0" applyNumberFormat="1" applyFont="1" applyBorder="1"/>
    <xf numFmtId="2" fontId="5" fillId="0" borderId="12" xfId="0" applyNumberFormat="1" applyFont="1" applyBorder="1"/>
    <xf numFmtId="2" fontId="13" fillId="0" borderId="21" xfId="0" applyNumberFormat="1" applyFont="1" applyBorder="1"/>
    <xf numFmtId="2" fontId="4" fillId="0" borderId="8" xfId="0" applyNumberFormat="1" applyFont="1" applyBorder="1"/>
    <xf numFmtId="49" fontId="5" fillId="0" borderId="0" xfId="0" applyNumberFormat="1" applyFont="1" applyBorder="1" applyAlignment="1">
      <alignment horizontal="center"/>
    </xf>
    <xf numFmtId="49" fontId="17" fillId="0" borderId="11" xfId="0" applyNumberFormat="1" applyFont="1" applyAlignment="1">
      <alignment horizontal="right"/>
    </xf>
    <xf numFmtId="0" fontId="16" fillId="0" borderId="0" xfId="0" applyFont="1" applyBorder="1"/>
    <xf numFmtId="2" fontId="5" fillId="0" borderId="0" xfId="0" applyNumberFormat="1" applyFont="1" applyBorder="1" applyAlignment="1">
      <alignment horizontal="center"/>
    </xf>
    <xf numFmtId="4" fontId="5" fillId="0" borderId="0" xfId="0" applyNumberFormat="1" applyFont="1" applyBorder="1" applyAlignment="1">
      <alignment horizontal="center"/>
    </xf>
    <xf numFmtId="0" fontId="16" fillId="0" borderId="1" xfId="0" applyFont="1" applyBorder="1"/>
    <xf numFmtId="0" fontId="12" fillId="0" borderId="0" xfId="0" applyFont="1" applyBorder="1" applyAlignment="1">
      <alignment horizontal="center" wrapText="1"/>
    </xf>
    <xf numFmtId="0" fontId="13" fillId="0" borderId="0" xfId="0" applyFont="1" applyBorder="1"/>
    <xf numFmtId="0" fontId="5" fillId="0" borderId="0" xfId="0" applyNumberFormat="1" applyFont="1" applyBorder="1" applyAlignment="1">
      <alignment horizontal="right"/>
    </xf>
    <xf numFmtId="0" fontId="5" fillId="0" borderId="3" xfId="0" applyNumberFormat="1" applyFont="1" applyBorder="1" applyAlignment="1">
      <alignment horizontal="right" wrapText="1"/>
    </xf>
    <xf numFmtId="0" fontId="5" fillId="0" borderId="0" xfId="0" applyNumberFormat="1" applyFont="1" applyBorder="1"/>
    <xf numFmtId="0" fontId="0" fillId="0" borderId="11" xfId="0" applyBorder="1"/>
    <xf numFmtId="2" fontId="3" fillId="0" borderId="11" xfId="0" applyNumberFormat="1" applyFont="1" applyBorder="1"/>
    <xf numFmtId="2" fontId="2" fillId="0" borderId="11" xfId="0" applyNumberFormat="1" applyFont="1" applyBorder="1"/>
    <xf numFmtId="10" fontId="5" fillId="0" borderId="4" xfId="0" applyNumberFormat="1" applyFont="1" applyBorder="1" applyAlignment="1">
      <alignment wrapText="1"/>
    </xf>
    <xf numFmtId="0" fontId="4" fillId="0" borderId="8" xfId="0" applyFont="1" applyBorder="1"/>
    <xf numFmtId="0" fontId="21" fillId="0" borderId="11" xfId="0" applyFont="1" applyAlignment="1">
      <alignment horizontal="center" wrapText="1"/>
    </xf>
    <xf numFmtId="0" fontId="13" fillId="0" borderId="0" xfId="0" applyFont="1" applyBorder="1"/>
    <xf numFmtId="17" fontId="12" fillId="0" borderId="11" xfId="0" applyNumberFormat="1" applyFont="1" applyAlignment="1">
      <alignment horizontal="center" wrapText="1"/>
    </xf>
    <xf numFmtId="0" fontId="18" fillId="0" borderId="11" xfId="0" applyFont="1" applyAlignment="1">
      <alignment horizontal="center" wrapText="1"/>
    </xf>
    <xf numFmtId="0" fontId="18" fillId="0" borderId="11" xfId="0" applyFont="1" applyAlignment="1">
      <alignment horizontal="center"/>
    </xf>
    <xf numFmtId="0" fontId="19" fillId="0" borderId="11" xfId="0" applyFont="1" applyAlignment="1">
      <alignment horizontal="center"/>
    </xf>
    <xf numFmtId="0" fontId="13" fillId="0" borderId="11" xfId="0" applyFont="1"/>
    <xf numFmtId="0" fontId="20" fillId="0" borderId="11" xfId="0" applyFont="1" applyAlignment="1">
      <alignment horizontal="center"/>
    </xf>
    <xf numFmtId="0" fontId="12" fillId="0" borderId="11" xfId="0" applyFont="1" applyAlignment="1">
      <alignment horizontal="center" wrapText="1"/>
    </xf>
    <xf numFmtId="0" fontId="13" fillId="0" borderId="11" xfId="0" applyFont="1" applyAlignment="1">
      <alignment horizontal="left" wrapText="1"/>
    </xf>
  </cellXfs>
  <cellStyles count="20">
    <cellStyle name="Normal" xfId="0" builtinId="0"/>
    <cellStyle name="Normal 10" xfId="9" xr:uid="{00000000-0005-0000-0000-000009000000}"/>
    <cellStyle name="Normal 11" xfId="10" xr:uid="{00000000-0005-0000-0000-00000A000000}"/>
    <cellStyle name="Normal 12" xfId="11" xr:uid="{00000000-0005-0000-0000-00000B000000}"/>
    <cellStyle name="Normal 13" xfId="12" xr:uid="{00000000-0005-0000-0000-00000C000000}"/>
    <cellStyle name="Normal 14" xfId="13" xr:uid="{00000000-0005-0000-0000-00000D000000}"/>
    <cellStyle name="Normal 15" xfId="14" xr:uid="{00000000-0005-0000-0000-00000E000000}"/>
    <cellStyle name="Normal 16" xfId="15" xr:uid="{00000000-0005-0000-0000-00000F000000}"/>
    <cellStyle name="Normal 17" xfId="16" xr:uid="{00000000-0005-0000-0000-000010000000}"/>
    <cellStyle name="Normal 18" xfId="17" xr:uid="{00000000-0005-0000-0000-000011000000}"/>
    <cellStyle name="Normal 19" xfId="18" xr:uid="{00000000-0005-0000-0000-000012000000}"/>
    <cellStyle name="Normal 2" xfId="1" xr:uid="{00000000-0005-0000-0000-000001000000}"/>
    <cellStyle name="Normal 20" xfId="19" xr:uid="{00000000-0005-0000-0000-000013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00000000-0005-0000-0000-000006000000}"/>
    <cellStyle name="Normal 8" xfId="7" xr:uid="{00000000-0005-0000-0000-000007000000}"/>
    <cellStyle name="Normal 9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15240</xdr:colOff>
      <xdr:row>25</xdr:row>
      <xdr:rowOff>137160</xdr:rowOff>
    </xdr:from>
    <xdr:to>
      <xdr:col>7</xdr:col>
      <xdr:colOff>753932</xdr:colOff>
      <xdr:row>30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79DF4B-8813-4281-AA20-DE9072870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80860" y="4602480"/>
          <a:ext cx="738692" cy="7391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175325</xdr:colOff>
      <xdr:row>35</xdr:row>
      <xdr:rowOff>144780</xdr:rowOff>
    </xdr:from>
    <xdr:to>
      <xdr:col>7</xdr:col>
      <xdr:colOff>914017</xdr:colOff>
      <xdr:row>39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9BA183-3DF7-4D89-8A3F-52A846807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61085" y="6659880"/>
          <a:ext cx="738692" cy="7391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144780</xdr:colOff>
      <xdr:row>19</xdr:row>
      <xdr:rowOff>129540</xdr:rowOff>
    </xdr:from>
    <xdr:to>
      <xdr:col>7</xdr:col>
      <xdr:colOff>883472</xdr:colOff>
      <xdr:row>23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A158E1-57F3-48D4-BB15-6C4D23112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50680" y="4091940"/>
          <a:ext cx="738692" cy="7391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175260</xdr:colOff>
      <xdr:row>21</xdr:row>
      <xdr:rowOff>106680</xdr:rowOff>
    </xdr:from>
    <xdr:to>
      <xdr:col>7</xdr:col>
      <xdr:colOff>913952</xdr:colOff>
      <xdr:row>25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2A0F07-1825-442C-B8B1-CFA0FEB06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63100" y="4046220"/>
          <a:ext cx="738692" cy="7391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  <pageSetUpPr fitToPage="1"/>
  </sheetPr>
  <dimension ref="A1:Z996"/>
  <sheetViews>
    <sheetView showGridLines="0" zoomScaleNormal="100" workbookViewId="0">
      <selection activeCell="B2" sqref="B2:H2"/>
    </sheetView>
  </sheetViews>
  <sheetFormatPr defaultColWidth="12.6640625" defaultRowHeight="15" customHeight="1" x14ac:dyDescent="0.3"/>
  <cols>
    <col min="1" max="1" width="4.88671875" style="20" customWidth="1"/>
    <col min="2" max="2" width="33.88671875" style="97" customWidth="1"/>
    <col min="3" max="3" width="12.109375" style="97" customWidth="1"/>
    <col min="4" max="5" width="12.44140625" style="97" customWidth="1"/>
    <col min="6" max="6" width="12.109375" style="97" customWidth="1"/>
    <col min="7" max="7" width="12.21875" style="97" customWidth="1"/>
    <col min="8" max="8" width="12.44140625" style="97" customWidth="1"/>
    <col min="9" max="26" width="12.44140625" style="20" customWidth="1"/>
  </cols>
  <sheetData>
    <row r="1" spans="2:8" ht="15.75" customHeight="1" x14ac:dyDescent="0.35">
      <c r="B1" s="106"/>
      <c r="C1" s="107"/>
      <c r="D1" s="107"/>
      <c r="E1" s="107"/>
      <c r="F1" s="107"/>
      <c r="G1" s="107"/>
      <c r="H1" s="107"/>
    </row>
    <row r="2" spans="2:8" ht="16.5" customHeight="1" x14ac:dyDescent="0.3">
      <c r="B2" s="109" t="s">
        <v>73</v>
      </c>
      <c r="C2" s="107"/>
      <c r="D2" s="107"/>
      <c r="E2" s="107"/>
      <c r="F2" s="107"/>
      <c r="G2" s="107"/>
      <c r="H2" s="107"/>
    </row>
    <row r="3" spans="2:8" ht="12" customHeight="1" thickBot="1" x14ac:dyDescent="0.4">
      <c r="B3" s="108"/>
      <c r="C3" s="107"/>
      <c r="D3" s="107"/>
      <c r="E3" s="107"/>
      <c r="F3" s="107"/>
      <c r="G3" s="107"/>
      <c r="H3" s="107"/>
    </row>
    <row r="4" spans="2:8" ht="15" customHeight="1" thickBot="1" x14ac:dyDescent="0.3">
      <c r="B4" s="22" t="s">
        <v>0</v>
      </c>
      <c r="C4" s="23" t="s">
        <v>1</v>
      </c>
      <c r="D4" s="22" t="s">
        <v>2</v>
      </c>
      <c r="E4" s="23" t="s">
        <v>3</v>
      </c>
      <c r="F4" s="22" t="s">
        <v>4</v>
      </c>
      <c r="G4" s="22" t="s">
        <v>5</v>
      </c>
      <c r="H4" s="24" t="s">
        <v>6</v>
      </c>
    </row>
    <row r="5" spans="2:8" ht="12" customHeight="1" x14ac:dyDescent="0.3">
      <c r="B5" s="25"/>
      <c r="C5" s="26"/>
      <c r="D5" s="25"/>
      <c r="E5" s="26"/>
      <c r="F5" s="25"/>
      <c r="G5" s="25"/>
      <c r="H5" s="6"/>
    </row>
    <row r="6" spans="2:8" ht="12" customHeight="1" x14ac:dyDescent="0.3">
      <c r="B6" s="25" t="s">
        <v>7</v>
      </c>
      <c r="C6" s="98"/>
      <c r="D6" s="99"/>
      <c r="E6" s="100"/>
      <c r="F6" s="99"/>
      <c r="G6" s="99"/>
      <c r="H6" s="6">
        <f>SUM(C6:G6)</f>
        <v>0</v>
      </c>
    </row>
    <row r="7" spans="2:8" ht="12" customHeight="1" x14ac:dyDescent="0.3">
      <c r="B7" s="25"/>
      <c r="C7" s="26"/>
      <c r="D7" s="25"/>
      <c r="E7" s="26"/>
      <c r="F7" s="25"/>
      <c r="G7" s="25"/>
      <c r="H7" s="6"/>
    </row>
    <row r="8" spans="2:8" ht="12" customHeight="1" x14ac:dyDescent="0.3">
      <c r="B8" s="25" t="s">
        <v>8</v>
      </c>
      <c r="C8" s="27">
        <f>Cashflow!C10</f>
        <v>0</v>
      </c>
      <c r="D8" s="28">
        <f>Cashflow!D10</f>
        <v>0</v>
      </c>
      <c r="E8" s="27">
        <f>Cashflow!E10</f>
        <v>0</v>
      </c>
      <c r="F8" s="28">
        <f>Cashflow!F10</f>
        <v>0</v>
      </c>
      <c r="G8" s="28">
        <f>Cashflow!G10</f>
        <v>0</v>
      </c>
      <c r="H8" s="28">
        <f>SUM(C8:G8)</f>
        <v>0</v>
      </c>
    </row>
    <row r="9" spans="2:8" ht="12" customHeight="1" x14ac:dyDescent="0.3">
      <c r="B9" s="25"/>
      <c r="C9" s="29"/>
      <c r="D9" s="30"/>
      <c r="E9" s="29"/>
      <c r="F9" s="30"/>
      <c r="G9" s="30"/>
      <c r="H9" s="31"/>
    </row>
    <row r="10" spans="2:8" ht="12" customHeight="1" x14ac:dyDescent="0.3">
      <c r="B10" s="32" t="s">
        <v>9</v>
      </c>
      <c r="C10" s="33">
        <f>IFERROR(C8/C6,)</f>
        <v>0</v>
      </c>
      <c r="D10" s="34">
        <f t="shared" ref="D10:H10" si="0">IFERROR(D8/D6,)</f>
        <v>0</v>
      </c>
      <c r="E10" s="33">
        <f t="shared" si="0"/>
        <v>0</v>
      </c>
      <c r="F10" s="34">
        <f t="shared" si="0"/>
        <v>0</v>
      </c>
      <c r="G10" s="33">
        <f t="shared" si="0"/>
        <v>0</v>
      </c>
      <c r="H10" s="34">
        <f t="shared" si="0"/>
        <v>0</v>
      </c>
    </row>
    <row r="11" spans="2:8" ht="12" customHeight="1" x14ac:dyDescent="0.3">
      <c r="B11" s="25"/>
      <c r="C11" s="29"/>
      <c r="D11" s="31"/>
      <c r="E11" s="29"/>
      <c r="F11" s="31"/>
      <c r="G11" s="31"/>
      <c r="H11" s="31"/>
    </row>
    <row r="12" spans="2:8" ht="12" customHeight="1" x14ac:dyDescent="0.3">
      <c r="B12" s="25" t="s">
        <v>10</v>
      </c>
      <c r="C12" s="35">
        <v>0</v>
      </c>
      <c r="D12" s="36">
        <v>0</v>
      </c>
      <c r="E12" s="35">
        <v>0</v>
      </c>
      <c r="F12" s="36">
        <v>0</v>
      </c>
      <c r="G12" s="36">
        <v>0</v>
      </c>
      <c r="H12" s="36">
        <f>SUM(C12:G12)</f>
        <v>0</v>
      </c>
    </row>
    <row r="13" spans="2:8" ht="12" customHeight="1" x14ac:dyDescent="0.3">
      <c r="B13" s="25"/>
      <c r="C13" s="29"/>
      <c r="D13" s="30"/>
      <c r="E13" s="29"/>
      <c r="F13" s="30"/>
      <c r="G13" s="30"/>
      <c r="H13" s="31"/>
    </row>
    <row r="14" spans="2:8" ht="14.25" customHeight="1" x14ac:dyDescent="0.3">
      <c r="B14" s="32" t="s">
        <v>11</v>
      </c>
      <c r="C14" s="33">
        <f>Cashflow!C13</f>
        <v>0</v>
      </c>
      <c r="D14" s="34">
        <f>Cashflow!D13</f>
        <v>0</v>
      </c>
      <c r="E14" s="33">
        <f>Cashflow!E13</f>
        <v>0</v>
      </c>
      <c r="F14" s="34">
        <f>Cashflow!F13</f>
        <v>0</v>
      </c>
      <c r="G14" s="34">
        <f>Cashflow!G13</f>
        <v>0</v>
      </c>
      <c r="H14" s="37">
        <f>SUM(C14:G14)</f>
        <v>0</v>
      </c>
    </row>
    <row r="15" spans="2:8" ht="16.5" customHeight="1" x14ac:dyDescent="0.3">
      <c r="B15" s="25" t="s">
        <v>12</v>
      </c>
      <c r="C15" s="38">
        <f>Cashflow!C8</f>
        <v>0</v>
      </c>
      <c r="D15" s="38">
        <f>Cashflow!D8</f>
        <v>0</v>
      </c>
      <c r="E15" s="38">
        <f>Cashflow!E8</f>
        <v>0</v>
      </c>
      <c r="F15" s="38">
        <f>Cashflow!F8</f>
        <v>0</v>
      </c>
      <c r="G15" s="38">
        <f>Cashflow!G8</f>
        <v>0</v>
      </c>
      <c r="H15" s="28">
        <f>SUM(C15:G15)</f>
        <v>0</v>
      </c>
    </row>
    <row r="16" spans="2:8" ht="16.5" customHeight="1" x14ac:dyDescent="0.3">
      <c r="B16" s="25"/>
      <c r="C16" s="39">
        <f t="shared" ref="C16:H16" si="1">IFERROR(C15/C8,0)</f>
        <v>0</v>
      </c>
      <c r="D16" s="40">
        <f t="shared" si="1"/>
        <v>0</v>
      </c>
      <c r="E16" s="39">
        <f t="shared" si="1"/>
        <v>0</v>
      </c>
      <c r="F16" s="40">
        <f t="shared" si="1"/>
        <v>0</v>
      </c>
      <c r="G16" s="40">
        <f t="shared" si="1"/>
        <v>0</v>
      </c>
      <c r="H16" s="104">
        <f t="shared" si="1"/>
        <v>0</v>
      </c>
    </row>
    <row r="17" spans="2:10" ht="14.25" customHeight="1" x14ac:dyDescent="0.3">
      <c r="B17" s="42" t="s">
        <v>13</v>
      </c>
      <c r="C17" s="43">
        <f>Cashflow!C11</f>
        <v>0</v>
      </c>
      <c r="D17" s="38">
        <f>Cashflow!D11</f>
        <v>0</v>
      </c>
      <c r="E17" s="43">
        <f>Cashflow!E11</f>
        <v>0</v>
      </c>
      <c r="F17" s="38">
        <f>Cashflow!F11</f>
        <v>0</v>
      </c>
      <c r="G17" s="38">
        <f>Cashflow!G11</f>
        <v>0</v>
      </c>
      <c r="H17" s="28">
        <f>SUM(C17:G17)</f>
        <v>0</v>
      </c>
    </row>
    <row r="18" spans="2:10" ht="19.5" customHeight="1" x14ac:dyDescent="0.3">
      <c r="B18" s="32" t="s">
        <v>14</v>
      </c>
      <c r="C18" s="44">
        <f t="shared" ref="C18:H18" si="2">IFERROR(C17/C8,0)</f>
        <v>0</v>
      </c>
      <c r="D18" s="41">
        <f t="shared" si="2"/>
        <v>0</v>
      </c>
      <c r="E18" s="44">
        <f t="shared" si="2"/>
        <v>0</v>
      </c>
      <c r="F18" s="41">
        <f t="shared" si="2"/>
        <v>0</v>
      </c>
      <c r="G18" s="41">
        <f t="shared" si="2"/>
        <v>0</v>
      </c>
      <c r="H18" s="41">
        <f t="shared" si="2"/>
        <v>0</v>
      </c>
      <c r="J18" s="3"/>
    </row>
    <row r="19" spans="2:10" ht="15" customHeight="1" x14ac:dyDescent="0.3">
      <c r="B19" s="42" t="s">
        <v>15</v>
      </c>
      <c r="C19" s="45">
        <f>Cashflow!C16</f>
        <v>0</v>
      </c>
      <c r="D19" s="46">
        <f>Cashflow!D16</f>
        <v>0</v>
      </c>
      <c r="E19" s="45">
        <f>Cashflow!E16</f>
        <v>0</v>
      </c>
      <c r="F19" s="46">
        <f>Cashflow!F16</f>
        <v>0</v>
      </c>
      <c r="G19" s="46">
        <f>Cashflow!G16</f>
        <v>0</v>
      </c>
      <c r="H19" s="46">
        <f>SUM(C19:G19)</f>
        <v>0</v>
      </c>
    </row>
    <row r="20" spans="2:10" ht="15.75" customHeight="1" x14ac:dyDescent="0.3">
      <c r="B20" s="32"/>
      <c r="C20" s="44">
        <f t="shared" ref="C20:H20" si="3">IFERROR(C19/C8,0)</f>
        <v>0</v>
      </c>
      <c r="D20" s="41">
        <f t="shared" si="3"/>
        <v>0</v>
      </c>
      <c r="E20" s="44">
        <f t="shared" si="3"/>
        <v>0</v>
      </c>
      <c r="F20" s="41">
        <f t="shared" si="3"/>
        <v>0</v>
      </c>
      <c r="G20" s="41">
        <f t="shared" si="3"/>
        <v>0</v>
      </c>
      <c r="H20" s="41">
        <f t="shared" si="3"/>
        <v>0</v>
      </c>
    </row>
    <row r="21" spans="2:10" ht="18" customHeight="1" x14ac:dyDescent="0.3">
      <c r="B21" s="42" t="s">
        <v>16</v>
      </c>
      <c r="C21" s="43">
        <f>Cashflow!C20+Cashflow!C26</f>
        <v>0</v>
      </c>
      <c r="D21" s="38">
        <f>Cashflow!D20+Cashflow!D26</f>
        <v>0</v>
      </c>
      <c r="E21" s="43">
        <f>Cashflow!E20+Cashflow!E26</f>
        <v>0</v>
      </c>
      <c r="F21" s="38">
        <f>Cashflow!F20+Cashflow!F26</f>
        <v>0</v>
      </c>
      <c r="G21" s="38">
        <f>Cashflow!G20+Cashflow!G26</f>
        <v>0</v>
      </c>
      <c r="H21" s="46">
        <f>SUM(C21:G21)</f>
        <v>0</v>
      </c>
    </row>
    <row r="22" spans="2:10" ht="16.5" customHeight="1" x14ac:dyDescent="0.3">
      <c r="B22" s="32"/>
      <c r="C22" s="47">
        <f t="shared" ref="C22:H22" si="4">IFERROR(C21/C8,0)</f>
        <v>0</v>
      </c>
      <c r="D22" s="48">
        <f t="shared" si="4"/>
        <v>0</v>
      </c>
      <c r="E22" s="47">
        <f t="shared" si="4"/>
        <v>0</v>
      </c>
      <c r="F22" s="48">
        <f t="shared" si="4"/>
        <v>0</v>
      </c>
      <c r="G22" s="48">
        <f t="shared" si="4"/>
        <v>0</v>
      </c>
      <c r="H22" s="48">
        <f t="shared" si="4"/>
        <v>0</v>
      </c>
    </row>
    <row r="23" spans="2:10" ht="12" customHeight="1" x14ac:dyDescent="0.3">
      <c r="B23" s="25"/>
      <c r="C23" s="29"/>
      <c r="D23" s="30"/>
      <c r="E23" s="29"/>
      <c r="F23" s="30"/>
      <c r="G23" s="30"/>
      <c r="H23" s="31"/>
    </row>
    <row r="24" spans="2:10" ht="12" customHeight="1" x14ac:dyDescent="0.3">
      <c r="B24" s="25" t="s">
        <v>17</v>
      </c>
      <c r="C24" s="29">
        <f t="shared" ref="C24:H24" si="5">C8-C14-C17-C19-C21</f>
        <v>0</v>
      </c>
      <c r="D24" s="31">
        <f t="shared" si="5"/>
        <v>0</v>
      </c>
      <c r="E24" s="29">
        <f t="shared" si="5"/>
        <v>0</v>
      </c>
      <c r="F24" s="28">
        <f t="shared" si="5"/>
        <v>0</v>
      </c>
      <c r="G24" s="28">
        <f t="shared" si="5"/>
        <v>0</v>
      </c>
      <c r="H24" s="31">
        <f t="shared" si="5"/>
        <v>0</v>
      </c>
      <c r="J24" s="4"/>
    </row>
    <row r="25" spans="2:10" ht="17.25" customHeight="1" thickBot="1" x14ac:dyDescent="0.35">
      <c r="B25" s="49"/>
      <c r="C25" s="50">
        <f>IFERROR(C24/$C$8,0)</f>
        <v>0</v>
      </c>
      <c r="D25" s="51">
        <f>IFERROR(D24/$D$8,0)</f>
        <v>0</v>
      </c>
      <c r="E25" s="50">
        <f>IFERROR(E24/$E$8,0)</f>
        <v>0</v>
      </c>
      <c r="F25" s="51">
        <f>IFERROR(F24/$F$8,0)</f>
        <v>0</v>
      </c>
      <c r="G25" s="51">
        <f>IFERROR(G24/$G$8,0)</f>
        <v>0</v>
      </c>
      <c r="H25" s="51">
        <f>IFERROR(H24/$H$8,0)</f>
        <v>0</v>
      </c>
    </row>
    <row r="26" spans="2:10" ht="12" customHeight="1" x14ac:dyDescent="0.3">
      <c r="B26" s="52"/>
      <c r="C26" s="53"/>
      <c r="D26" s="53"/>
      <c r="E26" s="53"/>
      <c r="F26" s="53"/>
      <c r="G26" s="53"/>
    </row>
    <row r="27" spans="2:10" ht="12" customHeight="1" x14ac:dyDescent="0.3">
      <c r="B27" s="52"/>
    </row>
    <row r="28" spans="2:10" ht="12" customHeight="1" x14ac:dyDescent="0.3">
      <c r="B28" s="52"/>
    </row>
    <row r="29" spans="2:10" ht="12" customHeight="1" x14ac:dyDescent="0.3">
      <c r="B29" s="52"/>
      <c r="C29" s="53"/>
    </row>
    <row r="30" spans="2:10" ht="12" customHeight="1" x14ac:dyDescent="0.3">
      <c r="B30" s="52"/>
    </row>
    <row r="31" spans="2:10" ht="12" customHeight="1" x14ac:dyDescent="0.3">
      <c r="B31" s="52"/>
    </row>
    <row r="32" spans="2:10" ht="12" customHeight="1" x14ac:dyDescent="0.3">
      <c r="B32" s="52"/>
    </row>
    <row r="33" spans="2:2" ht="12" customHeight="1" x14ac:dyDescent="0.3">
      <c r="B33" s="52"/>
    </row>
    <row r="34" spans="2:2" ht="12" customHeight="1" x14ac:dyDescent="0.3">
      <c r="B34" s="52"/>
    </row>
    <row r="35" spans="2:2" ht="12" customHeight="1" x14ac:dyDescent="0.3">
      <c r="B35" s="52"/>
    </row>
    <row r="36" spans="2:2" ht="12" customHeight="1" x14ac:dyDescent="0.3">
      <c r="B36" s="52"/>
    </row>
    <row r="37" spans="2:2" ht="12" customHeight="1" x14ac:dyDescent="0.3">
      <c r="B37" s="52"/>
    </row>
    <row r="38" spans="2:2" ht="12" customHeight="1" x14ac:dyDescent="0.3">
      <c r="B38" s="52"/>
    </row>
    <row r="39" spans="2:2" ht="12" customHeight="1" x14ac:dyDescent="0.3">
      <c r="B39" s="52"/>
    </row>
    <row r="40" spans="2:2" ht="12" customHeight="1" x14ac:dyDescent="0.3">
      <c r="B40" s="52"/>
    </row>
    <row r="41" spans="2:2" ht="12" customHeight="1" x14ac:dyDescent="0.3">
      <c r="B41" s="52"/>
    </row>
    <row r="42" spans="2:2" ht="12" customHeight="1" x14ac:dyDescent="0.3">
      <c r="B42" s="52"/>
    </row>
    <row r="43" spans="2:2" ht="12" customHeight="1" x14ac:dyDescent="0.3">
      <c r="B43" s="52"/>
    </row>
    <row r="44" spans="2:2" ht="12" customHeight="1" x14ac:dyDescent="0.3">
      <c r="B44" s="52"/>
    </row>
    <row r="45" spans="2:2" ht="12" customHeight="1" x14ac:dyDescent="0.3">
      <c r="B45" s="52"/>
    </row>
    <row r="46" spans="2:2" ht="12" customHeight="1" x14ac:dyDescent="0.3">
      <c r="B46" s="52"/>
    </row>
    <row r="47" spans="2:2" ht="12" customHeight="1" x14ac:dyDescent="0.3">
      <c r="B47" s="52"/>
    </row>
    <row r="48" spans="2:2" ht="12" customHeight="1" x14ac:dyDescent="0.3">
      <c r="B48" s="52"/>
    </row>
    <row r="49" spans="2:2" ht="12" customHeight="1" x14ac:dyDescent="0.3">
      <c r="B49" s="52"/>
    </row>
    <row r="50" spans="2:2" ht="12" customHeight="1" x14ac:dyDescent="0.3">
      <c r="B50" s="52"/>
    </row>
    <row r="51" spans="2:2" ht="12" customHeight="1" x14ac:dyDescent="0.3">
      <c r="B51" s="52"/>
    </row>
    <row r="52" spans="2:2" ht="12" customHeight="1" x14ac:dyDescent="0.3">
      <c r="B52" s="52"/>
    </row>
    <row r="53" spans="2:2" ht="12" customHeight="1" x14ac:dyDescent="0.3">
      <c r="B53" s="52"/>
    </row>
    <row r="54" spans="2:2" ht="12" customHeight="1" x14ac:dyDescent="0.3">
      <c r="B54" s="52"/>
    </row>
    <row r="55" spans="2:2" ht="12" customHeight="1" x14ac:dyDescent="0.3">
      <c r="B55" s="52"/>
    </row>
    <row r="56" spans="2:2" ht="12" customHeight="1" x14ac:dyDescent="0.3">
      <c r="B56" s="52"/>
    </row>
    <row r="57" spans="2:2" ht="12" customHeight="1" x14ac:dyDescent="0.3">
      <c r="B57" s="52"/>
    </row>
    <row r="58" spans="2:2" ht="12" customHeight="1" x14ac:dyDescent="0.3">
      <c r="B58" s="52"/>
    </row>
    <row r="59" spans="2:2" ht="12" customHeight="1" x14ac:dyDescent="0.3">
      <c r="B59" s="52"/>
    </row>
    <row r="60" spans="2:2" ht="12" customHeight="1" x14ac:dyDescent="0.3">
      <c r="B60" s="52"/>
    </row>
    <row r="61" spans="2:2" ht="12" customHeight="1" x14ac:dyDescent="0.3">
      <c r="B61" s="52"/>
    </row>
    <row r="62" spans="2:2" ht="12" customHeight="1" x14ac:dyDescent="0.3">
      <c r="B62" s="52"/>
    </row>
    <row r="63" spans="2:2" ht="12" customHeight="1" x14ac:dyDescent="0.3">
      <c r="B63" s="52"/>
    </row>
    <row r="64" spans="2:2" ht="12" customHeight="1" x14ac:dyDescent="0.3">
      <c r="B64" s="52"/>
    </row>
    <row r="65" spans="2:2" ht="12" customHeight="1" x14ac:dyDescent="0.3">
      <c r="B65" s="52"/>
    </row>
    <row r="66" spans="2:2" ht="12" customHeight="1" x14ac:dyDescent="0.3">
      <c r="B66" s="52"/>
    </row>
    <row r="67" spans="2:2" ht="12" customHeight="1" x14ac:dyDescent="0.3">
      <c r="B67" s="52"/>
    </row>
    <row r="68" spans="2:2" ht="12" customHeight="1" x14ac:dyDescent="0.3">
      <c r="B68" s="52"/>
    </row>
    <row r="69" spans="2:2" ht="12" customHeight="1" x14ac:dyDescent="0.3">
      <c r="B69" s="52"/>
    </row>
    <row r="70" spans="2:2" ht="12" customHeight="1" x14ac:dyDescent="0.3">
      <c r="B70" s="52"/>
    </row>
    <row r="71" spans="2:2" ht="12" customHeight="1" x14ac:dyDescent="0.3">
      <c r="B71" s="52"/>
    </row>
    <row r="72" spans="2:2" ht="12" customHeight="1" x14ac:dyDescent="0.3">
      <c r="B72" s="52"/>
    </row>
    <row r="73" spans="2:2" ht="12" customHeight="1" x14ac:dyDescent="0.3">
      <c r="B73" s="52"/>
    </row>
    <row r="74" spans="2:2" ht="12" customHeight="1" x14ac:dyDescent="0.3">
      <c r="B74" s="52"/>
    </row>
    <row r="75" spans="2:2" ht="12" customHeight="1" x14ac:dyDescent="0.3">
      <c r="B75" s="52"/>
    </row>
    <row r="76" spans="2:2" ht="12" customHeight="1" x14ac:dyDescent="0.3">
      <c r="B76" s="52"/>
    </row>
    <row r="77" spans="2:2" ht="12" customHeight="1" x14ac:dyDescent="0.3">
      <c r="B77" s="52"/>
    </row>
    <row r="78" spans="2:2" ht="12" customHeight="1" x14ac:dyDescent="0.3">
      <c r="B78" s="52"/>
    </row>
    <row r="79" spans="2:2" ht="12" customHeight="1" x14ac:dyDescent="0.3">
      <c r="B79" s="52"/>
    </row>
    <row r="80" spans="2:2" ht="12" customHeight="1" x14ac:dyDescent="0.3">
      <c r="B80" s="52"/>
    </row>
    <row r="81" spans="2:2" ht="12" customHeight="1" x14ac:dyDescent="0.3">
      <c r="B81" s="52"/>
    </row>
    <row r="82" spans="2:2" ht="12" customHeight="1" x14ac:dyDescent="0.3">
      <c r="B82" s="52"/>
    </row>
    <row r="83" spans="2:2" ht="12" customHeight="1" x14ac:dyDescent="0.3">
      <c r="B83" s="52"/>
    </row>
    <row r="84" spans="2:2" ht="12" customHeight="1" x14ac:dyDescent="0.3">
      <c r="B84" s="52"/>
    </row>
    <row r="85" spans="2:2" ht="12" customHeight="1" x14ac:dyDescent="0.3">
      <c r="B85" s="52"/>
    </row>
    <row r="86" spans="2:2" ht="12" customHeight="1" x14ac:dyDescent="0.3">
      <c r="B86" s="52"/>
    </row>
    <row r="87" spans="2:2" ht="12" customHeight="1" x14ac:dyDescent="0.3">
      <c r="B87" s="52"/>
    </row>
    <row r="88" spans="2:2" ht="12" customHeight="1" x14ac:dyDescent="0.3">
      <c r="B88" s="52"/>
    </row>
    <row r="89" spans="2:2" ht="12" customHeight="1" x14ac:dyDescent="0.3">
      <c r="B89" s="52"/>
    </row>
    <row r="90" spans="2:2" ht="12" customHeight="1" x14ac:dyDescent="0.3">
      <c r="B90" s="52"/>
    </row>
    <row r="91" spans="2:2" ht="12" customHeight="1" x14ac:dyDescent="0.3">
      <c r="B91" s="52"/>
    </row>
    <row r="92" spans="2:2" ht="12" customHeight="1" x14ac:dyDescent="0.3">
      <c r="B92" s="52"/>
    </row>
    <row r="93" spans="2:2" ht="12" customHeight="1" x14ac:dyDescent="0.3">
      <c r="B93" s="52"/>
    </row>
    <row r="94" spans="2:2" ht="12" customHeight="1" x14ac:dyDescent="0.3">
      <c r="B94" s="52"/>
    </row>
    <row r="95" spans="2:2" ht="12" customHeight="1" x14ac:dyDescent="0.3">
      <c r="B95" s="52"/>
    </row>
    <row r="96" spans="2:2" ht="12" customHeight="1" x14ac:dyDescent="0.3">
      <c r="B96" s="52"/>
    </row>
    <row r="97" spans="2:2" ht="12" customHeight="1" x14ac:dyDescent="0.3">
      <c r="B97" s="52"/>
    </row>
    <row r="98" spans="2:2" ht="12" customHeight="1" x14ac:dyDescent="0.3">
      <c r="B98" s="52"/>
    </row>
    <row r="99" spans="2:2" ht="12" customHeight="1" x14ac:dyDescent="0.3">
      <c r="B99" s="52"/>
    </row>
    <row r="100" spans="2:2" ht="12" customHeight="1" x14ac:dyDescent="0.3">
      <c r="B100" s="52"/>
    </row>
    <row r="101" spans="2:2" ht="12" customHeight="1" x14ac:dyDescent="0.3">
      <c r="B101" s="52"/>
    </row>
    <row r="102" spans="2:2" ht="12" customHeight="1" x14ac:dyDescent="0.3">
      <c r="B102" s="52"/>
    </row>
    <row r="103" spans="2:2" ht="12" customHeight="1" x14ac:dyDescent="0.3">
      <c r="B103" s="52"/>
    </row>
    <row r="104" spans="2:2" ht="12" customHeight="1" x14ac:dyDescent="0.3">
      <c r="B104" s="52"/>
    </row>
    <row r="105" spans="2:2" ht="12" customHeight="1" x14ac:dyDescent="0.3">
      <c r="B105" s="52"/>
    </row>
    <row r="106" spans="2:2" ht="12" customHeight="1" x14ac:dyDescent="0.3">
      <c r="B106" s="52"/>
    </row>
    <row r="107" spans="2:2" ht="12" customHeight="1" x14ac:dyDescent="0.3">
      <c r="B107" s="52"/>
    </row>
    <row r="108" spans="2:2" ht="12" customHeight="1" x14ac:dyDescent="0.3">
      <c r="B108" s="52"/>
    </row>
    <row r="109" spans="2:2" ht="12" customHeight="1" x14ac:dyDescent="0.3">
      <c r="B109" s="52"/>
    </row>
    <row r="110" spans="2:2" ht="12" customHeight="1" x14ac:dyDescent="0.3">
      <c r="B110" s="52"/>
    </row>
    <row r="111" spans="2:2" ht="12" customHeight="1" x14ac:dyDescent="0.3">
      <c r="B111" s="52"/>
    </row>
    <row r="112" spans="2:2" ht="12" customHeight="1" x14ac:dyDescent="0.3">
      <c r="B112" s="52"/>
    </row>
    <row r="113" spans="2:2" ht="12" customHeight="1" x14ac:dyDescent="0.3">
      <c r="B113" s="52"/>
    </row>
    <row r="114" spans="2:2" ht="12" customHeight="1" x14ac:dyDescent="0.3">
      <c r="B114" s="52"/>
    </row>
    <row r="115" spans="2:2" ht="12" customHeight="1" x14ac:dyDescent="0.3">
      <c r="B115" s="52"/>
    </row>
    <row r="116" spans="2:2" ht="12" customHeight="1" x14ac:dyDescent="0.3">
      <c r="B116" s="52"/>
    </row>
    <row r="117" spans="2:2" ht="12" customHeight="1" x14ac:dyDescent="0.3">
      <c r="B117" s="52"/>
    </row>
    <row r="118" spans="2:2" ht="12" customHeight="1" x14ac:dyDescent="0.3">
      <c r="B118" s="52"/>
    </row>
    <row r="119" spans="2:2" ht="12" customHeight="1" x14ac:dyDescent="0.3">
      <c r="B119" s="52"/>
    </row>
    <row r="120" spans="2:2" ht="12" customHeight="1" x14ac:dyDescent="0.3">
      <c r="B120" s="52"/>
    </row>
    <row r="121" spans="2:2" ht="12" customHeight="1" x14ac:dyDescent="0.3">
      <c r="B121" s="52"/>
    </row>
    <row r="122" spans="2:2" ht="12" customHeight="1" x14ac:dyDescent="0.3">
      <c r="B122" s="52"/>
    </row>
    <row r="123" spans="2:2" ht="12" customHeight="1" x14ac:dyDescent="0.3">
      <c r="B123" s="52"/>
    </row>
    <row r="124" spans="2:2" ht="12" customHeight="1" x14ac:dyDescent="0.3">
      <c r="B124" s="52"/>
    </row>
    <row r="125" spans="2:2" ht="12" customHeight="1" x14ac:dyDescent="0.3">
      <c r="B125" s="52"/>
    </row>
    <row r="126" spans="2:2" ht="12" customHeight="1" x14ac:dyDescent="0.3">
      <c r="B126" s="52"/>
    </row>
    <row r="127" spans="2:2" ht="12" customHeight="1" x14ac:dyDescent="0.3">
      <c r="B127" s="52"/>
    </row>
    <row r="128" spans="2:2" ht="12" customHeight="1" x14ac:dyDescent="0.3">
      <c r="B128" s="52"/>
    </row>
    <row r="129" spans="2:2" ht="12" customHeight="1" x14ac:dyDescent="0.3">
      <c r="B129" s="52"/>
    </row>
    <row r="130" spans="2:2" ht="12" customHeight="1" x14ac:dyDescent="0.3">
      <c r="B130" s="52"/>
    </row>
    <row r="131" spans="2:2" ht="12" customHeight="1" x14ac:dyDescent="0.3">
      <c r="B131" s="52"/>
    </row>
    <row r="132" spans="2:2" ht="12" customHeight="1" x14ac:dyDescent="0.3">
      <c r="B132" s="52"/>
    </row>
    <row r="133" spans="2:2" ht="12" customHeight="1" x14ac:dyDescent="0.3">
      <c r="B133" s="52"/>
    </row>
    <row r="134" spans="2:2" ht="12" customHeight="1" x14ac:dyDescent="0.3">
      <c r="B134" s="52"/>
    </row>
    <row r="135" spans="2:2" ht="12" customHeight="1" x14ac:dyDescent="0.3">
      <c r="B135" s="52"/>
    </row>
    <row r="136" spans="2:2" ht="12" customHeight="1" x14ac:dyDescent="0.3">
      <c r="B136" s="52"/>
    </row>
    <row r="137" spans="2:2" ht="12" customHeight="1" x14ac:dyDescent="0.3">
      <c r="B137" s="52"/>
    </row>
    <row r="138" spans="2:2" ht="12" customHeight="1" x14ac:dyDescent="0.3">
      <c r="B138" s="52"/>
    </row>
    <row r="139" spans="2:2" ht="12" customHeight="1" x14ac:dyDescent="0.3">
      <c r="B139" s="52"/>
    </row>
    <row r="140" spans="2:2" ht="12" customHeight="1" x14ac:dyDescent="0.3">
      <c r="B140" s="52"/>
    </row>
    <row r="141" spans="2:2" ht="12" customHeight="1" x14ac:dyDescent="0.3">
      <c r="B141" s="52"/>
    </row>
    <row r="142" spans="2:2" ht="12" customHeight="1" x14ac:dyDescent="0.3">
      <c r="B142" s="52"/>
    </row>
    <row r="143" spans="2:2" ht="12" customHeight="1" x14ac:dyDescent="0.3">
      <c r="B143" s="52"/>
    </row>
    <row r="144" spans="2:2" ht="12" customHeight="1" x14ac:dyDescent="0.3">
      <c r="B144" s="52"/>
    </row>
    <row r="145" spans="2:2" ht="12" customHeight="1" x14ac:dyDescent="0.3">
      <c r="B145" s="52"/>
    </row>
    <row r="146" spans="2:2" ht="12" customHeight="1" x14ac:dyDescent="0.3">
      <c r="B146" s="52"/>
    </row>
    <row r="147" spans="2:2" ht="12" customHeight="1" x14ac:dyDescent="0.3">
      <c r="B147" s="52"/>
    </row>
    <row r="148" spans="2:2" ht="12" customHeight="1" x14ac:dyDescent="0.3">
      <c r="B148" s="52"/>
    </row>
    <row r="149" spans="2:2" ht="12" customHeight="1" x14ac:dyDescent="0.3">
      <c r="B149" s="52"/>
    </row>
    <row r="150" spans="2:2" ht="12" customHeight="1" x14ac:dyDescent="0.3">
      <c r="B150" s="52"/>
    </row>
    <row r="151" spans="2:2" ht="12" customHeight="1" x14ac:dyDescent="0.3">
      <c r="B151" s="52"/>
    </row>
    <row r="152" spans="2:2" ht="12" customHeight="1" x14ac:dyDescent="0.3">
      <c r="B152" s="52"/>
    </row>
    <row r="153" spans="2:2" ht="12" customHeight="1" x14ac:dyDescent="0.3">
      <c r="B153" s="52"/>
    </row>
    <row r="154" spans="2:2" ht="12" customHeight="1" x14ac:dyDescent="0.3">
      <c r="B154" s="52"/>
    </row>
    <row r="155" spans="2:2" ht="12" customHeight="1" x14ac:dyDescent="0.3">
      <c r="B155" s="52"/>
    </row>
    <row r="156" spans="2:2" ht="12" customHeight="1" x14ac:dyDescent="0.3">
      <c r="B156" s="52"/>
    </row>
    <row r="157" spans="2:2" ht="12" customHeight="1" x14ac:dyDescent="0.3">
      <c r="B157" s="52"/>
    </row>
    <row r="158" spans="2:2" ht="12" customHeight="1" x14ac:dyDescent="0.3">
      <c r="B158" s="52"/>
    </row>
    <row r="159" spans="2:2" ht="12" customHeight="1" x14ac:dyDescent="0.3">
      <c r="B159" s="52"/>
    </row>
    <row r="160" spans="2:2" ht="12" customHeight="1" x14ac:dyDescent="0.3">
      <c r="B160" s="52"/>
    </row>
    <row r="161" spans="2:2" ht="12" customHeight="1" x14ac:dyDescent="0.3">
      <c r="B161" s="52"/>
    </row>
    <row r="162" spans="2:2" ht="12" customHeight="1" x14ac:dyDescent="0.3">
      <c r="B162" s="52"/>
    </row>
    <row r="163" spans="2:2" ht="12" customHeight="1" x14ac:dyDescent="0.3">
      <c r="B163" s="52"/>
    </row>
    <row r="164" spans="2:2" ht="12" customHeight="1" x14ac:dyDescent="0.3">
      <c r="B164" s="52"/>
    </row>
    <row r="165" spans="2:2" ht="12" customHeight="1" x14ac:dyDescent="0.3">
      <c r="B165" s="52"/>
    </row>
    <row r="166" spans="2:2" ht="12" customHeight="1" x14ac:dyDescent="0.3">
      <c r="B166" s="52"/>
    </row>
    <row r="167" spans="2:2" ht="12" customHeight="1" x14ac:dyDescent="0.3">
      <c r="B167" s="52"/>
    </row>
    <row r="168" spans="2:2" ht="12" customHeight="1" x14ac:dyDescent="0.3">
      <c r="B168" s="52"/>
    </row>
    <row r="169" spans="2:2" ht="12" customHeight="1" x14ac:dyDescent="0.3">
      <c r="B169" s="52"/>
    </row>
    <row r="170" spans="2:2" ht="12" customHeight="1" x14ac:dyDescent="0.3">
      <c r="B170" s="52"/>
    </row>
    <row r="171" spans="2:2" ht="12" customHeight="1" x14ac:dyDescent="0.3">
      <c r="B171" s="52"/>
    </row>
    <row r="172" spans="2:2" ht="12" customHeight="1" x14ac:dyDescent="0.3">
      <c r="B172" s="52"/>
    </row>
    <row r="173" spans="2:2" ht="12" customHeight="1" x14ac:dyDescent="0.3">
      <c r="B173" s="52"/>
    </row>
    <row r="174" spans="2:2" ht="12" customHeight="1" x14ac:dyDescent="0.3">
      <c r="B174" s="52"/>
    </row>
    <row r="175" spans="2:2" ht="12" customHeight="1" x14ac:dyDescent="0.3">
      <c r="B175" s="52"/>
    </row>
    <row r="176" spans="2:2" ht="12" customHeight="1" x14ac:dyDescent="0.3">
      <c r="B176" s="52"/>
    </row>
    <row r="177" spans="2:2" ht="12" customHeight="1" x14ac:dyDescent="0.3">
      <c r="B177" s="52"/>
    </row>
    <row r="178" spans="2:2" ht="12" customHeight="1" x14ac:dyDescent="0.3">
      <c r="B178" s="52"/>
    </row>
    <row r="179" spans="2:2" ht="12" customHeight="1" x14ac:dyDescent="0.3">
      <c r="B179" s="52"/>
    </row>
    <row r="180" spans="2:2" ht="12" customHeight="1" x14ac:dyDescent="0.3">
      <c r="B180" s="52"/>
    </row>
    <row r="181" spans="2:2" ht="12" customHeight="1" x14ac:dyDescent="0.3">
      <c r="B181" s="52"/>
    </row>
    <row r="182" spans="2:2" ht="12" customHeight="1" x14ac:dyDescent="0.3">
      <c r="B182" s="52"/>
    </row>
    <row r="183" spans="2:2" ht="12" customHeight="1" x14ac:dyDescent="0.3">
      <c r="B183" s="52"/>
    </row>
    <row r="184" spans="2:2" ht="12" customHeight="1" x14ac:dyDescent="0.3">
      <c r="B184" s="52"/>
    </row>
    <row r="185" spans="2:2" ht="12" customHeight="1" x14ac:dyDescent="0.3">
      <c r="B185" s="52"/>
    </row>
    <row r="186" spans="2:2" ht="12" customHeight="1" x14ac:dyDescent="0.3">
      <c r="B186" s="52"/>
    </row>
    <row r="187" spans="2:2" ht="12" customHeight="1" x14ac:dyDescent="0.3">
      <c r="B187" s="52"/>
    </row>
    <row r="188" spans="2:2" ht="12" customHeight="1" x14ac:dyDescent="0.3">
      <c r="B188" s="52"/>
    </row>
    <row r="189" spans="2:2" ht="12" customHeight="1" x14ac:dyDescent="0.3">
      <c r="B189" s="52"/>
    </row>
    <row r="190" spans="2:2" ht="12" customHeight="1" x14ac:dyDescent="0.3">
      <c r="B190" s="52"/>
    </row>
    <row r="191" spans="2:2" ht="12" customHeight="1" x14ac:dyDescent="0.3">
      <c r="B191" s="52"/>
    </row>
    <row r="192" spans="2:2" ht="12" customHeight="1" x14ac:dyDescent="0.3">
      <c r="B192" s="52"/>
    </row>
    <row r="193" spans="2:2" ht="12" customHeight="1" x14ac:dyDescent="0.3">
      <c r="B193" s="52"/>
    </row>
    <row r="194" spans="2:2" ht="12" customHeight="1" x14ac:dyDescent="0.3">
      <c r="B194" s="52"/>
    </row>
    <row r="195" spans="2:2" ht="12" customHeight="1" x14ac:dyDescent="0.3">
      <c r="B195" s="52"/>
    </row>
    <row r="196" spans="2:2" ht="12" customHeight="1" x14ac:dyDescent="0.3">
      <c r="B196" s="52"/>
    </row>
    <row r="197" spans="2:2" ht="12" customHeight="1" x14ac:dyDescent="0.3">
      <c r="B197" s="52"/>
    </row>
    <row r="198" spans="2:2" ht="12" customHeight="1" x14ac:dyDescent="0.3">
      <c r="B198" s="52"/>
    </row>
    <row r="199" spans="2:2" ht="12" customHeight="1" x14ac:dyDescent="0.3">
      <c r="B199" s="52"/>
    </row>
    <row r="200" spans="2:2" ht="12" customHeight="1" x14ac:dyDescent="0.3">
      <c r="B200" s="52"/>
    </row>
    <row r="201" spans="2:2" ht="12" customHeight="1" x14ac:dyDescent="0.3">
      <c r="B201" s="52"/>
    </row>
    <row r="202" spans="2:2" ht="12" customHeight="1" x14ac:dyDescent="0.3">
      <c r="B202" s="52"/>
    </row>
    <row r="203" spans="2:2" ht="12" customHeight="1" x14ac:dyDescent="0.3">
      <c r="B203" s="52"/>
    </row>
    <row r="204" spans="2:2" ht="12" customHeight="1" x14ac:dyDescent="0.3">
      <c r="B204" s="52"/>
    </row>
    <row r="205" spans="2:2" ht="12" customHeight="1" x14ac:dyDescent="0.3">
      <c r="B205" s="52"/>
    </row>
    <row r="206" spans="2:2" ht="12" customHeight="1" x14ac:dyDescent="0.3">
      <c r="B206" s="52"/>
    </row>
    <row r="207" spans="2:2" ht="12" customHeight="1" x14ac:dyDescent="0.3">
      <c r="B207" s="52"/>
    </row>
    <row r="208" spans="2:2" ht="12" customHeight="1" x14ac:dyDescent="0.3">
      <c r="B208" s="52"/>
    </row>
    <row r="209" spans="2:2" ht="12" customHeight="1" x14ac:dyDescent="0.3">
      <c r="B209" s="52"/>
    </row>
    <row r="210" spans="2:2" ht="12" customHeight="1" x14ac:dyDescent="0.3">
      <c r="B210" s="52"/>
    </row>
    <row r="211" spans="2:2" ht="12" customHeight="1" x14ac:dyDescent="0.3">
      <c r="B211" s="52"/>
    </row>
    <row r="212" spans="2:2" ht="12" customHeight="1" x14ac:dyDescent="0.3">
      <c r="B212" s="52"/>
    </row>
    <row r="213" spans="2:2" ht="12" customHeight="1" x14ac:dyDescent="0.3">
      <c r="B213" s="52"/>
    </row>
    <row r="214" spans="2:2" ht="12" customHeight="1" x14ac:dyDescent="0.3">
      <c r="B214" s="52"/>
    </row>
    <row r="215" spans="2:2" ht="12" customHeight="1" x14ac:dyDescent="0.3">
      <c r="B215" s="52"/>
    </row>
    <row r="216" spans="2:2" ht="12" customHeight="1" x14ac:dyDescent="0.3">
      <c r="B216" s="52"/>
    </row>
    <row r="217" spans="2:2" ht="12" customHeight="1" x14ac:dyDescent="0.3">
      <c r="B217" s="52"/>
    </row>
    <row r="218" spans="2:2" ht="12" customHeight="1" x14ac:dyDescent="0.3">
      <c r="B218" s="52"/>
    </row>
    <row r="219" spans="2:2" ht="12" customHeight="1" x14ac:dyDescent="0.3">
      <c r="B219" s="52"/>
    </row>
    <row r="220" spans="2:2" ht="12" customHeight="1" x14ac:dyDescent="0.3">
      <c r="B220" s="52"/>
    </row>
    <row r="221" spans="2:2" ht="12" customHeight="1" x14ac:dyDescent="0.3">
      <c r="B221" s="52"/>
    </row>
    <row r="222" spans="2:2" ht="12" customHeight="1" x14ac:dyDescent="0.3">
      <c r="B222" s="52"/>
    </row>
    <row r="223" spans="2:2" ht="12" customHeight="1" x14ac:dyDescent="0.3">
      <c r="B223" s="52"/>
    </row>
    <row r="224" spans="2:2" ht="12" customHeight="1" x14ac:dyDescent="0.3">
      <c r="B224" s="52"/>
    </row>
    <row r="225" spans="2:2" ht="12" customHeight="1" x14ac:dyDescent="0.3">
      <c r="B225" s="52"/>
    </row>
    <row r="226" spans="2:2" ht="12" customHeight="1" x14ac:dyDescent="0.3"/>
    <row r="227" spans="2:2" ht="12" customHeight="1" x14ac:dyDescent="0.3"/>
    <row r="228" spans="2:2" ht="12" customHeight="1" x14ac:dyDescent="0.3"/>
    <row r="229" spans="2:2" ht="12" customHeight="1" x14ac:dyDescent="0.3"/>
    <row r="230" spans="2:2" ht="12" customHeight="1" x14ac:dyDescent="0.3"/>
    <row r="231" spans="2:2" ht="12" customHeight="1" x14ac:dyDescent="0.3"/>
    <row r="232" spans="2:2" ht="12" customHeight="1" x14ac:dyDescent="0.3"/>
    <row r="233" spans="2:2" ht="12" customHeight="1" x14ac:dyDescent="0.3"/>
    <row r="234" spans="2:2" ht="12" customHeight="1" x14ac:dyDescent="0.3"/>
    <row r="235" spans="2:2" ht="12" customHeight="1" x14ac:dyDescent="0.3"/>
    <row r="236" spans="2:2" ht="12" customHeight="1" x14ac:dyDescent="0.3"/>
    <row r="237" spans="2:2" ht="12" customHeight="1" x14ac:dyDescent="0.3"/>
    <row r="238" spans="2:2" ht="12" customHeight="1" x14ac:dyDescent="0.3"/>
    <row r="239" spans="2:2" ht="12" customHeight="1" x14ac:dyDescent="0.3"/>
    <row r="240" spans="2:2" ht="12" customHeight="1" x14ac:dyDescent="0.3"/>
    <row r="241" ht="12" customHeight="1" x14ac:dyDescent="0.3"/>
    <row r="242" ht="12" customHeight="1" x14ac:dyDescent="0.3"/>
    <row r="243" ht="12" customHeight="1" x14ac:dyDescent="0.3"/>
    <row r="244" ht="12" customHeight="1" x14ac:dyDescent="0.3"/>
    <row r="245" ht="12" customHeight="1" x14ac:dyDescent="0.3"/>
    <row r="246" ht="12" customHeight="1" x14ac:dyDescent="0.3"/>
    <row r="247" ht="12" customHeight="1" x14ac:dyDescent="0.3"/>
    <row r="248" ht="12" customHeight="1" x14ac:dyDescent="0.3"/>
    <row r="249" ht="12" customHeight="1" x14ac:dyDescent="0.3"/>
    <row r="250" ht="12" customHeight="1" x14ac:dyDescent="0.3"/>
    <row r="251" ht="12" customHeight="1" x14ac:dyDescent="0.3"/>
    <row r="252" ht="12" customHeight="1" x14ac:dyDescent="0.3"/>
    <row r="253" ht="12" customHeight="1" x14ac:dyDescent="0.3"/>
    <row r="254" ht="12" customHeight="1" x14ac:dyDescent="0.3"/>
    <row r="255" ht="12" customHeight="1" x14ac:dyDescent="0.3"/>
    <row r="256" ht="12" customHeight="1" x14ac:dyDescent="0.3"/>
    <row r="257" ht="12" customHeight="1" x14ac:dyDescent="0.3"/>
    <row r="258" ht="12" customHeight="1" x14ac:dyDescent="0.3"/>
    <row r="259" ht="12" customHeight="1" x14ac:dyDescent="0.3"/>
    <row r="260" ht="12" customHeight="1" x14ac:dyDescent="0.3"/>
    <row r="261" ht="12" customHeight="1" x14ac:dyDescent="0.3"/>
    <row r="262" ht="12" customHeight="1" x14ac:dyDescent="0.3"/>
    <row r="263" ht="12" customHeight="1" x14ac:dyDescent="0.3"/>
    <row r="264" ht="12" customHeight="1" x14ac:dyDescent="0.3"/>
    <row r="265" ht="12" customHeight="1" x14ac:dyDescent="0.3"/>
    <row r="266" ht="12" customHeight="1" x14ac:dyDescent="0.3"/>
    <row r="267" ht="12" customHeight="1" x14ac:dyDescent="0.3"/>
    <row r="268" ht="12" customHeight="1" x14ac:dyDescent="0.3"/>
    <row r="269" ht="12" customHeight="1" x14ac:dyDescent="0.3"/>
    <row r="270" ht="12" customHeight="1" x14ac:dyDescent="0.3"/>
    <row r="271" ht="12" customHeight="1" x14ac:dyDescent="0.3"/>
    <row r="272" ht="12" customHeight="1" x14ac:dyDescent="0.3"/>
    <row r="273" ht="12" customHeight="1" x14ac:dyDescent="0.3"/>
    <row r="274" ht="12" customHeight="1" x14ac:dyDescent="0.3"/>
    <row r="275" ht="12" customHeight="1" x14ac:dyDescent="0.3"/>
    <row r="276" ht="12" customHeight="1" x14ac:dyDescent="0.3"/>
    <row r="277" ht="12" customHeight="1" x14ac:dyDescent="0.3"/>
    <row r="278" ht="12" customHeight="1" x14ac:dyDescent="0.3"/>
    <row r="279" ht="12" customHeight="1" x14ac:dyDescent="0.3"/>
    <row r="280" ht="12" customHeight="1" x14ac:dyDescent="0.3"/>
    <row r="281" ht="12" customHeight="1" x14ac:dyDescent="0.3"/>
    <row r="282" ht="12" customHeight="1" x14ac:dyDescent="0.3"/>
    <row r="283" ht="12" customHeight="1" x14ac:dyDescent="0.3"/>
    <row r="284" ht="12" customHeight="1" x14ac:dyDescent="0.3"/>
    <row r="285" ht="12" customHeight="1" x14ac:dyDescent="0.3"/>
    <row r="286" ht="12" customHeight="1" x14ac:dyDescent="0.3"/>
    <row r="287" ht="12" customHeight="1" x14ac:dyDescent="0.3"/>
    <row r="288" ht="12" customHeight="1" x14ac:dyDescent="0.3"/>
    <row r="289" ht="12" customHeight="1" x14ac:dyDescent="0.3"/>
    <row r="290" ht="12" customHeight="1" x14ac:dyDescent="0.3"/>
    <row r="291" ht="12" customHeight="1" x14ac:dyDescent="0.3"/>
    <row r="292" ht="12" customHeight="1" x14ac:dyDescent="0.3"/>
    <row r="293" ht="12" customHeight="1" x14ac:dyDescent="0.3"/>
    <row r="294" ht="12" customHeight="1" x14ac:dyDescent="0.3"/>
    <row r="295" ht="12" customHeight="1" x14ac:dyDescent="0.3"/>
    <row r="296" ht="12" customHeight="1" x14ac:dyDescent="0.3"/>
    <row r="297" ht="12" customHeight="1" x14ac:dyDescent="0.3"/>
    <row r="298" ht="12" customHeight="1" x14ac:dyDescent="0.3"/>
    <row r="299" ht="12" customHeight="1" x14ac:dyDescent="0.3"/>
    <row r="300" ht="12" customHeight="1" x14ac:dyDescent="0.3"/>
    <row r="301" ht="12" customHeight="1" x14ac:dyDescent="0.3"/>
    <row r="302" ht="12" customHeight="1" x14ac:dyDescent="0.3"/>
    <row r="303" ht="12" customHeight="1" x14ac:dyDescent="0.3"/>
    <row r="304" ht="12" customHeight="1" x14ac:dyDescent="0.3"/>
    <row r="305" ht="12" customHeight="1" x14ac:dyDescent="0.3"/>
    <row r="306" ht="12" customHeight="1" x14ac:dyDescent="0.3"/>
    <row r="307" ht="12" customHeight="1" x14ac:dyDescent="0.3"/>
    <row r="308" ht="12" customHeight="1" x14ac:dyDescent="0.3"/>
    <row r="309" ht="12" customHeight="1" x14ac:dyDescent="0.3"/>
    <row r="310" ht="12" customHeight="1" x14ac:dyDescent="0.3"/>
    <row r="311" ht="12" customHeight="1" x14ac:dyDescent="0.3"/>
    <row r="312" ht="12" customHeight="1" x14ac:dyDescent="0.3"/>
    <row r="313" ht="12" customHeight="1" x14ac:dyDescent="0.3"/>
    <row r="314" ht="12" customHeight="1" x14ac:dyDescent="0.3"/>
    <row r="315" ht="12" customHeight="1" x14ac:dyDescent="0.3"/>
    <row r="316" ht="12" customHeight="1" x14ac:dyDescent="0.3"/>
    <row r="317" ht="12" customHeight="1" x14ac:dyDescent="0.3"/>
    <row r="318" ht="12" customHeight="1" x14ac:dyDescent="0.3"/>
    <row r="319" ht="12" customHeight="1" x14ac:dyDescent="0.3"/>
    <row r="320" ht="12" customHeight="1" x14ac:dyDescent="0.3"/>
    <row r="321" ht="12" customHeight="1" x14ac:dyDescent="0.3"/>
    <row r="322" ht="12" customHeight="1" x14ac:dyDescent="0.3"/>
    <row r="323" ht="12" customHeight="1" x14ac:dyDescent="0.3"/>
    <row r="324" ht="12" customHeight="1" x14ac:dyDescent="0.3"/>
    <row r="325" ht="12" customHeight="1" x14ac:dyDescent="0.3"/>
    <row r="326" ht="12" customHeight="1" x14ac:dyDescent="0.3"/>
    <row r="327" ht="12" customHeight="1" x14ac:dyDescent="0.3"/>
    <row r="328" ht="12" customHeight="1" x14ac:dyDescent="0.3"/>
    <row r="329" ht="12" customHeight="1" x14ac:dyDescent="0.3"/>
    <row r="330" ht="12" customHeight="1" x14ac:dyDescent="0.3"/>
    <row r="331" ht="12" customHeight="1" x14ac:dyDescent="0.3"/>
    <row r="332" ht="12" customHeight="1" x14ac:dyDescent="0.3"/>
    <row r="333" ht="12" customHeight="1" x14ac:dyDescent="0.3"/>
    <row r="334" ht="12" customHeight="1" x14ac:dyDescent="0.3"/>
    <row r="335" ht="12" customHeight="1" x14ac:dyDescent="0.3"/>
    <row r="336" ht="12" customHeight="1" x14ac:dyDescent="0.3"/>
    <row r="337" ht="12" customHeight="1" x14ac:dyDescent="0.3"/>
    <row r="338" ht="12" customHeight="1" x14ac:dyDescent="0.3"/>
    <row r="339" ht="12" customHeight="1" x14ac:dyDescent="0.3"/>
    <row r="340" ht="12" customHeight="1" x14ac:dyDescent="0.3"/>
    <row r="341" ht="12" customHeight="1" x14ac:dyDescent="0.3"/>
    <row r="342" ht="12" customHeight="1" x14ac:dyDescent="0.3"/>
    <row r="343" ht="12" customHeight="1" x14ac:dyDescent="0.3"/>
    <row r="344" ht="12" customHeight="1" x14ac:dyDescent="0.3"/>
    <row r="345" ht="12" customHeight="1" x14ac:dyDescent="0.3"/>
    <row r="346" ht="12" customHeight="1" x14ac:dyDescent="0.3"/>
    <row r="347" ht="12" customHeight="1" x14ac:dyDescent="0.3"/>
    <row r="348" ht="12" customHeight="1" x14ac:dyDescent="0.3"/>
    <row r="349" ht="12" customHeight="1" x14ac:dyDescent="0.3"/>
    <row r="350" ht="12" customHeight="1" x14ac:dyDescent="0.3"/>
    <row r="351" ht="12" customHeight="1" x14ac:dyDescent="0.3"/>
    <row r="352" ht="12" customHeight="1" x14ac:dyDescent="0.3"/>
    <row r="353" ht="12" customHeight="1" x14ac:dyDescent="0.3"/>
    <row r="354" ht="12" customHeight="1" x14ac:dyDescent="0.3"/>
    <row r="355" ht="12" customHeight="1" x14ac:dyDescent="0.3"/>
    <row r="356" ht="12" customHeight="1" x14ac:dyDescent="0.3"/>
    <row r="357" ht="12" customHeight="1" x14ac:dyDescent="0.3"/>
    <row r="358" ht="12" customHeight="1" x14ac:dyDescent="0.3"/>
    <row r="359" ht="12" customHeight="1" x14ac:dyDescent="0.3"/>
    <row r="360" ht="12" customHeight="1" x14ac:dyDescent="0.3"/>
    <row r="361" ht="12" customHeight="1" x14ac:dyDescent="0.3"/>
    <row r="362" ht="12" customHeight="1" x14ac:dyDescent="0.3"/>
    <row r="363" ht="12" customHeight="1" x14ac:dyDescent="0.3"/>
    <row r="364" ht="12" customHeight="1" x14ac:dyDescent="0.3"/>
    <row r="365" ht="12" customHeight="1" x14ac:dyDescent="0.3"/>
    <row r="366" ht="12" customHeight="1" x14ac:dyDescent="0.3"/>
    <row r="367" ht="12" customHeight="1" x14ac:dyDescent="0.3"/>
    <row r="368" ht="12" customHeight="1" x14ac:dyDescent="0.3"/>
    <row r="369" ht="12" customHeight="1" x14ac:dyDescent="0.3"/>
    <row r="370" ht="12" customHeight="1" x14ac:dyDescent="0.3"/>
    <row r="371" ht="12" customHeight="1" x14ac:dyDescent="0.3"/>
    <row r="372" ht="12" customHeight="1" x14ac:dyDescent="0.3"/>
    <row r="373" ht="12" customHeight="1" x14ac:dyDescent="0.3"/>
    <row r="374" ht="12" customHeight="1" x14ac:dyDescent="0.3"/>
    <row r="375" ht="12" customHeight="1" x14ac:dyDescent="0.3"/>
    <row r="376" ht="12" customHeight="1" x14ac:dyDescent="0.3"/>
    <row r="377" ht="12" customHeight="1" x14ac:dyDescent="0.3"/>
    <row r="378" ht="12" customHeight="1" x14ac:dyDescent="0.3"/>
    <row r="379" ht="12" customHeight="1" x14ac:dyDescent="0.3"/>
    <row r="380" ht="12" customHeight="1" x14ac:dyDescent="0.3"/>
    <row r="381" ht="12" customHeight="1" x14ac:dyDescent="0.3"/>
    <row r="382" ht="12" customHeight="1" x14ac:dyDescent="0.3"/>
    <row r="383" ht="12" customHeight="1" x14ac:dyDescent="0.3"/>
    <row r="384" ht="12" customHeight="1" x14ac:dyDescent="0.3"/>
    <row r="385" ht="12" customHeight="1" x14ac:dyDescent="0.3"/>
    <row r="386" ht="12" customHeight="1" x14ac:dyDescent="0.3"/>
    <row r="387" ht="12" customHeight="1" x14ac:dyDescent="0.3"/>
    <row r="388" ht="12" customHeight="1" x14ac:dyDescent="0.3"/>
    <row r="389" ht="12" customHeight="1" x14ac:dyDescent="0.3"/>
    <row r="390" ht="12" customHeight="1" x14ac:dyDescent="0.3"/>
    <row r="391" ht="12" customHeight="1" x14ac:dyDescent="0.3"/>
    <row r="392" ht="12" customHeight="1" x14ac:dyDescent="0.3"/>
    <row r="393" ht="12" customHeight="1" x14ac:dyDescent="0.3"/>
    <row r="394" ht="12" customHeight="1" x14ac:dyDescent="0.3"/>
    <row r="395" ht="12" customHeight="1" x14ac:dyDescent="0.3"/>
    <row r="396" ht="12" customHeight="1" x14ac:dyDescent="0.3"/>
    <row r="397" ht="12" customHeight="1" x14ac:dyDescent="0.3"/>
    <row r="398" ht="12" customHeight="1" x14ac:dyDescent="0.3"/>
    <row r="399" ht="12" customHeight="1" x14ac:dyDescent="0.3"/>
    <row r="400" ht="12" customHeight="1" x14ac:dyDescent="0.3"/>
    <row r="401" ht="12" customHeight="1" x14ac:dyDescent="0.3"/>
    <row r="402" ht="12" customHeight="1" x14ac:dyDescent="0.3"/>
    <row r="403" ht="12" customHeight="1" x14ac:dyDescent="0.3"/>
    <row r="404" ht="12" customHeight="1" x14ac:dyDescent="0.3"/>
    <row r="405" ht="12" customHeight="1" x14ac:dyDescent="0.3"/>
    <row r="406" ht="12" customHeight="1" x14ac:dyDescent="0.3"/>
    <row r="407" ht="12" customHeight="1" x14ac:dyDescent="0.3"/>
    <row r="408" ht="12" customHeight="1" x14ac:dyDescent="0.3"/>
    <row r="409" ht="12" customHeight="1" x14ac:dyDescent="0.3"/>
    <row r="410" ht="12" customHeight="1" x14ac:dyDescent="0.3"/>
    <row r="411" ht="12" customHeight="1" x14ac:dyDescent="0.3"/>
    <row r="412" ht="12" customHeight="1" x14ac:dyDescent="0.3"/>
    <row r="413" ht="12" customHeight="1" x14ac:dyDescent="0.3"/>
    <row r="414" ht="12" customHeight="1" x14ac:dyDescent="0.3"/>
    <row r="415" ht="12" customHeight="1" x14ac:dyDescent="0.3"/>
    <row r="416" ht="12" customHeight="1" x14ac:dyDescent="0.3"/>
    <row r="417" ht="12" customHeight="1" x14ac:dyDescent="0.3"/>
    <row r="418" ht="12" customHeight="1" x14ac:dyDescent="0.3"/>
    <row r="419" ht="12" customHeight="1" x14ac:dyDescent="0.3"/>
    <row r="420" ht="12" customHeight="1" x14ac:dyDescent="0.3"/>
    <row r="421" ht="12" customHeight="1" x14ac:dyDescent="0.3"/>
    <row r="422" ht="12" customHeight="1" x14ac:dyDescent="0.3"/>
    <row r="423" ht="12" customHeight="1" x14ac:dyDescent="0.3"/>
    <row r="424" ht="12" customHeight="1" x14ac:dyDescent="0.3"/>
    <row r="425" ht="12" customHeight="1" x14ac:dyDescent="0.3"/>
    <row r="426" ht="12" customHeight="1" x14ac:dyDescent="0.3"/>
    <row r="427" ht="12" customHeight="1" x14ac:dyDescent="0.3"/>
    <row r="428" ht="12" customHeight="1" x14ac:dyDescent="0.3"/>
    <row r="429" ht="12" customHeight="1" x14ac:dyDescent="0.3"/>
    <row r="430" ht="12" customHeight="1" x14ac:dyDescent="0.3"/>
    <row r="431" ht="12" customHeight="1" x14ac:dyDescent="0.3"/>
    <row r="432" ht="12" customHeight="1" x14ac:dyDescent="0.3"/>
    <row r="433" ht="12" customHeight="1" x14ac:dyDescent="0.3"/>
    <row r="434" ht="12" customHeight="1" x14ac:dyDescent="0.3"/>
    <row r="435" ht="12" customHeight="1" x14ac:dyDescent="0.3"/>
    <row r="436" ht="12" customHeight="1" x14ac:dyDescent="0.3"/>
    <row r="437" ht="12" customHeight="1" x14ac:dyDescent="0.3"/>
    <row r="438" ht="12" customHeight="1" x14ac:dyDescent="0.3"/>
    <row r="439" ht="12" customHeight="1" x14ac:dyDescent="0.3"/>
    <row r="440" ht="12" customHeight="1" x14ac:dyDescent="0.3"/>
    <row r="441" ht="12" customHeight="1" x14ac:dyDescent="0.3"/>
    <row r="442" ht="12" customHeight="1" x14ac:dyDescent="0.3"/>
    <row r="443" ht="12" customHeight="1" x14ac:dyDescent="0.3"/>
    <row r="444" ht="12" customHeight="1" x14ac:dyDescent="0.3"/>
    <row r="445" ht="12" customHeight="1" x14ac:dyDescent="0.3"/>
    <row r="446" ht="12" customHeight="1" x14ac:dyDescent="0.3"/>
    <row r="447" ht="12" customHeight="1" x14ac:dyDescent="0.3"/>
    <row r="448" ht="12" customHeight="1" x14ac:dyDescent="0.3"/>
    <row r="449" ht="12" customHeight="1" x14ac:dyDescent="0.3"/>
    <row r="450" ht="12" customHeight="1" x14ac:dyDescent="0.3"/>
    <row r="451" ht="12" customHeight="1" x14ac:dyDescent="0.3"/>
    <row r="452" ht="12" customHeight="1" x14ac:dyDescent="0.3"/>
    <row r="453" ht="12" customHeight="1" x14ac:dyDescent="0.3"/>
    <row r="454" ht="12" customHeight="1" x14ac:dyDescent="0.3"/>
    <row r="455" ht="12" customHeight="1" x14ac:dyDescent="0.3"/>
    <row r="456" ht="12" customHeight="1" x14ac:dyDescent="0.3"/>
    <row r="457" ht="12" customHeight="1" x14ac:dyDescent="0.3"/>
    <row r="458" ht="12" customHeight="1" x14ac:dyDescent="0.3"/>
    <row r="459" ht="12" customHeight="1" x14ac:dyDescent="0.3"/>
    <row r="460" ht="12" customHeight="1" x14ac:dyDescent="0.3"/>
    <row r="461" ht="12" customHeight="1" x14ac:dyDescent="0.3"/>
    <row r="462" ht="12" customHeight="1" x14ac:dyDescent="0.3"/>
    <row r="463" ht="12" customHeight="1" x14ac:dyDescent="0.3"/>
    <row r="464" ht="12" customHeight="1" x14ac:dyDescent="0.3"/>
    <row r="465" ht="12" customHeight="1" x14ac:dyDescent="0.3"/>
    <row r="466" ht="12" customHeight="1" x14ac:dyDescent="0.3"/>
    <row r="467" ht="12" customHeight="1" x14ac:dyDescent="0.3"/>
    <row r="468" ht="12" customHeight="1" x14ac:dyDescent="0.3"/>
    <row r="469" ht="12" customHeight="1" x14ac:dyDescent="0.3"/>
    <row r="470" ht="12" customHeight="1" x14ac:dyDescent="0.3"/>
    <row r="471" ht="12" customHeight="1" x14ac:dyDescent="0.3"/>
    <row r="472" ht="12" customHeight="1" x14ac:dyDescent="0.3"/>
    <row r="473" ht="12" customHeight="1" x14ac:dyDescent="0.3"/>
    <row r="474" ht="12" customHeight="1" x14ac:dyDescent="0.3"/>
    <row r="475" ht="12" customHeight="1" x14ac:dyDescent="0.3"/>
    <row r="476" ht="12" customHeight="1" x14ac:dyDescent="0.3"/>
    <row r="477" ht="12" customHeight="1" x14ac:dyDescent="0.3"/>
    <row r="478" ht="12" customHeight="1" x14ac:dyDescent="0.3"/>
    <row r="479" ht="12" customHeight="1" x14ac:dyDescent="0.3"/>
    <row r="480" ht="12" customHeight="1" x14ac:dyDescent="0.3"/>
    <row r="481" ht="12" customHeight="1" x14ac:dyDescent="0.3"/>
    <row r="482" ht="12" customHeight="1" x14ac:dyDescent="0.3"/>
    <row r="483" ht="12" customHeight="1" x14ac:dyDescent="0.3"/>
    <row r="484" ht="12" customHeight="1" x14ac:dyDescent="0.3"/>
    <row r="485" ht="12" customHeight="1" x14ac:dyDescent="0.3"/>
    <row r="486" ht="12" customHeight="1" x14ac:dyDescent="0.3"/>
    <row r="487" ht="12" customHeight="1" x14ac:dyDescent="0.3"/>
    <row r="488" ht="12" customHeight="1" x14ac:dyDescent="0.3"/>
    <row r="489" ht="12" customHeight="1" x14ac:dyDescent="0.3"/>
    <row r="490" ht="12" customHeight="1" x14ac:dyDescent="0.3"/>
    <row r="491" ht="12" customHeight="1" x14ac:dyDescent="0.3"/>
    <row r="492" ht="12" customHeight="1" x14ac:dyDescent="0.3"/>
    <row r="493" ht="12" customHeight="1" x14ac:dyDescent="0.3"/>
    <row r="494" ht="12" customHeight="1" x14ac:dyDescent="0.3"/>
    <row r="495" ht="12" customHeight="1" x14ac:dyDescent="0.3"/>
    <row r="496" ht="12" customHeight="1" x14ac:dyDescent="0.3"/>
    <row r="497" ht="12" customHeight="1" x14ac:dyDescent="0.3"/>
    <row r="498" ht="12" customHeight="1" x14ac:dyDescent="0.3"/>
    <row r="499" ht="12" customHeight="1" x14ac:dyDescent="0.3"/>
    <row r="500" ht="12" customHeight="1" x14ac:dyDescent="0.3"/>
    <row r="501" ht="12" customHeight="1" x14ac:dyDescent="0.3"/>
    <row r="502" ht="12" customHeight="1" x14ac:dyDescent="0.3"/>
    <row r="503" ht="12" customHeight="1" x14ac:dyDescent="0.3"/>
    <row r="504" ht="12" customHeight="1" x14ac:dyDescent="0.3"/>
    <row r="505" ht="12" customHeight="1" x14ac:dyDescent="0.3"/>
    <row r="506" ht="12" customHeight="1" x14ac:dyDescent="0.3"/>
    <row r="507" ht="12" customHeight="1" x14ac:dyDescent="0.3"/>
    <row r="508" ht="12" customHeight="1" x14ac:dyDescent="0.3"/>
    <row r="509" ht="12" customHeight="1" x14ac:dyDescent="0.3"/>
    <row r="510" ht="12" customHeight="1" x14ac:dyDescent="0.3"/>
    <row r="511" ht="12" customHeight="1" x14ac:dyDescent="0.3"/>
    <row r="512" ht="12" customHeight="1" x14ac:dyDescent="0.3"/>
    <row r="513" ht="12" customHeight="1" x14ac:dyDescent="0.3"/>
    <row r="514" ht="12" customHeight="1" x14ac:dyDescent="0.3"/>
    <row r="515" ht="12" customHeight="1" x14ac:dyDescent="0.3"/>
    <row r="516" ht="12" customHeight="1" x14ac:dyDescent="0.3"/>
    <row r="517" ht="12" customHeight="1" x14ac:dyDescent="0.3"/>
    <row r="518" ht="12" customHeight="1" x14ac:dyDescent="0.3"/>
    <row r="519" ht="12" customHeight="1" x14ac:dyDescent="0.3"/>
    <row r="520" ht="12" customHeight="1" x14ac:dyDescent="0.3"/>
    <row r="521" ht="12" customHeight="1" x14ac:dyDescent="0.3"/>
    <row r="522" ht="12" customHeight="1" x14ac:dyDescent="0.3"/>
    <row r="523" ht="12" customHeight="1" x14ac:dyDescent="0.3"/>
    <row r="524" ht="12" customHeight="1" x14ac:dyDescent="0.3"/>
    <row r="525" ht="12" customHeight="1" x14ac:dyDescent="0.3"/>
    <row r="526" ht="12" customHeight="1" x14ac:dyDescent="0.3"/>
    <row r="527" ht="12" customHeight="1" x14ac:dyDescent="0.3"/>
    <row r="528" ht="12" customHeight="1" x14ac:dyDescent="0.3"/>
    <row r="529" ht="12" customHeight="1" x14ac:dyDescent="0.3"/>
    <row r="530" ht="12" customHeight="1" x14ac:dyDescent="0.3"/>
    <row r="531" ht="12" customHeight="1" x14ac:dyDescent="0.3"/>
    <row r="532" ht="12" customHeight="1" x14ac:dyDescent="0.3"/>
    <row r="533" ht="12" customHeight="1" x14ac:dyDescent="0.3"/>
    <row r="534" ht="12" customHeight="1" x14ac:dyDescent="0.3"/>
    <row r="535" ht="12" customHeight="1" x14ac:dyDescent="0.3"/>
    <row r="536" ht="12" customHeight="1" x14ac:dyDescent="0.3"/>
    <row r="537" ht="12" customHeight="1" x14ac:dyDescent="0.3"/>
    <row r="538" ht="12" customHeight="1" x14ac:dyDescent="0.3"/>
    <row r="539" ht="12" customHeight="1" x14ac:dyDescent="0.3"/>
    <row r="540" ht="12" customHeight="1" x14ac:dyDescent="0.3"/>
    <row r="541" ht="12" customHeight="1" x14ac:dyDescent="0.3"/>
    <row r="542" ht="12" customHeight="1" x14ac:dyDescent="0.3"/>
    <row r="543" ht="12" customHeight="1" x14ac:dyDescent="0.3"/>
    <row r="544" ht="12" customHeight="1" x14ac:dyDescent="0.3"/>
    <row r="545" ht="12" customHeight="1" x14ac:dyDescent="0.3"/>
    <row r="546" ht="12" customHeight="1" x14ac:dyDescent="0.3"/>
    <row r="547" ht="12" customHeight="1" x14ac:dyDescent="0.3"/>
    <row r="548" ht="12" customHeight="1" x14ac:dyDescent="0.3"/>
    <row r="549" ht="12" customHeight="1" x14ac:dyDescent="0.3"/>
    <row r="550" ht="12" customHeight="1" x14ac:dyDescent="0.3"/>
    <row r="551" ht="12" customHeight="1" x14ac:dyDescent="0.3"/>
    <row r="552" ht="12" customHeight="1" x14ac:dyDescent="0.3"/>
    <row r="553" ht="12" customHeight="1" x14ac:dyDescent="0.3"/>
    <row r="554" ht="12" customHeight="1" x14ac:dyDescent="0.3"/>
    <row r="555" ht="12" customHeight="1" x14ac:dyDescent="0.3"/>
    <row r="556" ht="12" customHeight="1" x14ac:dyDescent="0.3"/>
    <row r="557" ht="12" customHeight="1" x14ac:dyDescent="0.3"/>
    <row r="558" ht="12" customHeight="1" x14ac:dyDescent="0.3"/>
    <row r="559" ht="12" customHeight="1" x14ac:dyDescent="0.3"/>
    <row r="560" ht="12" customHeight="1" x14ac:dyDescent="0.3"/>
    <row r="561" ht="12" customHeight="1" x14ac:dyDescent="0.3"/>
    <row r="562" ht="12" customHeight="1" x14ac:dyDescent="0.3"/>
    <row r="563" ht="12" customHeight="1" x14ac:dyDescent="0.3"/>
    <row r="564" ht="12" customHeight="1" x14ac:dyDescent="0.3"/>
    <row r="565" ht="12" customHeight="1" x14ac:dyDescent="0.3"/>
    <row r="566" ht="12" customHeight="1" x14ac:dyDescent="0.3"/>
    <row r="567" ht="12" customHeight="1" x14ac:dyDescent="0.3"/>
    <row r="568" ht="12" customHeight="1" x14ac:dyDescent="0.3"/>
    <row r="569" ht="12" customHeight="1" x14ac:dyDescent="0.3"/>
    <row r="570" ht="12" customHeight="1" x14ac:dyDescent="0.3"/>
    <row r="571" ht="12" customHeight="1" x14ac:dyDescent="0.3"/>
    <row r="572" ht="12" customHeight="1" x14ac:dyDescent="0.3"/>
    <row r="573" ht="12" customHeight="1" x14ac:dyDescent="0.3"/>
    <row r="574" ht="12" customHeight="1" x14ac:dyDescent="0.3"/>
    <row r="575" ht="12" customHeight="1" x14ac:dyDescent="0.3"/>
    <row r="576" ht="12" customHeight="1" x14ac:dyDescent="0.3"/>
    <row r="577" ht="12" customHeight="1" x14ac:dyDescent="0.3"/>
    <row r="578" ht="12" customHeight="1" x14ac:dyDescent="0.3"/>
    <row r="579" ht="12" customHeight="1" x14ac:dyDescent="0.3"/>
    <row r="580" ht="12" customHeight="1" x14ac:dyDescent="0.3"/>
    <row r="581" ht="12" customHeight="1" x14ac:dyDescent="0.3"/>
    <row r="582" ht="12" customHeight="1" x14ac:dyDescent="0.3"/>
    <row r="583" ht="12" customHeight="1" x14ac:dyDescent="0.3"/>
    <row r="584" ht="12" customHeight="1" x14ac:dyDescent="0.3"/>
    <row r="585" ht="12" customHeight="1" x14ac:dyDescent="0.3"/>
    <row r="586" ht="12" customHeight="1" x14ac:dyDescent="0.3"/>
    <row r="587" ht="12" customHeight="1" x14ac:dyDescent="0.3"/>
    <row r="588" ht="12" customHeight="1" x14ac:dyDescent="0.3"/>
    <row r="589" ht="12" customHeight="1" x14ac:dyDescent="0.3"/>
    <row r="590" ht="12" customHeight="1" x14ac:dyDescent="0.3"/>
    <row r="591" ht="12" customHeight="1" x14ac:dyDescent="0.3"/>
    <row r="592" ht="12" customHeight="1" x14ac:dyDescent="0.3"/>
    <row r="593" ht="12" customHeight="1" x14ac:dyDescent="0.3"/>
    <row r="594" ht="12" customHeight="1" x14ac:dyDescent="0.3"/>
    <row r="595" ht="12" customHeight="1" x14ac:dyDescent="0.3"/>
    <row r="596" ht="12" customHeight="1" x14ac:dyDescent="0.3"/>
    <row r="597" ht="12" customHeight="1" x14ac:dyDescent="0.3"/>
    <row r="598" ht="12" customHeight="1" x14ac:dyDescent="0.3"/>
    <row r="599" ht="12" customHeight="1" x14ac:dyDescent="0.3"/>
    <row r="600" ht="12" customHeight="1" x14ac:dyDescent="0.3"/>
    <row r="601" ht="12" customHeight="1" x14ac:dyDescent="0.3"/>
    <row r="602" ht="12" customHeight="1" x14ac:dyDescent="0.3"/>
    <row r="603" ht="12" customHeight="1" x14ac:dyDescent="0.3"/>
    <row r="604" ht="12" customHeight="1" x14ac:dyDescent="0.3"/>
    <row r="605" ht="12" customHeight="1" x14ac:dyDescent="0.3"/>
    <row r="606" ht="12" customHeight="1" x14ac:dyDescent="0.3"/>
    <row r="607" ht="12" customHeight="1" x14ac:dyDescent="0.3"/>
    <row r="608" ht="12" customHeight="1" x14ac:dyDescent="0.3"/>
    <row r="609" ht="12" customHeight="1" x14ac:dyDescent="0.3"/>
    <row r="610" ht="12" customHeight="1" x14ac:dyDescent="0.3"/>
    <row r="611" ht="12" customHeight="1" x14ac:dyDescent="0.3"/>
    <row r="612" ht="12" customHeight="1" x14ac:dyDescent="0.3"/>
    <row r="613" ht="12" customHeight="1" x14ac:dyDescent="0.3"/>
    <row r="614" ht="12" customHeight="1" x14ac:dyDescent="0.3"/>
    <row r="615" ht="12" customHeight="1" x14ac:dyDescent="0.3"/>
    <row r="616" ht="12" customHeight="1" x14ac:dyDescent="0.3"/>
    <row r="617" ht="12" customHeight="1" x14ac:dyDescent="0.3"/>
    <row r="618" ht="12" customHeight="1" x14ac:dyDescent="0.3"/>
    <row r="619" ht="12" customHeight="1" x14ac:dyDescent="0.3"/>
    <row r="620" ht="12" customHeight="1" x14ac:dyDescent="0.3"/>
    <row r="621" ht="12" customHeight="1" x14ac:dyDescent="0.3"/>
    <row r="622" ht="12" customHeight="1" x14ac:dyDescent="0.3"/>
    <row r="623" ht="12" customHeight="1" x14ac:dyDescent="0.3"/>
    <row r="624" ht="12" customHeight="1" x14ac:dyDescent="0.3"/>
    <row r="625" ht="12" customHeight="1" x14ac:dyDescent="0.3"/>
    <row r="626" ht="12" customHeight="1" x14ac:dyDescent="0.3"/>
    <row r="627" ht="12" customHeight="1" x14ac:dyDescent="0.3"/>
    <row r="628" ht="12" customHeight="1" x14ac:dyDescent="0.3"/>
    <row r="629" ht="12" customHeight="1" x14ac:dyDescent="0.3"/>
    <row r="630" ht="12" customHeight="1" x14ac:dyDescent="0.3"/>
    <row r="631" ht="12" customHeight="1" x14ac:dyDescent="0.3"/>
    <row r="632" ht="12" customHeight="1" x14ac:dyDescent="0.3"/>
    <row r="633" ht="12" customHeight="1" x14ac:dyDescent="0.3"/>
    <row r="634" ht="12" customHeight="1" x14ac:dyDescent="0.3"/>
    <row r="635" ht="12" customHeight="1" x14ac:dyDescent="0.3"/>
    <row r="636" ht="12" customHeight="1" x14ac:dyDescent="0.3"/>
    <row r="637" ht="12" customHeight="1" x14ac:dyDescent="0.3"/>
    <row r="638" ht="12" customHeight="1" x14ac:dyDescent="0.3"/>
    <row r="639" ht="12" customHeight="1" x14ac:dyDescent="0.3"/>
    <row r="640" ht="12" customHeight="1" x14ac:dyDescent="0.3"/>
    <row r="641" ht="12" customHeight="1" x14ac:dyDescent="0.3"/>
    <row r="642" ht="12" customHeight="1" x14ac:dyDescent="0.3"/>
    <row r="643" ht="12" customHeight="1" x14ac:dyDescent="0.3"/>
    <row r="644" ht="12" customHeight="1" x14ac:dyDescent="0.3"/>
    <row r="645" ht="12" customHeight="1" x14ac:dyDescent="0.3"/>
    <row r="646" ht="12" customHeight="1" x14ac:dyDescent="0.3"/>
    <row r="647" ht="12" customHeight="1" x14ac:dyDescent="0.3"/>
    <row r="648" ht="12" customHeight="1" x14ac:dyDescent="0.3"/>
    <row r="649" ht="12" customHeight="1" x14ac:dyDescent="0.3"/>
    <row r="650" ht="12" customHeight="1" x14ac:dyDescent="0.3"/>
    <row r="651" ht="12" customHeight="1" x14ac:dyDescent="0.3"/>
    <row r="652" ht="12" customHeight="1" x14ac:dyDescent="0.3"/>
    <row r="653" ht="12" customHeight="1" x14ac:dyDescent="0.3"/>
    <row r="654" ht="12" customHeight="1" x14ac:dyDescent="0.3"/>
    <row r="655" ht="12" customHeight="1" x14ac:dyDescent="0.3"/>
    <row r="656" ht="12" customHeight="1" x14ac:dyDescent="0.3"/>
    <row r="657" ht="12" customHeight="1" x14ac:dyDescent="0.3"/>
    <row r="658" ht="12" customHeight="1" x14ac:dyDescent="0.3"/>
    <row r="659" ht="12" customHeight="1" x14ac:dyDescent="0.3"/>
    <row r="660" ht="12" customHeight="1" x14ac:dyDescent="0.3"/>
    <row r="661" ht="12" customHeight="1" x14ac:dyDescent="0.3"/>
    <row r="662" ht="12" customHeight="1" x14ac:dyDescent="0.3"/>
    <row r="663" ht="12" customHeight="1" x14ac:dyDescent="0.3"/>
    <row r="664" ht="12" customHeight="1" x14ac:dyDescent="0.3"/>
    <row r="665" ht="12" customHeight="1" x14ac:dyDescent="0.3"/>
    <row r="666" ht="12" customHeight="1" x14ac:dyDescent="0.3"/>
    <row r="667" ht="12" customHeight="1" x14ac:dyDescent="0.3"/>
    <row r="668" ht="12" customHeight="1" x14ac:dyDescent="0.3"/>
    <row r="669" ht="12" customHeight="1" x14ac:dyDescent="0.3"/>
    <row r="670" ht="12" customHeight="1" x14ac:dyDescent="0.3"/>
    <row r="671" ht="12" customHeight="1" x14ac:dyDescent="0.3"/>
    <row r="672" ht="12" customHeight="1" x14ac:dyDescent="0.3"/>
    <row r="673" ht="12" customHeight="1" x14ac:dyDescent="0.3"/>
    <row r="674" ht="12" customHeight="1" x14ac:dyDescent="0.3"/>
    <row r="675" ht="12" customHeight="1" x14ac:dyDescent="0.3"/>
    <row r="676" ht="12" customHeight="1" x14ac:dyDescent="0.3"/>
    <row r="677" ht="12" customHeight="1" x14ac:dyDescent="0.3"/>
    <row r="678" ht="12" customHeight="1" x14ac:dyDescent="0.3"/>
    <row r="679" ht="12" customHeight="1" x14ac:dyDescent="0.3"/>
    <row r="680" ht="12" customHeight="1" x14ac:dyDescent="0.3"/>
    <row r="681" ht="12" customHeight="1" x14ac:dyDescent="0.3"/>
    <row r="682" ht="12" customHeight="1" x14ac:dyDescent="0.3"/>
    <row r="683" ht="12" customHeight="1" x14ac:dyDescent="0.3"/>
    <row r="684" ht="12" customHeight="1" x14ac:dyDescent="0.3"/>
    <row r="685" ht="12" customHeight="1" x14ac:dyDescent="0.3"/>
    <row r="686" ht="12" customHeight="1" x14ac:dyDescent="0.3"/>
    <row r="687" ht="12" customHeight="1" x14ac:dyDescent="0.3"/>
    <row r="688" ht="12" customHeight="1" x14ac:dyDescent="0.3"/>
    <row r="689" ht="12" customHeight="1" x14ac:dyDescent="0.3"/>
    <row r="690" ht="12" customHeight="1" x14ac:dyDescent="0.3"/>
    <row r="691" ht="12" customHeight="1" x14ac:dyDescent="0.3"/>
    <row r="692" ht="12" customHeight="1" x14ac:dyDescent="0.3"/>
    <row r="693" ht="12" customHeight="1" x14ac:dyDescent="0.3"/>
    <row r="694" ht="12" customHeight="1" x14ac:dyDescent="0.3"/>
    <row r="695" ht="12" customHeight="1" x14ac:dyDescent="0.3"/>
    <row r="696" ht="12" customHeight="1" x14ac:dyDescent="0.3"/>
    <row r="697" ht="12" customHeight="1" x14ac:dyDescent="0.3"/>
    <row r="698" ht="12" customHeight="1" x14ac:dyDescent="0.3"/>
    <row r="699" ht="12" customHeight="1" x14ac:dyDescent="0.3"/>
    <row r="700" ht="12" customHeight="1" x14ac:dyDescent="0.3"/>
    <row r="701" ht="12" customHeight="1" x14ac:dyDescent="0.3"/>
    <row r="702" ht="12" customHeight="1" x14ac:dyDescent="0.3"/>
    <row r="703" ht="12" customHeight="1" x14ac:dyDescent="0.3"/>
    <row r="704" ht="12" customHeight="1" x14ac:dyDescent="0.3"/>
    <row r="705" ht="12" customHeight="1" x14ac:dyDescent="0.3"/>
    <row r="706" ht="12" customHeight="1" x14ac:dyDescent="0.3"/>
    <row r="707" ht="12" customHeight="1" x14ac:dyDescent="0.3"/>
    <row r="708" ht="12" customHeight="1" x14ac:dyDescent="0.3"/>
    <row r="709" ht="12" customHeight="1" x14ac:dyDescent="0.3"/>
    <row r="710" ht="12" customHeight="1" x14ac:dyDescent="0.3"/>
    <row r="711" ht="12" customHeight="1" x14ac:dyDescent="0.3"/>
    <row r="712" ht="12" customHeight="1" x14ac:dyDescent="0.3"/>
    <row r="713" ht="12" customHeight="1" x14ac:dyDescent="0.3"/>
    <row r="714" ht="12" customHeight="1" x14ac:dyDescent="0.3"/>
    <row r="715" ht="12" customHeight="1" x14ac:dyDescent="0.3"/>
    <row r="716" ht="12" customHeight="1" x14ac:dyDescent="0.3"/>
    <row r="717" ht="12" customHeight="1" x14ac:dyDescent="0.3"/>
    <row r="718" ht="12" customHeight="1" x14ac:dyDescent="0.3"/>
    <row r="719" ht="12" customHeight="1" x14ac:dyDescent="0.3"/>
    <row r="720" ht="12" customHeight="1" x14ac:dyDescent="0.3"/>
    <row r="721" ht="12" customHeight="1" x14ac:dyDescent="0.3"/>
    <row r="722" ht="12" customHeight="1" x14ac:dyDescent="0.3"/>
    <row r="723" ht="12" customHeight="1" x14ac:dyDescent="0.3"/>
    <row r="724" ht="12" customHeight="1" x14ac:dyDescent="0.3"/>
    <row r="725" ht="12" customHeight="1" x14ac:dyDescent="0.3"/>
    <row r="726" ht="12" customHeight="1" x14ac:dyDescent="0.3"/>
    <row r="727" ht="12" customHeight="1" x14ac:dyDescent="0.3"/>
    <row r="728" ht="12" customHeight="1" x14ac:dyDescent="0.3"/>
    <row r="729" ht="12" customHeight="1" x14ac:dyDescent="0.3"/>
    <row r="730" ht="12" customHeight="1" x14ac:dyDescent="0.3"/>
    <row r="731" ht="12" customHeight="1" x14ac:dyDescent="0.3"/>
    <row r="732" ht="12" customHeight="1" x14ac:dyDescent="0.3"/>
    <row r="733" ht="12" customHeight="1" x14ac:dyDescent="0.3"/>
    <row r="734" ht="12" customHeight="1" x14ac:dyDescent="0.3"/>
    <row r="735" ht="12" customHeight="1" x14ac:dyDescent="0.3"/>
    <row r="736" ht="12" customHeight="1" x14ac:dyDescent="0.3"/>
    <row r="737" ht="12" customHeight="1" x14ac:dyDescent="0.3"/>
    <row r="738" ht="12" customHeight="1" x14ac:dyDescent="0.3"/>
    <row r="739" ht="12" customHeight="1" x14ac:dyDescent="0.3"/>
    <row r="740" ht="12" customHeight="1" x14ac:dyDescent="0.3"/>
    <row r="741" ht="12" customHeight="1" x14ac:dyDescent="0.3"/>
    <row r="742" ht="12" customHeight="1" x14ac:dyDescent="0.3"/>
    <row r="743" ht="12" customHeight="1" x14ac:dyDescent="0.3"/>
    <row r="744" ht="12" customHeight="1" x14ac:dyDescent="0.3"/>
    <row r="745" ht="12" customHeight="1" x14ac:dyDescent="0.3"/>
    <row r="746" ht="12" customHeight="1" x14ac:dyDescent="0.3"/>
    <row r="747" ht="12" customHeight="1" x14ac:dyDescent="0.3"/>
    <row r="748" ht="12" customHeight="1" x14ac:dyDescent="0.3"/>
    <row r="749" ht="12" customHeight="1" x14ac:dyDescent="0.3"/>
    <row r="750" ht="12" customHeight="1" x14ac:dyDescent="0.3"/>
    <row r="751" ht="12" customHeight="1" x14ac:dyDescent="0.3"/>
    <row r="752" ht="12" customHeight="1" x14ac:dyDescent="0.3"/>
    <row r="753" ht="12" customHeight="1" x14ac:dyDescent="0.3"/>
    <row r="754" ht="12" customHeight="1" x14ac:dyDescent="0.3"/>
    <row r="755" ht="12" customHeight="1" x14ac:dyDescent="0.3"/>
    <row r="756" ht="12" customHeight="1" x14ac:dyDescent="0.3"/>
    <row r="757" ht="12" customHeight="1" x14ac:dyDescent="0.3"/>
    <row r="758" ht="12" customHeight="1" x14ac:dyDescent="0.3"/>
    <row r="759" ht="12" customHeight="1" x14ac:dyDescent="0.3"/>
    <row r="760" ht="12" customHeight="1" x14ac:dyDescent="0.3"/>
    <row r="761" ht="12" customHeight="1" x14ac:dyDescent="0.3"/>
    <row r="762" ht="12" customHeight="1" x14ac:dyDescent="0.3"/>
    <row r="763" ht="12" customHeight="1" x14ac:dyDescent="0.3"/>
    <row r="764" ht="12" customHeight="1" x14ac:dyDescent="0.3"/>
    <row r="765" ht="12" customHeight="1" x14ac:dyDescent="0.3"/>
    <row r="766" ht="12" customHeight="1" x14ac:dyDescent="0.3"/>
    <row r="767" ht="12" customHeight="1" x14ac:dyDescent="0.3"/>
    <row r="768" ht="12" customHeight="1" x14ac:dyDescent="0.3"/>
    <row r="769" ht="12" customHeight="1" x14ac:dyDescent="0.3"/>
    <row r="770" ht="12" customHeight="1" x14ac:dyDescent="0.3"/>
    <row r="771" ht="12" customHeight="1" x14ac:dyDescent="0.3"/>
    <row r="772" ht="12" customHeight="1" x14ac:dyDescent="0.3"/>
    <row r="773" ht="12" customHeight="1" x14ac:dyDescent="0.3"/>
    <row r="774" ht="12" customHeight="1" x14ac:dyDescent="0.3"/>
    <row r="775" ht="12" customHeight="1" x14ac:dyDescent="0.3"/>
    <row r="776" ht="12" customHeight="1" x14ac:dyDescent="0.3"/>
    <row r="777" ht="12" customHeight="1" x14ac:dyDescent="0.3"/>
    <row r="778" ht="12" customHeight="1" x14ac:dyDescent="0.3"/>
    <row r="779" ht="12" customHeight="1" x14ac:dyDescent="0.3"/>
    <row r="780" ht="12" customHeight="1" x14ac:dyDescent="0.3"/>
    <row r="781" ht="12" customHeight="1" x14ac:dyDescent="0.3"/>
    <row r="782" ht="12" customHeight="1" x14ac:dyDescent="0.3"/>
    <row r="783" ht="12" customHeight="1" x14ac:dyDescent="0.3"/>
    <row r="784" ht="12" customHeight="1" x14ac:dyDescent="0.3"/>
    <row r="785" ht="12" customHeight="1" x14ac:dyDescent="0.3"/>
    <row r="786" ht="12" customHeight="1" x14ac:dyDescent="0.3"/>
    <row r="787" ht="12" customHeight="1" x14ac:dyDescent="0.3"/>
    <row r="788" ht="12" customHeight="1" x14ac:dyDescent="0.3"/>
    <row r="789" ht="12" customHeight="1" x14ac:dyDescent="0.3"/>
    <row r="790" ht="12" customHeight="1" x14ac:dyDescent="0.3"/>
    <row r="791" ht="12" customHeight="1" x14ac:dyDescent="0.3"/>
    <row r="792" ht="12" customHeight="1" x14ac:dyDescent="0.3"/>
    <row r="793" ht="12" customHeight="1" x14ac:dyDescent="0.3"/>
    <row r="794" ht="12" customHeight="1" x14ac:dyDescent="0.3"/>
    <row r="795" ht="12" customHeight="1" x14ac:dyDescent="0.3"/>
    <row r="796" ht="12" customHeight="1" x14ac:dyDescent="0.3"/>
    <row r="797" ht="12" customHeight="1" x14ac:dyDescent="0.3"/>
    <row r="798" ht="12" customHeight="1" x14ac:dyDescent="0.3"/>
    <row r="799" ht="12" customHeight="1" x14ac:dyDescent="0.3"/>
    <row r="800" ht="12" customHeight="1" x14ac:dyDescent="0.3"/>
    <row r="801" ht="12" customHeight="1" x14ac:dyDescent="0.3"/>
    <row r="802" ht="12" customHeight="1" x14ac:dyDescent="0.3"/>
    <row r="803" ht="12" customHeight="1" x14ac:dyDescent="0.3"/>
    <row r="804" ht="12" customHeight="1" x14ac:dyDescent="0.3"/>
    <row r="805" ht="12" customHeight="1" x14ac:dyDescent="0.3"/>
    <row r="806" ht="12" customHeight="1" x14ac:dyDescent="0.3"/>
    <row r="807" ht="12" customHeight="1" x14ac:dyDescent="0.3"/>
    <row r="808" ht="12" customHeight="1" x14ac:dyDescent="0.3"/>
    <row r="809" ht="12" customHeight="1" x14ac:dyDescent="0.3"/>
    <row r="810" ht="12" customHeight="1" x14ac:dyDescent="0.3"/>
    <row r="811" ht="12" customHeight="1" x14ac:dyDescent="0.3"/>
    <row r="812" ht="12" customHeight="1" x14ac:dyDescent="0.3"/>
    <row r="813" ht="12" customHeight="1" x14ac:dyDescent="0.3"/>
    <row r="814" ht="12" customHeight="1" x14ac:dyDescent="0.3"/>
    <row r="815" ht="12" customHeight="1" x14ac:dyDescent="0.3"/>
    <row r="816" ht="12" customHeight="1" x14ac:dyDescent="0.3"/>
    <row r="817" ht="12" customHeight="1" x14ac:dyDescent="0.3"/>
    <row r="818" ht="12" customHeight="1" x14ac:dyDescent="0.3"/>
    <row r="819" ht="12" customHeight="1" x14ac:dyDescent="0.3"/>
    <row r="820" ht="12" customHeight="1" x14ac:dyDescent="0.3"/>
    <row r="821" ht="12" customHeight="1" x14ac:dyDescent="0.3"/>
    <row r="822" ht="12" customHeight="1" x14ac:dyDescent="0.3"/>
    <row r="823" ht="12" customHeight="1" x14ac:dyDescent="0.3"/>
    <row r="824" ht="12" customHeight="1" x14ac:dyDescent="0.3"/>
    <row r="825" ht="12" customHeight="1" x14ac:dyDescent="0.3"/>
    <row r="826" ht="12" customHeight="1" x14ac:dyDescent="0.3"/>
    <row r="827" ht="12" customHeight="1" x14ac:dyDescent="0.3"/>
    <row r="828" ht="12" customHeight="1" x14ac:dyDescent="0.3"/>
    <row r="829" ht="12" customHeight="1" x14ac:dyDescent="0.3"/>
    <row r="830" ht="12" customHeight="1" x14ac:dyDescent="0.3"/>
    <row r="831" ht="12" customHeight="1" x14ac:dyDescent="0.3"/>
    <row r="832" ht="12" customHeight="1" x14ac:dyDescent="0.3"/>
    <row r="833" ht="12" customHeight="1" x14ac:dyDescent="0.3"/>
    <row r="834" ht="12" customHeight="1" x14ac:dyDescent="0.3"/>
    <row r="835" ht="12" customHeight="1" x14ac:dyDescent="0.3"/>
    <row r="836" ht="12" customHeight="1" x14ac:dyDescent="0.3"/>
    <row r="837" ht="12" customHeight="1" x14ac:dyDescent="0.3"/>
    <row r="838" ht="12" customHeight="1" x14ac:dyDescent="0.3"/>
    <row r="839" ht="12" customHeight="1" x14ac:dyDescent="0.3"/>
    <row r="840" ht="12" customHeight="1" x14ac:dyDescent="0.3"/>
    <row r="841" ht="12" customHeight="1" x14ac:dyDescent="0.3"/>
    <row r="842" ht="12" customHeight="1" x14ac:dyDescent="0.3"/>
    <row r="843" ht="12" customHeight="1" x14ac:dyDescent="0.3"/>
    <row r="844" ht="12" customHeight="1" x14ac:dyDescent="0.3"/>
    <row r="845" ht="12" customHeight="1" x14ac:dyDescent="0.3"/>
    <row r="846" ht="12" customHeight="1" x14ac:dyDescent="0.3"/>
    <row r="847" ht="12" customHeight="1" x14ac:dyDescent="0.3"/>
    <row r="848" ht="12" customHeight="1" x14ac:dyDescent="0.3"/>
    <row r="849" ht="12" customHeight="1" x14ac:dyDescent="0.3"/>
    <row r="850" ht="12" customHeight="1" x14ac:dyDescent="0.3"/>
    <row r="851" ht="12" customHeight="1" x14ac:dyDescent="0.3"/>
    <row r="852" ht="12" customHeight="1" x14ac:dyDescent="0.3"/>
    <row r="853" ht="12" customHeight="1" x14ac:dyDescent="0.3"/>
    <row r="854" ht="12" customHeight="1" x14ac:dyDescent="0.3"/>
    <row r="855" ht="12" customHeight="1" x14ac:dyDescent="0.3"/>
    <row r="856" ht="12" customHeight="1" x14ac:dyDescent="0.3"/>
    <row r="857" ht="12" customHeight="1" x14ac:dyDescent="0.3"/>
    <row r="858" ht="12" customHeight="1" x14ac:dyDescent="0.3"/>
    <row r="859" ht="12" customHeight="1" x14ac:dyDescent="0.3"/>
    <row r="860" ht="12" customHeight="1" x14ac:dyDescent="0.3"/>
    <row r="861" ht="12" customHeight="1" x14ac:dyDescent="0.3"/>
    <row r="862" ht="12" customHeight="1" x14ac:dyDescent="0.3"/>
    <row r="863" ht="12" customHeight="1" x14ac:dyDescent="0.3"/>
    <row r="864" ht="12" customHeight="1" x14ac:dyDescent="0.3"/>
    <row r="865" ht="12" customHeight="1" x14ac:dyDescent="0.3"/>
    <row r="866" ht="12" customHeight="1" x14ac:dyDescent="0.3"/>
    <row r="867" ht="12" customHeight="1" x14ac:dyDescent="0.3"/>
    <row r="868" ht="12" customHeight="1" x14ac:dyDescent="0.3"/>
    <row r="869" ht="12" customHeight="1" x14ac:dyDescent="0.3"/>
    <row r="870" ht="12" customHeight="1" x14ac:dyDescent="0.3"/>
    <row r="871" ht="12" customHeight="1" x14ac:dyDescent="0.3"/>
    <row r="872" ht="12" customHeight="1" x14ac:dyDescent="0.3"/>
    <row r="873" ht="12" customHeight="1" x14ac:dyDescent="0.3"/>
    <row r="874" ht="12" customHeight="1" x14ac:dyDescent="0.3"/>
    <row r="875" ht="12" customHeight="1" x14ac:dyDescent="0.3"/>
    <row r="876" ht="12" customHeight="1" x14ac:dyDescent="0.3"/>
    <row r="877" ht="12" customHeight="1" x14ac:dyDescent="0.3"/>
    <row r="878" ht="12" customHeight="1" x14ac:dyDescent="0.3"/>
    <row r="879" ht="12" customHeight="1" x14ac:dyDescent="0.3"/>
    <row r="880" ht="12" customHeight="1" x14ac:dyDescent="0.3"/>
    <row r="881" ht="12" customHeight="1" x14ac:dyDescent="0.3"/>
    <row r="882" ht="12" customHeight="1" x14ac:dyDescent="0.3"/>
    <row r="883" ht="12" customHeight="1" x14ac:dyDescent="0.3"/>
    <row r="884" ht="12" customHeight="1" x14ac:dyDescent="0.3"/>
    <row r="885" ht="12" customHeight="1" x14ac:dyDescent="0.3"/>
    <row r="886" ht="12" customHeight="1" x14ac:dyDescent="0.3"/>
    <row r="887" ht="12" customHeight="1" x14ac:dyDescent="0.3"/>
    <row r="888" ht="12" customHeight="1" x14ac:dyDescent="0.3"/>
    <row r="889" ht="12" customHeight="1" x14ac:dyDescent="0.3"/>
    <row r="890" ht="12" customHeight="1" x14ac:dyDescent="0.3"/>
    <row r="891" ht="12" customHeight="1" x14ac:dyDescent="0.3"/>
    <row r="892" ht="12" customHeight="1" x14ac:dyDescent="0.3"/>
    <row r="893" ht="12" customHeight="1" x14ac:dyDescent="0.3"/>
    <row r="894" ht="12" customHeight="1" x14ac:dyDescent="0.3"/>
    <row r="895" ht="12" customHeight="1" x14ac:dyDescent="0.3"/>
    <row r="896" ht="12" customHeight="1" x14ac:dyDescent="0.3"/>
    <row r="897" ht="12" customHeight="1" x14ac:dyDescent="0.3"/>
    <row r="898" ht="12" customHeight="1" x14ac:dyDescent="0.3"/>
    <row r="899" ht="12" customHeight="1" x14ac:dyDescent="0.3"/>
    <row r="900" ht="12" customHeight="1" x14ac:dyDescent="0.3"/>
    <row r="901" ht="12" customHeight="1" x14ac:dyDescent="0.3"/>
    <row r="902" ht="12" customHeight="1" x14ac:dyDescent="0.3"/>
    <row r="903" ht="12" customHeight="1" x14ac:dyDescent="0.3"/>
    <row r="904" ht="12" customHeight="1" x14ac:dyDescent="0.3"/>
    <row r="905" ht="12" customHeight="1" x14ac:dyDescent="0.3"/>
    <row r="906" ht="12" customHeight="1" x14ac:dyDescent="0.3"/>
    <row r="907" ht="12" customHeight="1" x14ac:dyDescent="0.3"/>
    <row r="908" ht="12" customHeight="1" x14ac:dyDescent="0.3"/>
    <row r="909" ht="12" customHeight="1" x14ac:dyDescent="0.3"/>
    <row r="910" ht="12" customHeight="1" x14ac:dyDescent="0.3"/>
    <row r="911" ht="12" customHeight="1" x14ac:dyDescent="0.3"/>
    <row r="912" ht="12" customHeight="1" x14ac:dyDescent="0.3"/>
    <row r="913" ht="12" customHeight="1" x14ac:dyDescent="0.3"/>
    <row r="914" ht="12" customHeight="1" x14ac:dyDescent="0.3"/>
    <row r="915" ht="12" customHeight="1" x14ac:dyDescent="0.3"/>
    <row r="916" ht="12" customHeight="1" x14ac:dyDescent="0.3"/>
    <row r="917" ht="12" customHeight="1" x14ac:dyDescent="0.3"/>
    <row r="918" ht="12" customHeight="1" x14ac:dyDescent="0.3"/>
    <row r="919" ht="12" customHeight="1" x14ac:dyDescent="0.3"/>
    <row r="920" ht="12" customHeight="1" x14ac:dyDescent="0.3"/>
    <row r="921" ht="12" customHeight="1" x14ac:dyDescent="0.3"/>
    <row r="922" ht="12" customHeight="1" x14ac:dyDescent="0.3"/>
    <row r="923" ht="12" customHeight="1" x14ac:dyDescent="0.3"/>
    <row r="924" ht="12" customHeight="1" x14ac:dyDescent="0.3"/>
    <row r="925" ht="12" customHeight="1" x14ac:dyDescent="0.3"/>
    <row r="926" ht="12" customHeight="1" x14ac:dyDescent="0.3"/>
    <row r="927" ht="12" customHeight="1" x14ac:dyDescent="0.3"/>
    <row r="928" ht="12" customHeight="1" x14ac:dyDescent="0.3"/>
    <row r="929" ht="12" customHeight="1" x14ac:dyDescent="0.3"/>
    <row r="930" ht="12" customHeight="1" x14ac:dyDescent="0.3"/>
    <row r="931" ht="12" customHeight="1" x14ac:dyDescent="0.3"/>
    <row r="932" ht="12" customHeight="1" x14ac:dyDescent="0.3"/>
    <row r="933" ht="12" customHeight="1" x14ac:dyDescent="0.3"/>
    <row r="934" ht="12" customHeight="1" x14ac:dyDescent="0.3"/>
    <row r="935" ht="12" customHeight="1" x14ac:dyDescent="0.3"/>
    <row r="936" ht="12" customHeight="1" x14ac:dyDescent="0.3"/>
    <row r="937" ht="12" customHeight="1" x14ac:dyDescent="0.3"/>
    <row r="938" ht="12" customHeight="1" x14ac:dyDescent="0.3"/>
    <row r="939" ht="12" customHeight="1" x14ac:dyDescent="0.3"/>
    <row r="940" ht="12" customHeight="1" x14ac:dyDescent="0.3"/>
    <row r="941" ht="12" customHeight="1" x14ac:dyDescent="0.3"/>
    <row r="942" ht="12" customHeight="1" x14ac:dyDescent="0.3"/>
    <row r="943" ht="12" customHeight="1" x14ac:dyDescent="0.3"/>
    <row r="944" ht="12" customHeight="1" x14ac:dyDescent="0.3"/>
    <row r="945" ht="12" customHeight="1" x14ac:dyDescent="0.3"/>
    <row r="946" ht="12" customHeight="1" x14ac:dyDescent="0.3"/>
    <row r="947" ht="12" customHeight="1" x14ac:dyDescent="0.3"/>
    <row r="948" ht="12" customHeight="1" x14ac:dyDescent="0.3"/>
    <row r="949" ht="12" customHeight="1" x14ac:dyDescent="0.3"/>
    <row r="950" ht="12" customHeight="1" x14ac:dyDescent="0.3"/>
    <row r="951" ht="12" customHeight="1" x14ac:dyDescent="0.3"/>
    <row r="952" ht="12" customHeight="1" x14ac:dyDescent="0.3"/>
    <row r="953" ht="12" customHeight="1" x14ac:dyDescent="0.3"/>
    <row r="954" ht="12" customHeight="1" x14ac:dyDescent="0.3"/>
    <row r="955" ht="12" customHeight="1" x14ac:dyDescent="0.3"/>
    <row r="956" ht="12" customHeight="1" x14ac:dyDescent="0.3"/>
    <row r="957" ht="12" customHeight="1" x14ac:dyDescent="0.3"/>
    <row r="958" ht="12" customHeight="1" x14ac:dyDescent="0.3"/>
    <row r="959" ht="12" customHeight="1" x14ac:dyDescent="0.3"/>
    <row r="960" ht="12" customHeight="1" x14ac:dyDescent="0.3"/>
    <row r="961" ht="12" customHeight="1" x14ac:dyDescent="0.3"/>
    <row r="962" ht="12" customHeight="1" x14ac:dyDescent="0.3"/>
    <row r="963" ht="12" customHeight="1" x14ac:dyDescent="0.3"/>
    <row r="964" ht="12" customHeight="1" x14ac:dyDescent="0.3"/>
    <row r="965" ht="12" customHeight="1" x14ac:dyDescent="0.3"/>
    <row r="966" ht="12" customHeight="1" x14ac:dyDescent="0.3"/>
    <row r="967" ht="12" customHeight="1" x14ac:dyDescent="0.3"/>
    <row r="968" ht="12" customHeight="1" x14ac:dyDescent="0.3"/>
    <row r="969" ht="12" customHeight="1" x14ac:dyDescent="0.3"/>
    <row r="970" ht="12" customHeight="1" x14ac:dyDescent="0.3"/>
    <row r="971" ht="12" customHeight="1" x14ac:dyDescent="0.3"/>
    <row r="972" ht="12" customHeight="1" x14ac:dyDescent="0.3"/>
    <row r="973" ht="12" customHeight="1" x14ac:dyDescent="0.3"/>
    <row r="974" ht="12" customHeight="1" x14ac:dyDescent="0.3"/>
    <row r="975" ht="12" customHeight="1" x14ac:dyDescent="0.3"/>
    <row r="976" ht="12" customHeight="1" x14ac:dyDescent="0.3"/>
    <row r="977" ht="12" customHeight="1" x14ac:dyDescent="0.3"/>
    <row r="978" ht="12" customHeight="1" x14ac:dyDescent="0.3"/>
    <row r="979" ht="12" customHeight="1" x14ac:dyDescent="0.3"/>
    <row r="980" ht="12" customHeight="1" x14ac:dyDescent="0.3"/>
    <row r="981" ht="12" customHeight="1" x14ac:dyDescent="0.3"/>
    <row r="982" ht="12" customHeight="1" x14ac:dyDescent="0.3"/>
    <row r="983" ht="12" customHeight="1" x14ac:dyDescent="0.3"/>
    <row r="984" ht="12" customHeight="1" x14ac:dyDescent="0.3"/>
    <row r="985" ht="12" customHeight="1" x14ac:dyDescent="0.3"/>
    <row r="986" ht="12" customHeight="1" x14ac:dyDescent="0.3"/>
    <row r="987" ht="12" customHeight="1" x14ac:dyDescent="0.3"/>
    <row r="988" ht="12" customHeight="1" x14ac:dyDescent="0.3"/>
    <row r="989" ht="12" customHeight="1" x14ac:dyDescent="0.3"/>
    <row r="990" ht="12" customHeight="1" x14ac:dyDescent="0.3"/>
    <row r="991" ht="12" customHeight="1" x14ac:dyDescent="0.3"/>
    <row r="992" ht="12" customHeight="1" x14ac:dyDescent="0.3"/>
    <row r="993" ht="12" customHeight="1" x14ac:dyDescent="0.3"/>
    <row r="994" ht="12" customHeight="1" x14ac:dyDescent="0.3"/>
    <row r="995" ht="12" customHeight="1" x14ac:dyDescent="0.3"/>
    <row r="996" ht="12" customHeight="1" x14ac:dyDescent="0.3"/>
  </sheetData>
  <mergeCells count="3">
    <mergeCell ref="B1:H1"/>
    <mergeCell ref="B3:H3"/>
    <mergeCell ref="B2:H2"/>
  </mergeCells>
  <pageMargins left="0.70866141732283472" right="0.70866141732283472" top="0.74803149606299213" bottom="0.74803149606299213" header="0" footer="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  <pageSetUpPr fitToPage="1"/>
  </sheetPr>
  <dimension ref="A1:Z1002"/>
  <sheetViews>
    <sheetView showGridLines="0" tabSelected="1" topLeftCell="A15" zoomScaleNormal="100" workbookViewId="0">
      <selection activeCell="K27" sqref="K27"/>
    </sheetView>
  </sheetViews>
  <sheetFormatPr defaultColWidth="12.6640625" defaultRowHeight="15" customHeight="1" x14ac:dyDescent="0.3"/>
  <cols>
    <col min="1" max="1" width="6.109375" style="97" customWidth="1"/>
    <col min="2" max="2" width="36.44140625" style="97" customWidth="1"/>
    <col min="3" max="7" width="14.77734375" style="97" customWidth="1"/>
    <col min="8" max="8" width="13.5546875" style="97" customWidth="1"/>
    <col min="9" max="9" width="12.44140625" style="20" customWidth="1"/>
    <col min="10" max="10" width="10.44140625" style="20" customWidth="1"/>
    <col min="11" max="13" width="11.88671875" style="20" customWidth="1"/>
    <col min="14" max="14" width="9.44140625" style="20" customWidth="1"/>
    <col min="15" max="26" width="12.44140625" style="20" customWidth="1"/>
  </cols>
  <sheetData>
    <row r="1" spans="1:15" ht="18" customHeight="1" x14ac:dyDescent="0.35">
      <c r="A1" s="113">
        <f>Summary!B1</f>
        <v>0</v>
      </c>
      <c r="B1" s="107"/>
      <c r="C1" s="107"/>
      <c r="D1" s="107"/>
      <c r="E1" s="107"/>
      <c r="F1" s="107"/>
      <c r="G1" s="107"/>
      <c r="H1" s="107"/>
      <c r="K1" s="18">
        <f>H10+H8-H29</f>
        <v>0</v>
      </c>
      <c r="M1">
        <f>H12*100/118</f>
        <v>0</v>
      </c>
    </row>
    <row r="2" spans="1:15" ht="15.75" customHeight="1" x14ac:dyDescent="0.3">
      <c r="A2" s="111" t="s">
        <v>74</v>
      </c>
      <c r="B2" s="107"/>
      <c r="C2" s="107"/>
      <c r="D2" s="107"/>
      <c r="E2" s="107"/>
      <c r="F2" s="107"/>
      <c r="G2" s="107"/>
      <c r="H2" s="107"/>
      <c r="M2">
        <f>M1*0.02%</f>
        <v>0</v>
      </c>
    </row>
    <row r="3" spans="1:15" ht="12" customHeight="1" thickBot="1" x14ac:dyDescent="0.35">
      <c r="A3" s="110"/>
      <c r="B3" s="107"/>
      <c r="C3" s="107"/>
      <c r="D3" s="107"/>
      <c r="E3" s="107"/>
      <c r="F3" s="107"/>
      <c r="G3" s="107"/>
      <c r="H3" s="107"/>
    </row>
    <row r="4" spans="1:15" ht="15" customHeight="1" thickBot="1" x14ac:dyDescent="0.35">
      <c r="A4" s="95" t="s">
        <v>18</v>
      </c>
      <c r="B4" s="83" t="s">
        <v>0</v>
      </c>
      <c r="C4" s="23" t="str">
        <f>Summary!C4</f>
        <v>1st to 5th</v>
      </c>
      <c r="D4" s="22" t="str">
        <f>Summary!D4</f>
        <v>6th to 12th</v>
      </c>
      <c r="E4" s="23" t="str">
        <f>Summary!E4</f>
        <v>13th to 19th</v>
      </c>
      <c r="F4" s="22" t="str">
        <f>Summary!F4</f>
        <v>20th to 26th</v>
      </c>
      <c r="G4" s="22" t="str">
        <f>Summary!G4</f>
        <v>27th to 31st</v>
      </c>
      <c r="H4" s="24" t="s">
        <v>6</v>
      </c>
    </row>
    <row r="5" spans="1:15" ht="15" customHeight="1" x14ac:dyDescent="0.3">
      <c r="A5" s="5">
        <v>1</v>
      </c>
      <c r="B5" s="6" t="s">
        <v>19</v>
      </c>
      <c r="C5" s="31"/>
      <c r="D5" s="31"/>
      <c r="E5" s="31"/>
      <c r="F5" s="31"/>
      <c r="G5" s="31"/>
      <c r="H5" s="84">
        <f t="shared" ref="H5:H30" si="0">SUM(C5:G5)</f>
        <v>0</v>
      </c>
      <c r="K5" s="4"/>
    </row>
    <row r="6" spans="1:15" ht="15" customHeight="1" x14ac:dyDescent="0.3">
      <c r="A6" s="6"/>
      <c r="B6" s="6" t="s">
        <v>20</v>
      </c>
      <c r="C6" s="31"/>
      <c r="D6" s="31"/>
      <c r="E6" s="31"/>
      <c r="F6" s="31"/>
      <c r="G6" s="31"/>
      <c r="H6" s="31">
        <f t="shared" si="0"/>
        <v>0</v>
      </c>
      <c r="J6" s="14" t="s">
        <v>21</v>
      </c>
      <c r="K6" s="15">
        <f>H10-H29</f>
        <v>0</v>
      </c>
      <c r="O6" s="18"/>
    </row>
    <row r="7" spans="1:15" ht="15" customHeight="1" x14ac:dyDescent="0.3">
      <c r="A7" s="6"/>
      <c r="B7" s="6" t="s">
        <v>22</v>
      </c>
      <c r="C7" s="85"/>
      <c r="D7" s="31"/>
      <c r="E7" s="31"/>
      <c r="F7" s="31"/>
      <c r="G7" s="31"/>
      <c r="H7" s="31">
        <f t="shared" si="0"/>
        <v>0</v>
      </c>
      <c r="J7" s="16" t="s">
        <v>23</v>
      </c>
      <c r="K7" s="17">
        <f>H12*100/118</f>
        <v>0</v>
      </c>
      <c r="L7" s="4"/>
      <c r="M7" s="1"/>
    </row>
    <row r="8" spans="1:15" ht="14.25" customHeight="1" x14ac:dyDescent="0.3">
      <c r="A8" s="6"/>
      <c r="B8" s="6" t="s">
        <v>24</v>
      </c>
      <c r="C8" s="31"/>
      <c r="D8" s="31"/>
      <c r="E8" s="31"/>
      <c r="F8" s="31"/>
      <c r="G8" s="31"/>
      <c r="H8" s="31">
        <f t="shared" si="0"/>
        <v>0</v>
      </c>
      <c r="J8" s="21"/>
      <c r="K8" s="21"/>
    </row>
    <row r="9" spans="1:15" ht="13.5" customHeight="1" x14ac:dyDescent="0.3">
      <c r="A9" s="6"/>
      <c r="B9" s="6" t="s">
        <v>25</v>
      </c>
      <c r="C9" s="31"/>
      <c r="D9" s="31"/>
      <c r="E9" s="31"/>
      <c r="F9" s="31"/>
      <c r="G9" s="31"/>
      <c r="H9" s="31">
        <f t="shared" si="0"/>
        <v>0</v>
      </c>
      <c r="N9" s="7" t="e">
        <f>AVERAGE(J12:L12)</f>
        <v>#DIV/0!</v>
      </c>
    </row>
    <row r="10" spans="1:15" ht="16.5" customHeight="1" x14ac:dyDescent="0.3">
      <c r="A10" s="6"/>
      <c r="B10" s="8" t="s">
        <v>26</v>
      </c>
      <c r="C10" s="59">
        <f>C5+C6+C7-C8+C9</f>
        <v>0</v>
      </c>
      <c r="D10" s="59">
        <f>D5+D6+D7-D8+D9</f>
        <v>0</v>
      </c>
      <c r="E10" s="59">
        <f>E5+E6+E7-E8+E9</f>
        <v>0</v>
      </c>
      <c r="F10" s="59">
        <f>F5+F6+F7-F8+F9</f>
        <v>0</v>
      </c>
      <c r="G10" s="59">
        <f>G5+G6+G7-G8+G9</f>
        <v>0</v>
      </c>
      <c r="H10" s="86">
        <f t="shared" si="0"/>
        <v>0</v>
      </c>
      <c r="J10" s="18">
        <f>H10-H29</f>
        <v>0</v>
      </c>
    </row>
    <row r="11" spans="1:15" ht="18" customHeight="1" x14ac:dyDescent="0.3">
      <c r="A11" s="5">
        <v>2</v>
      </c>
      <c r="B11" s="8" t="s">
        <v>27</v>
      </c>
      <c r="C11" s="59">
        <f>SUM(C12)</f>
        <v>0</v>
      </c>
      <c r="D11" s="59">
        <f>SUM(D12)</f>
        <v>0</v>
      </c>
      <c r="E11" s="59">
        <f>SUM(E12)</f>
        <v>0</v>
      </c>
      <c r="F11" s="59">
        <f>SUM(F12)</f>
        <v>0</v>
      </c>
      <c r="G11" s="59">
        <f>SUM(G12)</f>
        <v>0</v>
      </c>
      <c r="H11" s="59">
        <f t="shared" si="0"/>
        <v>0</v>
      </c>
    </row>
    <row r="12" spans="1:15" ht="15" customHeight="1" x14ac:dyDescent="0.3">
      <c r="A12" s="6"/>
      <c r="B12" s="9" t="s">
        <v>28</v>
      </c>
      <c r="C12" s="87"/>
      <c r="D12" s="87"/>
      <c r="E12" s="87"/>
      <c r="F12" s="87"/>
      <c r="G12" s="87"/>
      <c r="H12" s="87">
        <f t="shared" si="0"/>
        <v>0</v>
      </c>
      <c r="J12" s="4" t="e">
        <f>C12/C10</f>
        <v>#DIV/0!</v>
      </c>
      <c r="K12" s="4" t="e">
        <f>D12/D10</f>
        <v>#DIV/0!</v>
      </c>
      <c r="L12" s="4" t="e">
        <f>E12/E10</f>
        <v>#DIV/0!</v>
      </c>
      <c r="M12" s="4" t="e">
        <f>F12/F10</f>
        <v>#DIV/0!</v>
      </c>
      <c r="N12" s="4" t="e">
        <f>AVERAGE(J12:M12)</f>
        <v>#DIV/0!</v>
      </c>
    </row>
    <row r="13" spans="1:15" ht="16.5" customHeight="1" x14ac:dyDescent="0.3">
      <c r="A13" s="5">
        <v>3</v>
      </c>
      <c r="B13" s="8" t="s">
        <v>29</v>
      </c>
      <c r="C13" s="59">
        <f>SUM(C14:C15)</f>
        <v>0</v>
      </c>
      <c r="D13" s="59">
        <f t="shared" ref="D13:G13" si="1">SUM(D14:D15)</f>
        <v>0</v>
      </c>
      <c r="E13" s="59">
        <f t="shared" si="1"/>
        <v>0</v>
      </c>
      <c r="F13" s="59">
        <f t="shared" si="1"/>
        <v>0</v>
      </c>
      <c r="G13" s="59">
        <f t="shared" si="1"/>
        <v>0</v>
      </c>
      <c r="H13" s="59">
        <f t="shared" si="0"/>
        <v>0</v>
      </c>
    </row>
    <row r="14" spans="1:15" ht="15" customHeight="1" x14ac:dyDescent="0.3">
      <c r="A14" s="6"/>
      <c r="B14" s="6" t="s">
        <v>30</v>
      </c>
      <c r="C14" s="31"/>
      <c r="D14" s="31"/>
      <c r="E14" s="31"/>
      <c r="F14" s="31"/>
      <c r="G14" s="31"/>
      <c r="H14" s="31">
        <f t="shared" si="0"/>
        <v>0</v>
      </c>
      <c r="J14" s="4"/>
      <c r="K14" s="4"/>
      <c r="L14" s="4"/>
      <c r="M14" s="4"/>
      <c r="N14" s="4"/>
    </row>
    <row r="15" spans="1:15" ht="15" customHeight="1" x14ac:dyDescent="0.3">
      <c r="A15" s="5"/>
      <c r="B15" s="6" t="s">
        <v>31</v>
      </c>
      <c r="C15" s="31">
        <v>0</v>
      </c>
      <c r="D15" s="31">
        <v>0</v>
      </c>
      <c r="E15" s="31">
        <v>0</v>
      </c>
      <c r="F15" s="31">
        <v>0</v>
      </c>
      <c r="G15" s="31">
        <v>0</v>
      </c>
      <c r="H15" s="31">
        <f t="shared" si="0"/>
        <v>0</v>
      </c>
      <c r="J15" s="4">
        <f>C10+C8-C29</f>
        <v>0</v>
      </c>
      <c r="K15" s="2">
        <f>D10+D8-D29</f>
        <v>0</v>
      </c>
      <c r="L15" s="2">
        <f>E10+E8-E29</f>
        <v>0</v>
      </c>
      <c r="M15" s="4">
        <f>F10+F8-F29</f>
        <v>0</v>
      </c>
      <c r="N15" s="4">
        <f>G10+G8-G29</f>
        <v>0</v>
      </c>
    </row>
    <row r="16" spans="1:15" ht="15.75" customHeight="1" x14ac:dyDescent="0.3">
      <c r="A16" s="5">
        <v>4</v>
      </c>
      <c r="B16" s="8" t="s">
        <v>32</v>
      </c>
      <c r="C16" s="59">
        <f>SUM(C17:C19)</f>
        <v>0</v>
      </c>
      <c r="D16" s="59">
        <f>SUM(D17:D19)</f>
        <v>0</v>
      </c>
      <c r="E16" s="59">
        <f>E17+E18+E19</f>
        <v>0</v>
      </c>
      <c r="F16" s="59">
        <f>F17+F18+F19</f>
        <v>0</v>
      </c>
      <c r="G16" s="59">
        <f>G17+G18+G19</f>
        <v>0</v>
      </c>
      <c r="H16" s="87">
        <f t="shared" si="0"/>
        <v>0</v>
      </c>
      <c r="J16" s="1">
        <f>C12*100/118</f>
        <v>0</v>
      </c>
      <c r="K16" s="1">
        <f>D12*100/118</f>
        <v>0</v>
      </c>
      <c r="L16" s="1">
        <f>E12*100/118</f>
        <v>0</v>
      </c>
      <c r="M16" s="1">
        <f>F12*100/118</f>
        <v>0</v>
      </c>
      <c r="N16" s="1">
        <f>G12*100/118</f>
        <v>0</v>
      </c>
    </row>
    <row r="17" spans="1:14" ht="13.5" customHeight="1" x14ac:dyDescent="0.3">
      <c r="A17" s="6"/>
      <c r="B17" s="6" t="s">
        <v>33</v>
      </c>
      <c r="C17" s="28"/>
      <c r="D17" s="28"/>
      <c r="E17" s="28"/>
      <c r="F17" s="28"/>
      <c r="G17" s="28"/>
      <c r="H17" s="31">
        <f t="shared" si="0"/>
        <v>0</v>
      </c>
      <c r="J17" s="1">
        <f>J16*2%</f>
        <v>0</v>
      </c>
      <c r="K17" s="1">
        <f>K16*2%</f>
        <v>0</v>
      </c>
      <c r="L17" s="1">
        <f>L16*2%</f>
        <v>0</v>
      </c>
      <c r="M17" s="1">
        <f>M16*2%</f>
        <v>0</v>
      </c>
      <c r="N17" s="1">
        <f>N16*2%</f>
        <v>0</v>
      </c>
    </row>
    <row r="18" spans="1:14" ht="15" customHeight="1" x14ac:dyDescent="0.3">
      <c r="A18" s="6"/>
      <c r="B18" s="6" t="s">
        <v>34</v>
      </c>
      <c r="C18" s="31"/>
      <c r="D18" s="31"/>
      <c r="E18" s="31"/>
      <c r="F18" s="31"/>
      <c r="G18" s="31"/>
      <c r="H18" s="31">
        <f t="shared" si="0"/>
        <v>0</v>
      </c>
    </row>
    <row r="19" spans="1:14" ht="13.5" customHeight="1" x14ac:dyDescent="0.3">
      <c r="A19" s="6"/>
      <c r="B19" s="6" t="s">
        <v>35</v>
      </c>
      <c r="C19" s="31"/>
      <c r="D19" s="28"/>
      <c r="E19" s="31"/>
      <c r="F19" s="31"/>
      <c r="G19" s="31"/>
      <c r="H19" s="31">
        <f t="shared" si="0"/>
        <v>0</v>
      </c>
    </row>
    <row r="20" spans="1:14" ht="15.75" customHeight="1" x14ac:dyDescent="0.3">
      <c r="A20" s="5">
        <v>5</v>
      </c>
      <c r="B20" s="8" t="s">
        <v>36</v>
      </c>
      <c r="C20" s="59">
        <f>SUM(C21:C24)</f>
        <v>0</v>
      </c>
      <c r="D20" s="59">
        <f t="shared" ref="D20:G20" si="2">SUM(D21:D24)</f>
        <v>0</v>
      </c>
      <c r="E20" s="59">
        <f t="shared" si="2"/>
        <v>0</v>
      </c>
      <c r="F20" s="59">
        <f t="shared" si="2"/>
        <v>0</v>
      </c>
      <c r="G20" s="59">
        <f t="shared" si="2"/>
        <v>0</v>
      </c>
      <c r="H20" s="59">
        <f t="shared" si="0"/>
        <v>0</v>
      </c>
    </row>
    <row r="21" spans="1:14" ht="15" customHeight="1" x14ac:dyDescent="0.3">
      <c r="A21" s="6"/>
      <c r="B21" s="6" t="s">
        <v>37</v>
      </c>
      <c r="C21" s="31"/>
      <c r="D21" s="31"/>
      <c r="E21" s="31"/>
      <c r="F21" s="31"/>
      <c r="G21" s="31"/>
      <c r="H21" s="31">
        <f t="shared" si="0"/>
        <v>0</v>
      </c>
      <c r="J21" s="4"/>
      <c r="L21" s="2"/>
    </row>
    <row r="22" spans="1:14" ht="13.5" customHeight="1" x14ac:dyDescent="0.3">
      <c r="A22" s="6"/>
      <c r="B22" s="6" t="s">
        <v>38</v>
      </c>
      <c r="C22" s="31"/>
      <c r="D22" s="85"/>
      <c r="E22" s="85"/>
      <c r="F22" s="31"/>
      <c r="G22" s="31"/>
      <c r="H22" s="31">
        <f t="shared" si="0"/>
        <v>0</v>
      </c>
      <c r="J22" s="4"/>
      <c r="L22" s="2"/>
    </row>
    <row r="23" spans="1:14" s="101" customFormat="1" ht="13.5" customHeight="1" x14ac:dyDescent="0.3">
      <c r="A23" s="6"/>
      <c r="B23" s="6" t="s">
        <v>71</v>
      </c>
      <c r="C23" s="31"/>
      <c r="D23" s="85"/>
      <c r="E23" s="85"/>
      <c r="F23" s="31"/>
      <c r="G23" s="31"/>
      <c r="H23" s="31">
        <f>SUM(C23:G23)</f>
        <v>0</v>
      </c>
      <c r="J23" s="102"/>
      <c r="L23" s="103"/>
    </row>
    <row r="24" spans="1:14" ht="15" customHeight="1" x14ac:dyDescent="0.3">
      <c r="A24" s="6"/>
      <c r="B24" s="6" t="s">
        <v>39</v>
      </c>
      <c r="C24" s="31"/>
      <c r="D24" s="31"/>
      <c r="E24" s="85"/>
      <c r="F24" s="31"/>
      <c r="G24" s="31"/>
      <c r="H24" s="31">
        <f t="shared" si="0"/>
        <v>0</v>
      </c>
      <c r="J24" s="4"/>
      <c r="K24" s="4"/>
      <c r="L24" s="2"/>
    </row>
    <row r="25" spans="1:14" ht="15.75" customHeight="1" x14ac:dyDescent="0.3">
      <c r="A25" s="6"/>
      <c r="B25" s="8" t="s">
        <v>40</v>
      </c>
      <c r="C25" s="59">
        <f>C5+C6+C7-C8+C9-C12-C13-C16-C20-C29</f>
        <v>0</v>
      </c>
      <c r="D25" s="59">
        <f>D5+D6+D7-D8+D9-D12-D13-D16-D20-D29</f>
        <v>0</v>
      </c>
      <c r="E25" s="59">
        <f>E5+E6+E7-E8+E9-E12-E13-E16-E20-E29</f>
        <v>0</v>
      </c>
      <c r="F25" s="59">
        <f>F5+F6+F7-F8+F9-F12-F13-F16-F20-F29</f>
        <v>0</v>
      </c>
      <c r="G25" s="59">
        <f>G5+G6+G7-G8+G9-G12-G13-G16-G20-G29</f>
        <v>0</v>
      </c>
      <c r="H25" s="59">
        <f t="shared" si="0"/>
        <v>0</v>
      </c>
      <c r="J25" s="18"/>
      <c r="L25" s="2"/>
      <c r="N25" s="1">
        <v>259885</v>
      </c>
    </row>
    <row r="26" spans="1:14" ht="15.75" customHeight="1" x14ac:dyDescent="0.3">
      <c r="A26" s="5">
        <v>6</v>
      </c>
      <c r="B26" s="8" t="s">
        <v>41</v>
      </c>
      <c r="C26" s="59">
        <f>SUM(C27:C29)</f>
        <v>0</v>
      </c>
      <c r="D26" s="59">
        <f>SUM(D27:D29)</f>
        <v>0</v>
      </c>
      <c r="E26" s="59">
        <f>SUM(E27:E29)</f>
        <v>0</v>
      </c>
      <c r="F26" s="59">
        <f>SUM(F27:F29)</f>
        <v>0</v>
      </c>
      <c r="G26" s="59">
        <f>SUM(G27:G29)</f>
        <v>0</v>
      </c>
      <c r="H26" s="59">
        <f t="shared" si="0"/>
        <v>0</v>
      </c>
      <c r="L26" s="2"/>
      <c r="M26" s="4"/>
      <c r="N26" s="1">
        <v>9643</v>
      </c>
    </row>
    <row r="27" spans="1:14" ht="13.5" customHeight="1" x14ac:dyDescent="0.3">
      <c r="A27" s="6"/>
      <c r="B27" s="6" t="s">
        <v>42</v>
      </c>
      <c r="C27" s="31"/>
      <c r="D27" s="31"/>
      <c r="E27" s="31"/>
      <c r="F27" s="31"/>
      <c r="G27" s="31"/>
      <c r="H27" s="31">
        <f t="shared" si="0"/>
        <v>0</v>
      </c>
      <c r="L27" s="10"/>
    </row>
    <row r="28" spans="1:14" ht="15.75" customHeight="1" x14ac:dyDescent="0.3">
      <c r="A28" s="6"/>
      <c r="B28" s="6" t="s">
        <v>43</v>
      </c>
      <c r="C28" s="31"/>
      <c r="D28" s="31"/>
      <c r="E28" s="31"/>
      <c r="F28" s="31"/>
      <c r="G28" s="31"/>
      <c r="H28" s="31">
        <f t="shared" si="0"/>
        <v>0</v>
      </c>
      <c r="K28" s="4"/>
      <c r="L28" s="4"/>
      <c r="N28" s="1">
        <v>-23947.45</v>
      </c>
    </row>
    <row r="29" spans="1:14" ht="14.25" customHeight="1" x14ac:dyDescent="0.3">
      <c r="A29" s="6"/>
      <c r="B29" s="6" t="s">
        <v>44</v>
      </c>
      <c r="C29" s="31"/>
      <c r="D29" s="31"/>
      <c r="E29" s="31"/>
      <c r="F29" s="31"/>
      <c r="G29" s="31"/>
      <c r="H29" s="31">
        <f t="shared" si="0"/>
        <v>0</v>
      </c>
      <c r="N29" s="1">
        <v>12289.68000000002</v>
      </c>
    </row>
    <row r="30" spans="1:14" ht="15.75" customHeight="1" x14ac:dyDescent="0.3">
      <c r="A30" s="5">
        <v>7</v>
      </c>
      <c r="B30" s="8" t="s">
        <v>45</v>
      </c>
      <c r="C30" s="59">
        <f>C25-C27</f>
        <v>0</v>
      </c>
      <c r="D30" s="59">
        <f>D25-D27</f>
        <v>0</v>
      </c>
      <c r="E30" s="59">
        <f>E25-E27</f>
        <v>0</v>
      </c>
      <c r="F30" s="59">
        <f>F25-F27</f>
        <v>0</v>
      </c>
      <c r="G30" s="59">
        <f>G25-G27</f>
        <v>0</v>
      </c>
      <c r="H30" s="59">
        <f t="shared" si="0"/>
        <v>0</v>
      </c>
    </row>
    <row r="31" spans="1:14" ht="14.25" customHeight="1" x14ac:dyDescent="0.3">
      <c r="A31" s="6"/>
      <c r="B31" s="6" t="s">
        <v>46</v>
      </c>
      <c r="C31" s="31">
        <v>0</v>
      </c>
      <c r="D31" s="31">
        <v>0</v>
      </c>
      <c r="E31" s="31">
        <v>0</v>
      </c>
      <c r="F31" s="31">
        <v>0</v>
      </c>
      <c r="G31" s="31">
        <v>0</v>
      </c>
      <c r="H31" s="31">
        <v>0</v>
      </c>
      <c r="J31" s="4"/>
    </row>
    <row r="32" spans="1:14" s="101" customFormat="1" ht="14.25" customHeight="1" x14ac:dyDescent="0.3">
      <c r="A32" s="6"/>
      <c r="B32" s="6" t="s">
        <v>77</v>
      </c>
      <c r="C32" s="31">
        <v>0</v>
      </c>
      <c r="D32" s="31">
        <v>0</v>
      </c>
      <c r="E32" s="31">
        <v>0</v>
      </c>
      <c r="F32" s="31">
        <v>0</v>
      </c>
      <c r="G32" s="31">
        <v>0</v>
      </c>
      <c r="H32" s="31">
        <f>SUM(C32:G32)</f>
        <v>0</v>
      </c>
      <c r="J32" s="102"/>
    </row>
    <row r="33" spans="1:11" ht="15.75" customHeight="1" x14ac:dyDescent="0.3">
      <c r="A33" s="6"/>
      <c r="B33" s="6" t="s">
        <v>47</v>
      </c>
      <c r="C33" s="31">
        <v>0</v>
      </c>
      <c r="D33" s="31">
        <v>0</v>
      </c>
      <c r="E33" s="31">
        <v>0</v>
      </c>
      <c r="F33" s="31">
        <v>0</v>
      </c>
      <c r="G33" s="31">
        <v>0</v>
      </c>
      <c r="H33" s="31">
        <f>SUM(C33:G33)</f>
        <v>0</v>
      </c>
      <c r="J33" s="4"/>
      <c r="K33" s="4"/>
    </row>
    <row r="34" spans="1:11" ht="19.5" customHeight="1" x14ac:dyDescent="0.3">
      <c r="A34" s="6"/>
      <c r="B34" s="8" t="s">
        <v>72</v>
      </c>
      <c r="C34" s="88">
        <v>0</v>
      </c>
      <c r="D34" s="88">
        <v>0</v>
      </c>
      <c r="E34" s="88">
        <v>0</v>
      </c>
      <c r="F34" s="88">
        <v>0</v>
      </c>
      <c r="G34" s="88">
        <v>0</v>
      </c>
      <c r="H34" s="59">
        <f>SUM(C34:G34)</f>
        <v>0</v>
      </c>
    </row>
    <row r="35" spans="1:11" ht="18" customHeight="1" thickBot="1" x14ac:dyDescent="0.35">
      <c r="A35" s="105">
        <v>8</v>
      </c>
      <c r="B35" s="11" t="s">
        <v>48</v>
      </c>
      <c r="C35" s="89">
        <f>C30-C31-C33-C34-C32</f>
        <v>0</v>
      </c>
      <c r="D35" s="89">
        <f t="shared" ref="D35:G35" si="3">D30-D31-D33-D34-D32</f>
        <v>0</v>
      </c>
      <c r="E35" s="89">
        <f t="shared" si="3"/>
        <v>0</v>
      </c>
      <c r="F35" s="89">
        <f t="shared" si="3"/>
        <v>0</v>
      </c>
      <c r="G35" s="89">
        <f t="shared" si="3"/>
        <v>0</v>
      </c>
      <c r="H35" s="89">
        <f>SUM(C35:G35)</f>
        <v>0</v>
      </c>
    </row>
    <row r="36" spans="1:11" ht="15.75" customHeight="1" x14ac:dyDescent="0.3">
      <c r="C36" s="90"/>
      <c r="D36" s="66"/>
      <c r="E36" s="91"/>
      <c r="F36" s="91"/>
      <c r="G36" s="91"/>
    </row>
    <row r="37" spans="1:11" ht="15.75" customHeight="1" x14ac:dyDescent="0.3">
      <c r="A37" s="92"/>
      <c r="B37" s="92" t="s">
        <v>49</v>
      </c>
      <c r="C37" s="93"/>
      <c r="D37" s="94"/>
      <c r="E37" s="93"/>
      <c r="F37" s="93"/>
      <c r="G37" s="93"/>
      <c r="K37" s="4"/>
    </row>
    <row r="38" spans="1:11" ht="15.75" customHeight="1" x14ac:dyDescent="0.3">
      <c r="B38" s="112"/>
      <c r="C38" s="107"/>
      <c r="D38" s="107"/>
      <c r="E38" s="107"/>
      <c r="F38" s="107"/>
      <c r="G38" s="29"/>
    </row>
    <row r="39" spans="1:11" ht="15.75" customHeight="1" x14ac:dyDescent="0.3"/>
    <row r="40" spans="1:11" ht="15.75" customHeight="1" x14ac:dyDescent="0.3"/>
    <row r="41" spans="1:11" ht="15.75" customHeight="1" x14ac:dyDescent="0.3"/>
    <row r="42" spans="1:11" ht="15.75" customHeight="1" x14ac:dyDescent="0.3"/>
    <row r="43" spans="1:11" ht="15.75" customHeight="1" x14ac:dyDescent="0.3"/>
    <row r="44" spans="1:11" ht="15.75" customHeight="1" x14ac:dyDescent="0.3"/>
    <row r="45" spans="1:11" ht="15.75" customHeight="1" x14ac:dyDescent="0.3"/>
    <row r="46" spans="1:11" ht="15.75" customHeight="1" x14ac:dyDescent="0.3"/>
    <row r="47" spans="1:11" ht="15.75" customHeight="1" x14ac:dyDescent="0.3"/>
    <row r="48" spans="1:11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</sheetData>
  <mergeCells count="4">
    <mergeCell ref="A3:H3"/>
    <mergeCell ref="A2:H2"/>
    <mergeCell ref="B38:F38"/>
    <mergeCell ref="A1:H1"/>
  </mergeCells>
  <pageMargins left="0.70866141732283472" right="0.70866141732283472" top="0.74803149606299213" bottom="0.74803149606299213" header="0" footer="0"/>
  <pageSetup paperSize="9" scale="9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outlinePr summaryBelow="0" summaryRight="0"/>
    <pageSetUpPr fitToPage="1"/>
  </sheetPr>
  <dimension ref="A1:Z1000"/>
  <sheetViews>
    <sheetView showGridLines="0" zoomScaleNormal="100" workbookViewId="0">
      <selection activeCell="B2" sqref="B2:H2"/>
    </sheetView>
  </sheetViews>
  <sheetFormatPr defaultColWidth="12.6640625" defaultRowHeight="15" customHeight="1" x14ac:dyDescent="0.3"/>
  <cols>
    <col min="1" max="1" width="12.44140625" style="20" customWidth="1"/>
    <col min="2" max="2" width="46.44140625" style="97" customWidth="1"/>
    <col min="3" max="8" width="14.77734375" style="97" customWidth="1"/>
    <col min="9" max="26" width="12.44140625" style="20" customWidth="1"/>
  </cols>
  <sheetData>
    <row r="1" spans="2:14" ht="18" customHeight="1" x14ac:dyDescent="0.35">
      <c r="B1" s="106">
        <f>Summary!B1</f>
        <v>0</v>
      </c>
      <c r="C1" s="107"/>
      <c r="D1" s="107"/>
      <c r="E1" s="107"/>
      <c r="F1" s="107"/>
      <c r="G1" s="107"/>
      <c r="H1" s="107"/>
      <c r="I1" s="12"/>
      <c r="J1" s="12"/>
      <c r="K1" s="12"/>
      <c r="L1" s="12"/>
      <c r="M1" s="12"/>
      <c r="N1" s="12"/>
    </row>
    <row r="2" spans="2:14" ht="18" customHeight="1" x14ac:dyDescent="0.3">
      <c r="B2" s="109" t="s">
        <v>75</v>
      </c>
      <c r="C2" s="107"/>
      <c r="D2" s="107"/>
      <c r="E2" s="107"/>
      <c r="F2" s="107"/>
      <c r="G2" s="107"/>
      <c r="H2" s="107"/>
      <c r="I2" s="12"/>
      <c r="J2" s="12"/>
      <c r="K2" s="12"/>
      <c r="L2" s="12"/>
      <c r="M2" s="12"/>
      <c r="N2" s="12"/>
    </row>
    <row r="3" spans="2:14" ht="15.75" customHeight="1" thickBot="1" x14ac:dyDescent="0.4">
      <c r="B3" s="96"/>
      <c r="D3" s="66"/>
      <c r="E3" s="66"/>
      <c r="F3" s="66"/>
      <c r="G3" s="66"/>
      <c r="H3" s="66"/>
      <c r="I3" s="12"/>
      <c r="J3" s="12"/>
      <c r="K3" s="12"/>
      <c r="L3" s="12"/>
      <c r="M3" s="12"/>
      <c r="N3" s="12"/>
    </row>
    <row r="4" spans="2:14" ht="16.5" customHeight="1" thickBot="1" x14ac:dyDescent="0.3">
      <c r="B4" s="22" t="s">
        <v>0</v>
      </c>
      <c r="C4" s="24" t="str">
        <f>Cashflow!C4</f>
        <v>1st to 5th</v>
      </c>
      <c r="D4" s="22" t="str">
        <f>Cashflow!D4</f>
        <v>6th to 12th</v>
      </c>
      <c r="E4" s="24" t="str">
        <f>Cashflow!E4</f>
        <v>13th to 19th</v>
      </c>
      <c r="F4" s="22" t="str">
        <f>Cashflow!F4</f>
        <v>20th to 26th</v>
      </c>
      <c r="G4" s="22" t="str">
        <f>Summary!G4</f>
        <v>27th to 31st</v>
      </c>
      <c r="H4" s="24" t="s">
        <v>6</v>
      </c>
      <c r="I4" s="12"/>
      <c r="J4" s="12"/>
      <c r="K4" s="12"/>
      <c r="L4" s="12"/>
      <c r="M4" s="12"/>
      <c r="N4" s="12"/>
    </row>
    <row r="5" spans="2:14" ht="15.75" customHeight="1" x14ac:dyDescent="0.3">
      <c r="B5" s="67" t="s">
        <v>50</v>
      </c>
      <c r="C5" s="6"/>
      <c r="D5" s="6"/>
      <c r="E5" s="6"/>
      <c r="F5" s="6"/>
      <c r="G5" s="68"/>
      <c r="H5" s="68"/>
    </row>
    <row r="6" spans="2:14" ht="21.75" customHeight="1" x14ac:dyDescent="0.3">
      <c r="B6" s="69" t="s">
        <v>51</v>
      </c>
      <c r="C6" s="28">
        <f>Cashflow!C5+Cashflow!C6-Cashflow!C8+Cashflow!C9-Cashflow!C29</f>
        <v>0</v>
      </c>
      <c r="D6" s="28">
        <f>Cashflow!D5+Cashflow!D6-Cashflow!D8+Cashflow!D9-Cashflow!D29</f>
        <v>0</v>
      </c>
      <c r="E6" s="28">
        <f>Cashflow!E5+Cashflow!E6-Cashflow!E8+Cashflow!E9-Cashflow!E29</f>
        <v>0</v>
      </c>
      <c r="F6" s="28">
        <f>Cashflow!F5+Cashflow!F6-Cashflow!F8+Cashflow!F9-Cashflow!F29</f>
        <v>0</v>
      </c>
      <c r="G6" s="28">
        <f>Cashflow!G5+Cashflow!G6-Cashflow!G8+Cashflow!G9-Cashflow!G29</f>
        <v>0</v>
      </c>
      <c r="H6" s="70">
        <f>SUM(C6:G6)</f>
        <v>0</v>
      </c>
    </row>
    <row r="7" spans="2:14" ht="16.5" customHeight="1" x14ac:dyDescent="0.3">
      <c r="B7" s="69" t="s">
        <v>52</v>
      </c>
      <c r="C7" s="31">
        <f>Cashflow!C7</f>
        <v>0</v>
      </c>
      <c r="D7" s="31">
        <f>Cashflow!D7</f>
        <v>0</v>
      </c>
      <c r="E7" s="31">
        <f>Cashflow!E7</f>
        <v>0</v>
      </c>
      <c r="F7" s="31">
        <f>Cashflow!F7</f>
        <v>0</v>
      </c>
      <c r="G7" s="31">
        <f>Cashflow!G7</f>
        <v>0</v>
      </c>
      <c r="H7" s="70">
        <f>SUM(C7:G7)</f>
        <v>0</v>
      </c>
    </row>
    <row r="8" spans="2:14" ht="16.5" customHeight="1" x14ac:dyDescent="0.3">
      <c r="B8" s="71" t="s">
        <v>53</v>
      </c>
      <c r="C8" s="72">
        <f t="shared" ref="C8:H8" si="0">C6+C7</f>
        <v>0</v>
      </c>
      <c r="D8" s="72">
        <f t="shared" si="0"/>
        <v>0</v>
      </c>
      <c r="E8" s="72">
        <f t="shared" si="0"/>
        <v>0</v>
      </c>
      <c r="F8" s="72">
        <f t="shared" si="0"/>
        <v>0</v>
      </c>
      <c r="G8" s="72">
        <f t="shared" si="0"/>
        <v>0</v>
      </c>
      <c r="H8" s="73">
        <f t="shared" si="0"/>
        <v>0</v>
      </c>
    </row>
    <row r="9" spans="2:14" ht="15.75" customHeight="1" x14ac:dyDescent="0.3">
      <c r="B9" s="69"/>
      <c r="C9" s="6"/>
      <c r="D9" s="6"/>
      <c r="E9" s="6"/>
      <c r="F9" s="6"/>
      <c r="G9" s="68"/>
      <c r="H9" s="68"/>
    </row>
    <row r="10" spans="2:14" ht="15.75" customHeight="1" x14ac:dyDescent="0.3">
      <c r="B10" s="74" t="s">
        <v>54</v>
      </c>
      <c r="C10" s="75">
        <f>Cashflow!C11</f>
        <v>0</v>
      </c>
      <c r="D10" s="75">
        <f>Cashflow!D11</f>
        <v>0</v>
      </c>
      <c r="E10" s="75">
        <f>Cashflow!E11</f>
        <v>0</v>
      </c>
      <c r="F10" s="75">
        <f>Cashflow!F11</f>
        <v>0</v>
      </c>
      <c r="G10" s="75">
        <f>Cashflow!G11</f>
        <v>0</v>
      </c>
      <c r="H10" s="76">
        <f>SUM(C10:G10)</f>
        <v>0</v>
      </c>
      <c r="J10" s="4"/>
      <c r="K10" s="4"/>
      <c r="L10" s="4"/>
      <c r="M10" s="4"/>
      <c r="N10" s="4"/>
    </row>
    <row r="11" spans="2:14" ht="15.75" customHeight="1" x14ac:dyDescent="0.3">
      <c r="B11" s="69"/>
      <c r="C11" s="6"/>
      <c r="D11" s="6"/>
      <c r="E11" s="6"/>
      <c r="F11" s="6"/>
      <c r="G11" s="68"/>
      <c r="H11" s="77"/>
      <c r="J11" s="13"/>
    </row>
    <row r="12" spans="2:14" ht="15.75" customHeight="1" x14ac:dyDescent="0.3">
      <c r="B12" s="74" t="s">
        <v>55</v>
      </c>
      <c r="C12" s="75">
        <f>Cashflow!C16</f>
        <v>0</v>
      </c>
      <c r="D12" s="75">
        <f>Cashflow!D16</f>
        <v>0</v>
      </c>
      <c r="E12" s="75">
        <f>Cashflow!E16</f>
        <v>0</v>
      </c>
      <c r="F12" s="75">
        <f>Cashflow!F16</f>
        <v>0</v>
      </c>
      <c r="G12" s="75">
        <f>Cashflow!G16</f>
        <v>0</v>
      </c>
      <c r="H12" s="76">
        <f>SUM(C12:G12)</f>
        <v>0</v>
      </c>
    </row>
    <row r="13" spans="2:14" ht="15.75" customHeight="1" x14ac:dyDescent="0.3">
      <c r="B13" s="69"/>
      <c r="C13" s="6"/>
      <c r="D13" s="6"/>
      <c r="E13" s="6"/>
      <c r="F13" s="6"/>
      <c r="G13" s="68"/>
      <c r="H13" s="77"/>
    </row>
    <row r="14" spans="2:14" ht="15.75" customHeight="1" x14ac:dyDescent="0.3">
      <c r="B14" s="74" t="s">
        <v>56</v>
      </c>
      <c r="C14" s="75">
        <f>Cashflow!C13</f>
        <v>0</v>
      </c>
      <c r="D14" s="75">
        <f>Cashflow!D13</f>
        <v>0</v>
      </c>
      <c r="E14" s="75">
        <f>Cashflow!E13</f>
        <v>0</v>
      </c>
      <c r="F14" s="75">
        <f>Cashflow!F13</f>
        <v>0</v>
      </c>
      <c r="G14" s="75">
        <f>Cashflow!G13</f>
        <v>0</v>
      </c>
      <c r="H14" s="76">
        <f>SUM(C14:G14)</f>
        <v>0</v>
      </c>
      <c r="J14" s="4"/>
    </row>
    <row r="15" spans="2:14" ht="15.75" customHeight="1" x14ac:dyDescent="0.3">
      <c r="B15" s="69"/>
      <c r="C15" s="6"/>
      <c r="D15" s="6"/>
      <c r="E15" s="6"/>
      <c r="F15" s="6"/>
      <c r="G15" s="68"/>
      <c r="H15" s="77"/>
    </row>
    <row r="16" spans="2:14" ht="15.75" customHeight="1" x14ac:dyDescent="0.3">
      <c r="B16" s="74" t="s">
        <v>57</v>
      </c>
      <c r="C16" s="75">
        <f>Cashflow!C20</f>
        <v>0</v>
      </c>
      <c r="D16" s="75">
        <f>Cashflow!D20</f>
        <v>0</v>
      </c>
      <c r="E16" s="75">
        <f>Cashflow!E20</f>
        <v>0</v>
      </c>
      <c r="F16" s="75">
        <f>Cashflow!F20</f>
        <v>0</v>
      </c>
      <c r="G16" s="75">
        <f>Cashflow!G20</f>
        <v>0</v>
      </c>
      <c r="H16" s="76">
        <f>SUM(C16:G16)</f>
        <v>0</v>
      </c>
    </row>
    <row r="17" spans="2:15" ht="15.6" customHeight="1" thickBot="1" x14ac:dyDescent="0.35">
      <c r="B17" s="69"/>
      <c r="C17" s="78"/>
      <c r="D17" s="6"/>
      <c r="E17" s="6"/>
      <c r="F17" s="6"/>
      <c r="G17" s="68"/>
      <c r="H17" s="68"/>
    </row>
    <row r="18" spans="2:15" ht="16.2" customHeight="1" thickBot="1" x14ac:dyDescent="0.35">
      <c r="B18" s="79" t="s">
        <v>58</v>
      </c>
      <c r="C18" s="72">
        <f t="shared" ref="C18:H18" si="1">C8-C10-C12-C14-C16</f>
        <v>0</v>
      </c>
      <c r="D18" s="72">
        <f t="shared" si="1"/>
        <v>0</v>
      </c>
      <c r="E18" s="72">
        <f t="shared" si="1"/>
        <v>0</v>
      </c>
      <c r="F18" s="72">
        <f t="shared" si="1"/>
        <v>0</v>
      </c>
      <c r="G18" s="72">
        <f t="shared" si="1"/>
        <v>0</v>
      </c>
      <c r="H18" s="73">
        <f t="shared" si="1"/>
        <v>0</v>
      </c>
    </row>
    <row r="19" spans="2:15" ht="18" customHeight="1" thickBot="1" x14ac:dyDescent="0.35">
      <c r="B19" s="80" t="s">
        <v>59</v>
      </c>
      <c r="C19" s="81">
        <f>IFERROR(C18/C8,)</f>
        <v>0</v>
      </c>
      <c r="D19" s="81">
        <f>IFERROR(D18/D8,)</f>
        <v>0</v>
      </c>
      <c r="E19" s="81">
        <f>IFERROR(E18/E8,0)</f>
        <v>0</v>
      </c>
      <c r="F19" s="81">
        <f>IFERROR(F18/F8,0)</f>
        <v>0</v>
      </c>
      <c r="G19" s="81">
        <f>IFERROR(G18/G8,0)</f>
        <v>0</v>
      </c>
      <c r="H19" s="82">
        <f>IFERROR(H18/H8,)</f>
        <v>0</v>
      </c>
      <c r="K19" s="4"/>
      <c r="L19" s="4"/>
      <c r="M19" s="4"/>
      <c r="N19" s="4"/>
      <c r="O19" s="4"/>
    </row>
    <row r="20" spans="2:15" ht="15.75" customHeight="1" x14ac:dyDescent="0.3"/>
    <row r="21" spans="2:15" ht="15.75" customHeight="1" x14ac:dyDescent="0.3">
      <c r="J21" s="4"/>
    </row>
    <row r="22" spans="2:15" ht="15.75" customHeight="1" x14ac:dyDescent="0.3">
      <c r="C22" s="53"/>
      <c r="D22" s="53"/>
      <c r="E22" s="53"/>
      <c r="F22" s="53"/>
      <c r="G22" s="53"/>
    </row>
    <row r="23" spans="2:15" ht="15.75" customHeight="1" x14ac:dyDescent="0.3"/>
    <row r="24" spans="2:15" ht="15.75" customHeight="1" x14ac:dyDescent="0.3"/>
    <row r="25" spans="2:15" ht="15.75" customHeight="1" x14ac:dyDescent="0.3"/>
    <row r="26" spans="2:15" ht="15.75" customHeight="1" x14ac:dyDescent="0.3"/>
    <row r="27" spans="2:15" ht="15.75" customHeight="1" x14ac:dyDescent="0.3"/>
    <row r="28" spans="2:15" ht="15.75" customHeight="1" x14ac:dyDescent="0.3"/>
    <row r="29" spans="2:15" ht="15.75" customHeight="1" x14ac:dyDescent="0.3"/>
    <row r="30" spans="2:15" ht="15.75" customHeight="1" x14ac:dyDescent="0.3"/>
    <row r="31" spans="2:15" ht="15.75" customHeight="1" x14ac:dyDescent="0.3"/>
    <row r="32" spans="2:1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B1:H1"/>
    <mergeCell ref="B2:H2"/>
  </mergeCells>
  <pageMargins left="0.70866141732283472" right="0.70866141732283472" top="0.74803149606299213" bottom="0.74803149606299213" header="0" footer="0"/>
  <pageSetup paperSize="9" scale="93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outlinePr summaryBelow="0" summaryRight="0"/>
    <pageSetUpPr fitToPage="1"/>
  </sheetPr>
  <dimension ref="A1:Z1002"/>
  <sheetViews>
    <sheetView showGridLines="0" zoomScaleNormal="100" workbookViewId="0">
      <selection activeCell="C20" sqref="C20"/>
    </sheetView>
  </sheetViews>
  <sheetFormatPr defaultColWidth="12.6640625" defaultRowHeight="15" customHeight="1" x14ac:dyDescent="0.3"/>
  <cols>
    <col min="1" max="1" width="12.44140625" style="20" customWidth="1"/>
    <col min="2" max="2" width="50.5546875" style="97" customWidth="1"/>
    <col min="3" max="8" width="14.77734375" style="97" customWidth="1"/>
    <col min="9" max="26" width="12.44140625" style="20" customWidth="1"/>
  </cols>
  <sheetData>
    <row r="1" spans="2:10" ht="15.75" customHeight="1" x14ac:dyDescent="0.35">
      <c r="B1" s="106">
        <f>Summary!B1</f>
        <v>0</v>
      </c>
      <c r="C1" s="107"/>
      <c r="D1" s="107"/>
      <c r="E1" s="107"/>
      <c r="F1" s="107"/>
      <c r="G1" s="107"/>
      <c r="H1" s="107"/>
    </row>
    <row r="2" spans="2:10" ht="15.75" customHeight="1" x14ac:dyDescent="0.3">
      <c r="B2" s="109" t="s">
        <v>76</v>
      </c>
      <c r="C2" s="107"/>
      <c r="D2" s="107"/>
      <c r="E2" s="107"/>
      <c r="F2" s="107"/>
      <c r="G2" s="107"/>
      <c r="H2" s="107"/>
    </row>
    <row r="3" spans="2:10" ht="15.75" customHeight="1" x14ac:dyDescent="0.35">
      <c r="B3" s="114"/>
      <c r="C3" s="107"/>
      <c r="D3" s="107"/>
      <c r="E3" s="107"/>
      <c r="F3" s="107"/>
      <c r="G3" s="107"/>
      <c r="H3" s="107"/>
    </row>
    <row r="4" spans="2:10" ht="15.75" customHeight="1" x14ac:dyDescent="0.25">
      <c r="B4" s="54" t="s">
        <v>0</v>
      </c>
      <c r="C4" s="55" t="str">
        <f>Summary!C4</f>
        <v>1st to 5th</v>
      </c>
      <c r="D4" s="54" t="str">
        <f>Summary!D4</f>
        <v>6th to 12th</v>
      </c>
      <c r="E4" s="55" t="str">
        <f>Summary!E4</f>
        <v>13th to 19th</v>
      </c>
      <c r="F4" s="54" t="str">
        <f>Summary!F4</f>
        <v>20th to 26th</v>
      </c>
      <c r="G4" s="54" t="str">
        <f>Summary!G4</f>
        <v>27th to 31st</v>
      </c>
      <c r="H4" s="55" t="s">
        <v>6</v>
      </c>
    </row>
    <row r="5" spans="2:10" ht="15" customHeight="1" x14ac:dyDescent="0.3">
      <c r="B5" s="56" t="s">
        <v>60</v>
      </c>
      <c r="C5" s="6"/>
      <c r="D5" s="6"/>
      <c r="E5" s="6"/>
      <c r="F5" s="6"/>
      <c r="G5" s="6"/>
      <c r="H5" s="6"/>
    </row>
    <row r="6" spans="2:10" ht="15" customHeight="1" x14ac:dyDescent="0.3">
      <c r="B6" s="25" t="s">
        <v>61</v>
      </c>
      <c r="C6" s="31">
        <f>Cashflow!C10</f>
        <v>0</v>
      </c>
      <c r="D6" s="31">
        <f>Cashflow!D10</f>
        <v>0</v>
      </c>
      <c r="E6" s="31">
        <f>Cashflow!E10</f>
        <v>0</v>
      </c>
      <c r="F6" s="31">
        <f>Cashflow!F10</f>
        <v>0</v>
      </c>
      <c r="G6" s="31">
        <f>Cashflow!G10</f>
        <v>0</v>
      </c>
      <c r="H6" s="31">
        <f>SUM(C6:G6)</f>
        <v>0</v>
      </c>
      <c r="J6" s="4"/>
    </row>
    <row r="7" spans="2:10" ht="15.75" customHeight="1" x14ac:dyDescent="0.3">
      <c r="B7" s="25" t="s">
        <v>62</v>
      </c>
      <c r="C7" s="57"/>
      <c r="D7" s="57"/>
      <c r="E7" s="57"/>
      <c r="F7" s="57"/>
      <c r="G7" s="57"/>
      <c r="H7" s="31">
        <f>SUM(C7:G7)</f>
        <v>0</v>
      </c>
    </row>
    <row r="8" spans="2:10" ht="15.75" customHeight="1" x14ac:dyDescent="0.3">
      <c r="B8" s="58" t="s">
        <v>48</v>
      </c>
      <c r="C8" s="59">
        <f>C6-C7</f>
        <v>0</v>
      </c>
      <c r="D8" s="59">
        <f>D6-D7</f>
        <v>0</v>
      </c>
      <c r="E8" s="59">
        <f>E6-E7</f>
        <v>0</v>
      </c>
      <c r="F8" s="59">
        <f>F6-F7</f>
        <v>0</v>
      </c>
      <c r="G8" s="59">
        <f>G6-G7</f>
        <v>0</v>
      </c>
      <c r="H8" s="59">
        <f>SUM(C8:G8)</f>
        <v>0</v>
      </c>
    </row>
    <row r="9" spans="2:10" ht="15.75" customHeight="1" x14ac:dyDescent="0.3">
      <c r="B9" s="25"/>
      <c r="C9" s="60">
        <f t="shared" ref="C9:H9" si="0">IFERROR(C8/C6,0)</f>
        <v>0</v>
      </c>
      <c r="D9" s="60">
        <f t="shared" si="0"/>
        <v>0</v>
      </c>
      <c r="E9" s="60">
        <f t="shared" si="0"/>
        <v>0</v>
      </c>
      <c r="F9" s="60">
        <f t="shared" si="0"/>
        <v>0</v>
      </c>
      <c r="G9" s="60">
        <f t="shared" si="0"/>
        <v>0</v>
      </c>
      <c r="H9" s="60">
        <f t="shared" si="0"/>
        <v>0</v>
      </c>
    </row>
    <row r="10" spans="2:10" ht="15.75" customHeight="1" x14ac:dyDescent="0.3">
      <c r="B10" s="25"/>
      <c r="C10" s="61"/>
      <c r="D10" s="61"/>
      <c r="E10" s="61"/>
      <c r="F10" s="61"/>
      <c r="G10" s="61"/>
      <c r="H10" s="61"/>
    </row>
    <row r="11" spans="2:10" ht="15" customHeight="1" x14ac:dyDescent="0.3">
      <c r="B11" s="56" t="s">
        <v>63</v>
      </c>
      <c r="C11" s="6"/>
      <c r="D11" s="6"/>
      <c r="E11" s="6"/>
      <c r="F11" s="6"/>
      <c r="G11" s="6"/>
      <c r="H11" s="6"/>
    </row>
    <row r="12" spans="2:10" ht="15.75" customHeight="1" x14ac:dyDescent="0.3">
      <c r="B12" s="25" t="s">
        <v>64</v>
      </c>
      <c r="C12" s="31">
        <v>0</v>
      </c>
      <c r="D12" s="31">
        <v>0</v>
      </c>
      <c r="E12" s="31">
        <v>0</v>
      </c>
      <c r="F12" s="31">
        <v>0</v>
      </c>
      <c r="G12" s="31">
        <v>0</v>
      </c>
      <c r="H12" s="31">
        <f>SUM(C12:G12)</f>
        <v>0</v>
      </c>
    </row>
    <row r="13" spans="2:10" ht="15.75" customHeight="1" x14ac:dyDescent="0.3">
      <c r="B13" s="25" t="s">
        <v>65</v>
      </c>
      <c r="C13" s="31">
        <v>0</v>
      </c>
      <c r="D13" s="31">
        <v>0</v>
      </c>
      <c r="E13" s="31">
        <v>0</v>
      </c>
      <c r="F13" s="31">
        <v>0</v>
      </c>
      <c r="G13" s="31">
        <v>0</v>
      </c>
      <c r="H13" s="31">
        <f>SUM(C13:G13)</f>
        <v>0</v>
      </c>
    </row>
    <row r="14" spans="2:10" ht="15.75" customHeight="1" x14ac:dyDescent="0.3">
      <c r="B14" s="25"/>
      <c r="C14" s="6"/>
      <c r="D14" s="6"/>
      <c r="E14" s="6"/>
      <c r="F14" s="6"/>
      <c r="G14" s="6"/>
      <c r="H14" s="6"/>
    </row>
    <row r="15" spans="2:10" ht="15.75" customHeight="1" x14ac:dyDescent="0.3">
      <c r="B15" s="25"/>
      <c r="C15" s="6"/>
      <c r="D15" s="6"/>
      <c r="E15" s="6"/>
      <c r="F15" s="6"/>
      <c r="G15" s="6"/>
      <c r="H15" s="6"/>
    </row>
    <row r="16" spans="2:10" ht="17.25" customHeight="1" x14ac:dyDescent="0.3">
      <c r="B16" s="56" t="s">
        <v>66</v>
      </c>
      <c r="C16" s="6"/>
      <c r="D16" s="6"/>
      <c r="E16" s="6"/>
      <c r="F16" s="6"/>
      <c r="G16" s="6"/>
      <c r="H16" s="6"/>
    </row>
    <row r="17" spans="2:8" ht="15.75" customHeight="1" x14ac:dyDescent="0.3">
      <c r="B17" s="25" t="s">
        <v>67</v>
      </c>
      <c r="C17" s="31">
        <f>Cashflow!C30</f>
        <v>0</v>
      </c>
      <c r="D17" s="31">
        <f>Cashflow!D30</f>
        <v>0</v>
      </c>
      <c r="E17" s="31">
        <f>Cashflow!E30</f>
        <v>0</v>
      </c>
      <c r="F17" s="31">
        <f>Cashflow!F30</f>
        <v>0</v>
      </c>
      <c r="G17" s="31">
        <f>Cashflow!G30</f>
        <v>0</v>
      </c>
      <c r="H17" s="31">
        <f>SUM(C17:G17)</f>
        <v>0</v>
      </c>
    </row>
    <row r="18" spans="2:8" ht="15.75" customHeight="1" x14ac:dyDescent="0.3">
      <c r="B18" s="25" t="s">
        <v>68</v>
      </c>
      <c r="C18" s="31">
        <v>0</v>
      </c>
      <c r="D18" s="31">
        <v>0</v>
      </c>
      <c r="E18" s="31">
        <v>0</v>
      </c>
      <c r="F18" s="31">
        <v>0</v>
      </c>
      <c r="G18" s="31">
        <v>0</v>
      </c>
      <c r="H18" s="31">
        <f>SUM(C18:G18)</f>
        <v>0</v>
      </c>
    </row>
    <row r="19" spans="2:8" s="101" customFormat="1" ht="15.75" customHeight="1" x14ac:dyDescent="0.3">
      <c r="B19" s="25" t="s">
        <v>78</v>
      </c>
      <c r="C19" s="31">
        <f>Cashflow!C32</f>
        <v>0</v>
      </c>
      <c r="D19" s="31">
        <f>Cashflow!D32</f>
        <v>0</v>
      </c>
      <c r="E19" s="31">
        <f>Cashflow!E32</f>
        <v>0</v>
      </c>
      <c r="F19" s="31">
        <f>Cashflow!F32</f>
        <v>0</v>
      </c>
      <c r="G19" s="31">
        <f>Cashflow!G32</f>
        <v>0</v>
      </c>
      <c r="H19" s="31">
        <f>SUM(C19:G19)</f>
        <v>0</v>
      </c>
    </row>
    <row r="20" spans="2:8" ht="15" customHeight="1" x14ac:dyDescent="0.3">
      <c r="B20" s="25" t="s">
        <v>69</v>
      </c>
      <c r="C20" s="62">
        <f>Cashflow!C34</f>
        <v>0</v>
      </c>
      <c r="D20" s="62">
        <f>Cashflow!D34</f>
        <v>0</v>
      </c>
      <c r="E20" s="62">
        <f>Cashflow!E34</f>
        <v>0</v>
      </c>
      <c r="F20" s="62">
        <f>Cashflow!F34</f>
        <v>0</v>
      </c>
      <c r="G20" s="62">
        <f>Cashflow!G34</f>
        <v>0</v>
      </c>
      <c r="H20" s="31">
        <f>SUM(C20:G20)</f>
        <v>0</v>
      </c>
    </row>
    <row r="21" spans="2:8" ht="15" customHeight="1" x14ac:dyDescent="0.3">
      <c r="B21" s="63" t="s">
        <v>48</v>
      </c>
      <c r="C21" s="64">
        <f t="shared" ref="C21:F21" si="1">C17-C20-C18-C19</f>
        <v>0</v>
      </c>
      <c r="D21" s="64">
        <f t="shared" si="1"/>
        <v>0</v>
      </c>
      <c r="E21" s="64">
        <f t="shared" si="1"/>
        <v>0</v>
      </c>
      <c r="F21" s="64">
        <f t="shared" si="1"/>
        <v>0</v>
      </c>
      <c r="G21" s="64">
        <f>G17-G20-G18-G19</f>
        <v>0</v>
      </c>
      <c r="H21" s="64">
        <f>H17-H20-H18-H19</f>
        <v>0</v>
      </c>
    </row>
    <row r="22" spans="2:8" ht="15.75" customHeight="1" x14ac:dyDescent="0.3">
      <c r="B22" s="52"/>
    </row>
    <row r="23" spans="2:8" ht="15.75" customHeight="1" x14ac:dyDescent="0.3">
      <c r="B23" s="65" t="s">
        <v>70</v>
      </c>
    </row>
    <row r="24" spans="2:8" ht="18" customHeight="1" x14ac:dyDescent="0.3">
      <c r="B24" s="115"/>
      <c r="C24" s="107"/>
      <c r="D24" s="107"/>
      <c r="E24" s="107"/>
      <c r="F24" s="19"/>
      <c r="G24" s="19"/>
      <c r="H24" s="19"/>
    </row>
    <row r="26" spans="2:8" ht="15.75" customHeight="1" x14ac:dyDescent="0.3"/>
    <row r="27" spans="2:8" ht="15.75" customHeight="1" x14ac:dyDescent="0.3">
      <c r="B27" s="52"/>
    </row>
    <row r="28" spans="2:8" ht="15.75" customHeight="1" x14ac:dyDescent="0.3">
      <c r="B28" s="52"/>
    </row>
    <row r="29" spans="2:8" ht="15.75" customHeight="1" x14ac:dyDescent="0.3">
      <c r="B29" s="52"/>
    </row>
    <row r="30" spans="2:8" ht="15.75" customHeight="1" x14ac:dyDescent="0.3">
      <c r="B30" s="52"/>
    </row>
    <row r="31" spans="2:8" ht="15.75" customHeight="1" x14ac:dyDescent="0.3">
      <c r="B31" s="52"/>
    </row>
    <row r="32" spans="2:8" ht="15.75" customHeight="1" x14ac:dyDescent="0.3">
      <c r="B32" s="52"/>
    </row>
    <row r="33" spans="2:2" ht="15.75" customHeight="1" x14ac:dyDescent="0.3">
      <c r="B33" s="52"/>
    </row>
    <row r="34" spans="2:2" ht="15.75" customHeight="1" x14ac:dyDescent="0.3">
      <c r="B34" s="52"/>
    </row>
    <row r="35" spans="2:2" ht="15.75" customHeight="1" x14ac:dyDescent="0.3">
      <c r="B35" s="52"/>
    </row>
    <row r="36" spans="2:2" ht="15.75" customHeight="1" x14ac:dyDescent="0.3">
      <c r="B36" s="52"/>
    </row>
    <row r="37" spans="2:2" ht="15.75" customHeight="1" x14ac:dyDescent="0.3">
      <c r="B37" s="52"/>
    </row>
    <row r="38" spans="2:2" ht="15.75" customHeight="1" x14ac:dyDescent="0.3">
      <c r="B38" s="52"/>
    </row>
    <row r="39" spans="2:2" ht="15.75" customHeight="1" x14ac:dyDescent="0.3">
      <c r="B39" s="52"/>
    </row>
    <row r="40" spans="2:2" ht="15.75" customHeight="1" x14ac:dyDescent="0.3">
      <c r="B40" s="52"/>
    </row>
    <row r="41" spans="2:2" ht="15.75" customHeight="1" x14ac:dyDescent="0.3">
      <c r="B41" s="52"/>
    </row>
    <row r="42" spans="2:2" ht="15.75" customHeight="1" x14ac:dyDescent="0.3">
      <c r="B42" s="52"/>
    </row>
    <row r="43" spans="2:2" ht="15.75" customHeight="1" x14ac:dyDescent="0.3">
      <c r="B43" s="52"/>
    </row>
    <row r="44" spans="2:2" ht="15.75" customHeight="1" x14ac:dyDescent="0.3">
      <c r="B44" s="52"/>
    </row>
    <row r="45" spans="2:2" ht="15.75" customHeight="1" x14ac:dyDescent="0.3">
      <c r="B45" s="52"/>
    </row>
    <row r="46" spans="2:2" ht="15.75" customHeight="1" x14ac:dyDescent="0.3">
      <c r="B46" s="52"/>
    </row>
    <row r="47" spans="2:2" ht="15.75" customHeight="1" x14ac:dyDescent="0.3">
      <c r="B47" s="52"/>
    </row>
    <row r="48" spans="2:2" ht="15.75" customHeight="1" x14ac:dyDescent="0.3">
      <c r="B48" s="52"/>
    </row>
    <row r="49" spans="2:2" ht="15.75" customHeight="1" x14ac:dyDescent="0.3">
      <c r="B49" s="52"/>
    </row>
    <row r="50" spans="2:2" ht="15.75" customHeight="1" x14ac:dyDescent="0.3">
      <c r="B50" s="52"/>
    </row>
    <row r="51" spans="2:2" ht="15.75" customHeight="1" x14ac:dyDescent="0.3">
      <c r="B51" s="52"/>
    </row>
    <row r="52" spans="2:2" ht="15.75" customHeight="1" x14ac:dyDescent="0.3">
      <c r="B52" s="52"/>
    </row>
    <row r="53" spans="2:2" ht="15.75" customHeight="1" x14ac:dyDescent="0.3">
      <c r="B53" s="52"/>
    </row>
    <row r="54" spans="2:2" ht="15.75" customHeight="1" x14ac:dyDescent="0.3">
      <c r="B54" s="52"/>
    </row>
    <row r="55" spans="2:2" ht="15.75" customHeight="1" x14ac:dyDescent="0.3">
      <c r="B55" s="52"/>
    </row>
    <row r="56" spans="2:2" ht="15.75" customHeight="1" x14ac:dyDescent="0.3">
      <c r="B56" s="52"/>
    </row>
    <row r="57" spans="2:2" ht="15.75" customHeight="1" x14ac:dyDescent="0.3">
      <c r="B57" s="52"/>
    </row>
    <row r="58" spans="2:2" ht="15.75" customHeight="1" x14ac:dyDescent="0.3">
      <c r="B58" s="52"/>
    </row>
    <row r="59" spans="2:2" ht="15.75" customHeight="1" x14ac:dyDescent="0.3">
      <c r="B59" s="52"/>
    </row>
    <row r="60" spans="2:2" ht="15.75" customHeight="1" x14ac:dyDescent="0.3">
      <c r="B60" s="52"/>
    </row>
    <row r="61" spans="2:2" ht="15.75" customHeight="1" x14ac:dyDescent="0.3">
      <c r="B61" s="52"/>
    </row>
    <row r="62" spans="2:2" ht="15.75" customHeight="1" x14ac:dyDescent="0.3">
      <c r="B62" s="52"/>
    </row>
    <row r="63" spans="2:2" ht="15.75" customHeight="1" x14ac:dyDescent="0.3">
      <c r="B63" s="52"/>
    </row>
    <row r="64" spans="2:2" ht="15.75" customHeight="1" x14ac:dyDescent="0.3">
      <c r="B64" s="52"/>
    </row>
    <row r="65" spans="2:2" ht="15.75" customHeight="1" x14ac:dyDescent="0.3">
      <c r="B65" s="52"/>
    </row>
    <row r="66" spans="2:2" ht="15.75" customHeight="1" x14ac:dyDescent="0.3">
      <c r="B66" s="52"/>
    </row>
    <row r="67" spans="2:2" ht="15.75" customHeight="1" x14ac:dyDescent="0.3">
      <c r="B67" s="52"/>
    </row>
    <row r="68" spans="2:2" ht="15.75" customHeight="1" x14ac:dyDescent="0.3">
      <c r="B68" s="52"/>
    </row>
    <row r="69" spans="2:2" ht="15.75" customHeight="1" x14ac:dyDescent="0.3">
      <c r="B69" s="52"/>
    </row>
    <row r="70" spans="2:2" ht="15.75" customHeight="1" x14ac:dyDescent="0.3">
      <c r="B70" s="52"/>
    </row>
    <row r="71" spans="2:2" ht="15.75" customHeight="1" x14ac:dyDescent="0.3">
      <c r="B71" s="52"/>
    </row>
    <row r="72" spans="2:2" ht="15.75" customHeight="1" x14ac:dyDescent="0.3">
      <c r="B72" s="52"/>
    </row>
    <row r="73" spans="2:2" ht="15.75" customHeight="1" x14ac:dyDescent="0.3">
      <c r="B73" s="52"/>
    </row>
    <row r="74" spans="2:2" ht="15.75" customHeight="1" x14ac:dyDescent="0.3">
      <c r="B74" s="52"/>
    </row>
    <row r="75" spans="2:2" ht="15.75" customHeight="1" x14ac:dyDescent="0.3">
      <c r="B75" s="52"/>
    </row>
    <row r="76" spans="2:2" ht="15.75" customHeight="1" x14ac:dyDescent="0.3">
      <c r="B76" s="52"/>
    </row>
    <row r="77" spans="2:2" ht="15.75" customHeight="1" x14ac:dyDescent="0.3">
      <c r="B77" s="52"/>
    </row>
    <row r="78" spans="2:2" ht="15.75" customHeight="1" x14ac:dyDescent="0.3">
      <c r="B78" s="52"/>
    </row>
    <row r="79" spans="2:2" ht="15.75" customHeight="1" x14ac:dyDescent="0.3">
      <c r="B79" s="52"/>
    </row>
    <row r="80" spans="2:2" ht="15.75" customHeight="1" x14ac:dyDescent="0.3">
      <c r="B80" s="52"/>
    </row>
    <row r="81" spans="2:2" ht="15.75" customHeight="1" x14ac:dyDescent="0.3">
      <c r="B81" s="52"/>
    </row>
    <row r="82" spans="2:2" ht="15.75" customHeight="1" x14ac:dyDescent="0.3">
      <c r="B82" s="52"/>
    </row>
    <row r="83" spans="2:2" ht="15.75" customHeight="1" x14ac:dyDescent="0.3">
      <c r="B83" s="52"/>
    </row>
    <row r="84" spans="2:2" ht="15.75" customHeight="1" x14ac:dyDescent="0.3">
      <c r="B84" s="52"/>
    </row>
    <row r="85" spans="2:2" ht="15.75" customHeight="1" x14ac:dyDescent="0.3">
      <c r="B85" s="52"/>
    </row>
    <row r="86" spans="2:2" ht="15.75" customHeight="1" x14ac:dyDescent="0.3">
      <c r="B86" s="52"/>
    </row>
    <row r="87" spans="2:2" ht="15.75" customHeight="1" x14ac:dyDescent="0.3">
      <c r="B87" s="52"/>
    </row>
    <row r="88" spans="2:2" ht="15.75" customHeight="1" x14ac:dyDescent="0.3">
      <c r="B88" s="52"/>
    </row>
    <row r="89" spans="2:2" ht="15.75" customHeight="1" x14ac:dyDescent="0.3">
      <c r="B89" s="52"/>
    </row>
    <row r="90" spans="2:2" ht="15.75" customHeight="1" x14ac:dyDescent="0.3">
      <c r="B90" s="52"/>
    </row>
    <row r="91" spans="2:2" ht="15.75" customHeight="1" x14ac:dyDescent="0.3">
      <c r="B91" s="52"/>
    </row>
    <row r="92" spans="2:2" ht="15.75" customHeight="1" x14ac:dyDescent="0.3">
      <c r="B92" s="52"/>
    </row>
    <row r="93" spans="2:2" ht="15.75" customHeight="1" x14ac:dyDescent="0.3">
      <c r="B93" s="52"/>
    </row>
    <row r="94" spans="2:2" ht="15.75" customHeight="1" x14ac:dyDescent="0.3">
      <c r="B94" s="52"/>
    </row>
    <row r="95" spans="2:2" ht="15.75" customHeight="1" x14ac:dyDescent="0.3">
      <c r="B95" s="52"/>
    </row>
    <row r="96" spans="2:2" ht="15.75" customHeight="1" x14ac:dyDescent="0.3">
      <c r="B96" s="52"/>
    </row>
    <row r="97" spans="2:2" ht="15.75" customHeight="1" x14ac:dyDescent="0.3">
      <c r="B97" s="52"/>
    </row>
    <row r="98" spans="2:2" ht="15.75" customHeight="1" x14ac:dyDescent="0.3">
      <c r="B98" s="52"/>
    </row>
    <row r="99" spans="2:2" ht="15.75" customHeight="1" x14ac:dyDescent="0.3">
      <c r="B99" s="52"/>
    </row>
    <row r="100" spans="2:2" ht="15.75" customHeight="1" x14ac:dyDescent="0.3">
      <c r="B100" s="52"/>
    </row>
    <row r="101" spans="2:2" ht="15.75" customHeight="1" x14ac:dyDescent="0.3">
      <c r="B101" s="52"/>
    </row>
    <row r="102" spans="2:2" ht="15.75" customHeight="1" x14ac:dyDescent="0.3">
      <c r="B102" s="52"/>
    </row>
    <row r="103" spans="2:2" ht="15.75" customHeight="1" x14ac:dyDescent="0.3">
      <c r="B103" s="52"/>
    </row>
    <row r="104" spans="2:2" ht="15.75" customHeight="1" x14ac:dyDescent="0.3">
      <c r="B104" s="52"/>
    </row>
    <row r="105" spans="2:2" ht="15.75" customHeight="1" x14ac:dyDescent="0.3">
      <c r="B105" s="52"/>
    </row>
    <row r="106" spans="2:2" ht="15.75" customHeight="1" x14ac:dyDescent="0.3">
      <c r="B106" s="52"/>
    </row>
    <row r="107" spans="2:2" ht="15.75" customHeight="1" x14ac:dyDescent="0.3">
      <c r="B107" s="52"/>
    </row>
    <row r="108" spans="2:2" ht="15.75" customHeight="1" x14ac:dyDescent="0.3">
      <c r="B108" s="52"/>
    </row>
    <row r="109" spans="2:2" ht="15.75" customHeight="1" x14ac:dyDescent="0.3">
      <c r="B109" s="52"/>
    </row>
    <row r="110" spans="2:2" ht="15.75" customHeight="1" x14ac:dyDescent="0.3">
      <c r="B110" s="52"/>
    </row>
    <row r="111" spans="2:2" ht="15.75" customHeight="1" x14ac:dyDescent="0.3">
      <c r="B111" s="52"/>
    </row>
    <row r="112" spans="2:2" ht="15.75" customHeight="1" x14ac:dyDescent="0.3">
      <c r="B112" s="52"/>
    </row>
    <row r="113" spans="2:2" ht="15.75" customHeight="1" x14ac:dyDescent="0.3">
      <c r="B113" s="52"/>
    </row>
    <row r="114" spans="2:2" ht="15.75" customHeight="1" x14ac:dyDescent="0.3">
      <c r="B114" s="52"/>
    </row>
    <row r="115" spans="2:2" ht="15.75" customHeight="1" x14ac:dyDescent="0.3">
      <c r="B115" s="52"/>
    </row>
    <row r="116" spans="2:2" ht="15.75" customHeight="1" x14ac:dyDescent="0.3">
      <c r="B116" s="52"/>
    </row>
    <row r="117" spans="2:2" ht="15.75" customHeight="1" x14ac:dyDescent="0.3">
      <c r="B117" s="52"/>
    </row>
    <row r="118" spans="2:2" ht="15.75" customHeight="1" x14ac:dyDescent="0.3">
      <c r="B118" s="52"/>
    </row>
    <row r="119" spans="2:2" ht="15.75" customHeight="1" x14ac:dyDescent="0.3">
      <c r="B119" s="52"/>
    </row>
    <row r="120" spans="2:2" ht="15.75" customHeight="1" x14ac:dyDescent="0.3">
      <c r="B120" s="52"/>
    </row>
    <row r="121" spans="2:2" ht="15.75" customHeight="1" x14ac:dyDescent="0.3">
      <c r="B121" s="52"/>
    </row>
    <row r="122" spans="2:2" ht="15.75" customHeight="1" x14ac:dyDescent="0.3">
      <c r="B122" s="52"/>
    </row>
    <row r="123" spans="2:2" ht="15.75" customHeight="1" x14ac:dyDescent="0.3">
      <c r="B123" s="52"/>
    </row>
    <row r="124" spans="2:2" ht="15.75" customHeight="1" x14ac:dyDescent="0.3">
      <c r="B124" s="52"/>
    </row>
    <row r="125" spans="2:2" ht="15.75" customHeight="1" x14ac:dyDescent="0.3">
      <c r="B125" s="52"/>
    </row>
    <row r="126" spans="2:2" ht="15.75" customHeight="1" x14ac:dyDescent="0.3">
      <c r="B126" s="52"/>
    </row>
    <row r="127" spans="2:2" ht="15.75" customHeight="1" x14ac:dyDescent="0.3">
      <c r="B127" s="52"/>
    </row>
    <row r="128" spans="2:2" ht="15.75" customHeight="1" x14ac:dyDescent="0.3">
      <c r="B128" s="52"/>
    </row>
    <row r="129" spans="2:2" ht="15.75" customHeight="1" x14ac:dyDescent="0.3">
      <c r="B129" s="52"/>
    </row>
    <row r="130" spans="2:2" ht="15.75" customHeight="1" x14ac:dyDescent="0.3">
      <c r="B130" s="52"/>
    </row>
    <row r="131" spans="2:2" ht="15.75" customHeight="1" x14ac:dyDescent="0.3">
      <c r="B131" s="52"/>
    </row>
    <row r="132" spans="2:2" ht="15.75" customHeight="1" x14ac:dyDescent="0.3">
      <c r="B132" s="52"/>
    </row>
    <row r="133" spans="2:2" ht="15.75" customHeight="1" x14ac:dyDescent="0.3">
      <c r="B133" s="52"/>
    </row>
    <row r="134" spans="2:2" ht="15.75" customHeight="1" x14ac:dyDescent="0.3">
      <c r="B134" s="52"/>
    </row>
    <row r="135" spans="2:2" ht="15.75" customHeight="1" x14ac:dyDescent="0.3">
      <c r="B135" s="52"/>
    </row>
    <row r="136" spans="2:2" ht="15.75" customHeight="1" x14ac:dyDescent="0.3">
      <c r="B136" s="52"/>
    </row>
    <row r="137" spans="2:2" ht="15.75" customHeight="1" x14ac:dyDescent="0.3">
      <c r="B137" s="52"/>
    </row>
    <row r="138" spans="2:2" ht="15.75" customHeight="1" x14ac:dyDescent="0.3">
      <c r="B138" s="52"/>
    </row>
    <row r="139" spans="2:2" ht="15.75" customHeight="1" x14ac:dyDescent="0.3">
      <c r="B139" s="52"/>
    </row>
    <row r="140" spans="2:2" ht="15.75" customHeight="1" x14ac:dyDescent="0.3">
      <c r="B140" s="52"/>
    </row>
    <row r="141" spans="2:2" ht="15.75" customHeight="1" x14ac:dyDescent="0.3">
      <c r="B141" s="52"/>
    </row>
    <row r="142" spans="2:2" ht="15.75" customHeight="1" x14ac:dyDescent="0.3">
      <c r="B142" s="52"/>
    </row>
    <row r="143" spans="2:2" ht="15.75" customHeight="1" x14ac:dyDescent="0.3">
      <c r="B143" s="52"/>
    </row>
    <row r="144" spans="2:2" ht="15.75" customHeight="1" x14ac:dyDescent="0.3">
      <c r="B144" s="52"/>
    </row>
    <row r="145" spans="2:2" ht="15.75" customHeight="1" x14ac:dyDescent="0.3">
      <c r="B145" s="52"/>
    </row>
    <row r="146" spans="2:2" ht="15.75" customHeight="1" x14ac:dyDescent="0.3">
      <c r="B146" s="52"/>
    </row>
    <row r="147" spans="2:2" ht="15.75" customHeight="1" x14ac:dyDescent="0.3">
      <c r="B147" s="52"/>
    </row>
    <row r="148" spans="2:2" ht="15.75" customHeight="1" x14ac:dyDescent="0.3">
      <c r="B148" s="52"/>
    </row>
    <row r="149" spans="2:2" ht="15.75" customHeight="1" x14ac:dyDescent="0.3">
      <c r="B149" s="52"/>
    </row>
    <row r="150" spans="2:2" ht="15.75" customHeight="1" x14ac:dyDescent="0.3">
      <c r="B150" s="52"/>
    </row>
    <row r="151" spans="2:2" ht="15.75" customHeight="1" x14ac:dyDescent="0.3">
      <c r="B151" s="52"/>
    </row>
    <row r="152" spans="2:2" ht="15.75" customHeight="1" x14ac:dyDescent="0.3">
      <c r="B152" s="52"/>
    </row>
    <row r="153" spans="2:2" ht="15.75" customHeight="1" x14ac:dyDescent="0.3">
      <c r="B153" s="52"/>
    </row>
    <row r="154" spans="2:2" ht="15.75" customHeight="1" x14ac:dyDescent="0.3">
      <c r="B154" s="52"/>
    </row>
    <row r="155" spans="2:2" ht="15.75" customHeight="1" x14ac:dyDescent="0.3">
      <c r="B155" s="52"/>
    </row>
    <row r="156" spans="2:2" ht="15.75" customHeight="1" x14ac:dyDescent="0.3">
      <c r="B156" s="52"/>
    </row>
    <row r="157" spans="2:2" ht="15.75" customHeight="1" x14ac:dyDescent="0.3">
      <c r="B157" s="52"/>
    </row>
    <row r="158" spans="2:2" ht="15.75" customHeight="1" x14ac:dyDescent="0.3">
      <c r="B158" s="52"/>
    </row>
    <row r="159" spans="2:2" ht="15.75" customHeight="1" x14ac:dyDescent="0.3">
      <c r="B159" s="52"/>
    </row>
    <row r="160" spans="2:2" ht="15.75" customHeight="1" x14ac:dyDescent="0.3">
      <c r="B160" s="52"/>
    </row>
    <row r="161" spans="2:2" ht="15.75" customHeight="1" x14ac:dyDescent="0.3">
      <c r="B161" s="52"/>
    </row>
    <row r="162" spans="2:2" ht="15.75" customHeight="1" x14ac:dyDescent="0.3">
      <c r="B162" s="52"/>
    </row>
    <row r="163" spans="2:2" ht="15.75" customHeight="1" x14ac:dyDescent="0.3">
      <c r="B163" s="52"/>
    </row>
    <row r="164" spans="2:2" ht="15.75" customHeight="1" x14ac:dyDescent="0.3">
      <c r="B164" s="52"/>
    </row>
    <row r="165" spans="2:2" ht="15.75" customHeight="1" x14ac:dyDescent="0.3">
      <c r="B165" s="52"/>
    </row>
    <row r="166" spans="2:2" ht="15.75" customHeight="1" x14ac:dyDescent="0.3">
      <c r="B166" s="52"/>
    </row>
    <row r="167" spans="2:2" ht="15.75" customHeight="1" x14ac:dyDescent="0.3">
      <c r="B167" s="52"/>
    </row>
    <row r="168" spans="2:2" ht="15.75" customHeight="1" x14ac:dyDescent="0.3">
      <c r="B168" s="52"/>
    </row>
    <row r="169" spans="2:2" ht="15.75" customHeight="1" x14ac:dyDescent="0.3">
      <c r="B169" s="52"/>
    </row>
    <row r="170" spans="2:2" ht="15.75" customHeight="1" x14ac:dyDescent="0.3">
      <c r="B170" s="52"/>
    </row>
    <row r="171" spans="2:2" ht="15.75" customHeight="1" x14ac:dyDescent="0.3">
      <c r="B171" s="52"/>
    </row>
    <row r="172" spans="2:2" ht="15.75" customHeight="1" x14ac:dyDescent="0.3">
      <c r="B172" s="52"/>
    </row>
    <row r="173" spans="2:2" ht="15.75" customHeight="1" x14ac:dyDescent="0.3">
      <c r="B173" s="52"/>
    </row>
    <row r="174" spans="2:2" ht="15.75" customHeight="1" x14ac:dyDescent="0.3">
      <c r="B174" s="52"/>
    </row>
    <row r="175" spans="2:2" ht="15.75" customHeight="1" x14ac:dyDescent="0.3">
      <c r="B175" s="52"/>
    </row>
    <row r="176" spans="2:2" ht="15.75" customHeight="1" x14ac:dyDescent="0.3">
      <c r="B176" s="52"/>
    </row>
    <row r="177" spans="2:2" ht="15.75" customHeight="1" x14ac:dyDescent="0.3">
      <c r="B177" s="52"/>
    </row>
    <row r="178" spans="2:2" ht="15.75" customHeight="1" x14ac:dyDescent="0.3">
      <c r="B178" s="52"/>
    </row>
    <row r="179" spans="2:2" ht="15.75" customHeight="1" x14ac:dyDescent="0.3">
      <c r="B179" s="52"/>
    </row>
    <row r="180" spans="2:2" ht="15.75" customHeight="1" x14ac:dyDescent="0.3">
      <c r="B180" s="52"/>
    </row>
    <row r="181" spans="2:2" ht="15.75" customHeight="1" x14ac:dyDescent="0.3">
      <c r="B181" s="52"/>
    </row>
    <row r="182" spans="2:2" ht="15.75" customHeight="1" x14ac:dyDescent="0.3">
      <c r="B182" s="52"/>
    </row>
    <row r="183" spans="2:2" ht="15.75" customHeight="1" x14ac:dyDescent="0.3">
      <c r="B183" s="52"/>
    </row>
    <row r="184" spans="2:2" ht="15.75" customHeight="1" x14ac:dyDescent="0.3">
      <c r="B184" s="52"/>
    </row>
    <row r="185" spans="2:2" ht="15.75" customHeight="1" x14ac:dyDescent="0.3">
      <c r="B185" s="52"/>
    </row>
    <row r="186" spans="2:2" ht="15.75" customHeight="1" x14ac:dyDescent="0.3">
      <c r="B186" s="52"/>
    </row>
    <row r="187" spans="2:2" ht="15.75" customHeight="1" x14ac:dyDescent="0.3">
      <c r="B187" s="52"/>
    </row>
    <row r="188" spans="2:2" ht="15.75" customHeight="1" x14ac:dyDescent="0.3">
      <c r="B188" s="52"/>
    </row>
    <row r="189" spans="2:2" ht="15.75" customHeight="1" x14ac:dyDescent="0.3">
      <c r="B189" s="52"/>
    </row>
    <row r="190" spans="2:2" ht="15.75" customHeight="1" x14ac:dyDescent="0.3">
      <c r="B190" s="52"/>
    </row>
    <row r="191" spans="2:2" ht="15.75" customHeight="1" x14ac:dyDescent="0.3">
      <c r="B191" s="52"/>
    </row>
    <row r="192" spans="2:2" ht="15.75" customHeight="1" x14ac:dyDescent="0.3">
      <c r="B192" s="52"/>
    </row>
    <row r="193" spans="2:2" ht="15.75" customHeight="1" x14ac:dyDescent="0.3">
      <c r="B193" s="52"/>
    </row>
    <row r="194" spans="2:2" ht="15.75" customHeight="1" x14ac:dyDescent="0.3">
      <c r="B194" s="52"/>
    </row>
    <row r="195" spans="2:2" ht="15.75" customHeight="1" x14ac:dyDescent="0.3">
      <c r="B195" s="52"/>
    </row>
    <row r="196" spans="2:2" ht="15.75" customHeight="1" x14ac:dyDescent="0.3">
      <c r="B196" s="52"/>
    </row>
    <row r="197" spans="2:2" ht="15.75" customHeight="1" x14ac:dyDescent="0.3">
      <c r="B197" s="52"/>
    </row>
    <row r="198" spans="2:2" ht="15.75" customHeight="1" x14ac:dyDescent="0.3">
      <c r="B198" s="52"/>
    </row>
    <row r="199" spans="2:2" ht="15.75" customHeight="1" x14ac:dyDescent="0.3">
      <c r="B199" s="52"/>
    </row>
    <row r="200" spans="2:2" ht="15.75" customHeight="1" x14ac:dyDescent="0.3">
      <c r="B200" s="52"/>
    </row>
    <row r="201" spans="2:2" ht="15.75" customHeight="1" x14ac:dyDescent="0.3">
      <c r="B201" s="52"/>
    </row>
    <row r="202" spans="2:2" ht="15.75" customHeight="1" x14ac:dyDescent="0.3">
      <c r="B202" s="52"/>
    </row>
    <row r="203" spans="2:2" ht="15.75" customHeight="1" x14ac:dyDescent="0.3">
      <c r="B203" s="52"/>
    </row>
    <row r="204" spans="2:2" ht="15.75" customHeight="1" x14ac:dyDescent="0.3">
      <c r="B204" s="52"/>
    </row>
    <row r="205" spans="2:2" ht="15.75" customHeight="1" x14ac:dyDescent="0.3">
      <c r="B205" s="52"/>
    </row>
    <row r="206" spans="2:2" ht="15.75" customHeight="1" x14ac:dyDescent="0.3">
      <c r="B206" s="52"/>
    </row>
    <row r="207" spans="2:2" ht="15.75" customHeight="1" x14ac:dyDescent="0.3">
      <c r="B207" s="52"/>
    </row>
    <row r="208" spans="2:2" ht="15.75" customHeight="1" x14ac:dyDescent="0.3">
      <c r="B208" s="52"/>
    </row>
    <row r="209" spans="2:2" ht="15.75" customHeight="1" x14ac:dyDescent="0.3">
      <c r="B209" s="52"/>
    </row>
    <row r="210" spans="2:2" ht="15.75" customHeight="1" x14ac:dyDescent="0.3">
      <c r="B210" s="52"/>
    </row>
    <row r="211" spans="2:2" ht="15.75" customHeight="1" x14ac:dyDescent="0.3">
      <c r="B211" s="52"/>
    </row>
    <row r="212" spans="2:2" ht="15.75" customHeight="1" x14ac:dyDescent="0.3">
      <c r="B212" s="52"/>
    </row>
    <row r="213" spans="2:2" ht="15.75" customHeight="1" x14ac:dyDescent="0.3">
      <c r="B213" s="52"/>
    </row>
    <row r="214" spans="2:2" ht="15.75" customHeight="1" x14ac:dyDescent="0.3">
      <c r="B214" s="52"/>
    </row>
    <row r="215" spans="2:2" ht="15.75" customHeight="1" x14ac:dyDescent="0.3">
      <c r="B215" s="52"/>
    </row>
    <row r="216" spans="2:2" ht="15.75" customHeight="1" x14ac:dyDescent="0.3">
      <c r="B216" s="52"/>
    </row>
    <row r="217" spans="2:2" ht="15.75" customHeight="1" x14ac:dyDescent="0.3">
      <c r="B217" s="52"/>
    </row>
    <row r="218" spans="2:2" ht="15.75" customHeight="1" x14ac:dyDescent="0.3">
      <c r="B218" s="52"/>
    </row>
    <row r="219" spans="2:2" ht="15.75" customHeight="1" x14ac:dyDescent="0.3">
      <c r="B219" s="52"/>
    </row>
    <row r="220" spans="2:2" ht="15.75" customHeight="1" x14ac:dyDescent="0.3">
      <c r="B220" s="52"/>
    </row>
    <row r="221" spans="2:2" ht="15.75" customHeight="1" x14ac:dyDescent="0.3">
      <c r="B221" s="52"/>
    </row>
    <row r="222" spans="2:2" ht="15.75" customHeight="1" x14ac:dyDescent="0.3">
      <c r="B222" s="52"/>
    </row>
    <row r="223" spans="2:2" ht="15.75" customHeight="1" x14ac:dyDescent="0.3">
      <c r="B223" s="52"/>
    </row>
    <row r="224" spans="2:2" ht="15.75" customHeight="1" x14ac:dyDescent="0.3">
      <c r="B224" s="52"/>
    </row>
    <row r="225" spans="2:2" ht="15.75" customHeight="1" x14ac:dyDescent="0.3">
      <c r="B225" s="52"/>
    </row>
    <row r="226" spans="2:2" ht="15.75" customHeight="1" x14ac:dyDescent="0.3"/>
    <row r="227" spans="2:2" ht="15.75" customHeight="1" x14ac:dyDescent="0.3"/>
    <row r="228" spans="2:2" ht="15.75" customHeight="1" x14ac:dyDescent="0.3"/>
    <row r="229" spans="2:2" ht="15.75" customHeight="1" x14ac:dyDescent="0.3"/>
    <row r="230" spans="2:2" ht="15.75" customHeight="1" x14ac:dyDescent="0.3"/>
    <row r="231" spans="2:2" ht="15.75" customHeight="1" x14ac:dyDescent="0.3"/>
    <row r="232" spans="2:2" ht="15.75" customHeight="1" x14ac:dyDescent="0.3"/>
    <row r="233" spans="2:2" ht="15.75" customHeight="1" x14ac:dyDescent="0.3"/>
    <row r="234" spans="2:2" ht="15.75" customHeight="1" x14ac:dyDescent="0.3"/>
    <row r="235" spans="2:2" ht="15.75" customHeight="1" x14ac:dyDescent="0.3"/>
    <row r="236" spans="2:2" ht="15.75" customHeight="1" x14ac:dyDescent="0.3"/>
    <row r="237" spans="2:2" ht="15.75" customHeight="1" x14ac:dyDescent="0.3"/>
    <row r="238" spans="2:2" ht="15.75" customHeight="1" x14ac:dyDescent="0.3"/>
    <row r="239" spans="2:2" ht="15.75" customHeight="1" x14ac:dyDescent="0.3"/>
    <row r="240" spans="2:2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</sheetData>
  <mergeCells count="4">
    <mergeCell ref="B1:H1"/>
    <mergeCell ref="B3:H3"/>
    <mergeCell ref="B24:E24"/>
    <mergeCell ref="B2:H2"/>
  </mergeCells>
  <pageMargins left="0.70866141732283472" right="0.70866141732283472" top="0.74803149606299213" bottom="0.74803149606299213" header="0" footer="0"/>
  <pageSetup paperSize="9" scale="87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/>
  <dimension ref="A1:G1"/>
  <sheetViews>
    <sheetView workbookViewId="0">
      <selection activeCell="J27" sqref="J27"/>
    </sheetView>
  </sheetViews>
  <sheetFormatPr defaultRowHeight="13.2" x14ac:dyDescent="0.25"/>
  <cols>
    <col min="1" max="7" width="8.88671875" style="20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2"/>
  <dimension ref="A1:N1"/>
  <sheetViews>
    <sheetView zoomScaleNormal="100" workbookViewId="0"/>
  </sheetViews>
  <sheetFormatPr defaultRowHeight="13.2" x14ac:dyDescent="0.25"/>
  <cols>
    <col min="1" max="14" width="8.88671875" style="20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Summary</vt:lpstr>
      <vt:lpstr>Cashflow</vt:lpstr>
      <vt:lpstr>Profit statement</vt:lpstr>
      <vt:lpstr>Discrepancies</vt:lpstr>
      <vt:lpstr>BANK</vt:lpstr>
      <vt:lpstr>POS</vt:lpstr>
      <vt:lpstr>Cashflow!Print_Area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Bhargavi Bhonagiri</dc:creator>
  <cp:lastModifiedBy>varun reddy</cp:lastModifiedBy>
  <cp:lastPrinted>2025-08-09T12:51:24Z</cp:lastPrinted>
  <dcterms:created xsi:type="dcterms:W3CDTF">2025-07-13T06:11:01Z</dcterms:created>
  <dcterms:modified xsi:type="dcterms:W3CDTF">2026-05-06T19:37:11Z</dcterms:modified>
</cp:coreProperties>
</file>