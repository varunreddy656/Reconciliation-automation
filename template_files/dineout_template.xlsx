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un\Desktop\Backup AutoRecons\Zomato Auto recons\template_files\"/>
    </mc:Choice>
  </mc:AlternateContent>
  <xr:revisionPtr revIDLastSave="0" documentId="13_ncr:1_{9461AD02-1AA7-44B3-B752-C5928B659F98}" xr6:coauthVersionLast="47" xr6:coauthVersionMax="47" xr10:uidLastSave="{00000000-0000-0000-0000-000000000000}"/>
  <bookViews>
    <workbookView xWindow="-108" yWindow="-108" windowWidth="23256" windowHeight="12576" tabRatio="932" xr2:uid="{00000000-000D-0000-FFFF-FFFF00000000}"/>
  </bookViews>
  <sheets>
    <sheet name="Swiggy Dineout" sheetId="102" r:id="rId1"/>
    <sheet name="SD1" sheetId="199" r:id="rId2"/>
    <sheet name="SD2" sheetId="200" r:id="rId3"/>
    <sheet name="SD3" sheetId="201" r:id="rId4"/>
    <sheet name="SD4" sheetId="202" r:id="rId5"/>
    <sheet name="SD5" sheetId="203" r:id="rId6"/>
    <sheet name="SD6" sheetId="204" r:id="rId7"/>
    <sheet name="SD7" sheetId="205" r:id="rId8"/>
    <sheet name="SD8" sheetId="206" r:id="rId9"/>
    <sheet name="SD9" sheetId="207" r:id="rId10"/>
  </sheets>
  <definedNames>
    <definedName name="_xlnm.Print_Area" localSheetId="0">'Swiggy Dineout'!$A$1:$N$58</definedName>
    <definedName name="Summary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4" i="102" l="1"/>
  <c r="J43" i="102"/>
  <c r="W10" i="102" l="1"/>
  <c r="V10" i="102"/>
  <c r="U10" i="102"/>
  <c r="T10" i="102"/>
  <c r="S10" i="102"/>
  <c r="R10" i="102"/>
  <c r="Q10" i="102"/>
  <c r="W9" i="102"/>
  <c r="V9" i="102"/>
  <c r="U9" i="102"/>
  <c r="T9" i="102"/>
  <c r="S9" i="102"/>
  <c r="R9" i="102"/>
  <c r="Q9" i="102"/>
  <c r="W8" i="102"/>
  <c r="V8" i="102"/>
  <c r="U8" i="102"/>
  <c r="T8" i="102"/>
  <c r="S8" i="102"/>
  <c r="R8" i="102"/>
  <c r="Q8" i="102"/>
  <c r="W6" i="102"/>
  <c r="V6" i="102"/>
  <c r="U6" i="102"/>
  <c r="T6" i="102"/>
  <c r="S6" i="102"/>
  <c r="R6" i="102"/>
  <c r="Q6" i="102"/>
  <c r="P10" i="102"/>
  <c r="P9" i="102"/>
  <c r="P8" i="102"/>
  <c r="P6" i="102"/>
  <c r="H43" i="102" l="1"/>
  <c r="I28" i="102"/>
  <c r="H34" i="102"/>
  <c r="G28" i="102"/>
  <c r="F28" i="102"/>
  <c r="E28" i="102"/>
  <c r="L49" i="102" l="1"/>
  <c r="L14" i="102" l="1"/>
  <c r="L12" i="102" l="1"/>
  <c r="L23" i="102"/>
  <c r="L18" i="102"/>
  <c r="L7" i="102"/>
  <c r="L6" i="102"/>
  <c r="L8" i="102" l="1"/>
  <c r="L9" i="102" s="1"/>
  <c r="L10" i="102" s="1"/>
  <c r="L48" i="102" l="1"/>
  <c r="L47" i="102"/>
  <c r="L46" i="102"/>
  <c r="L39" i="102"/>
  <c r="L38" i="102"/>
  <c r="L37" i="102"/>
  <c r="L11" i="102"/>
  <c r="L13" i="102" s="1"/>
  <c r="L15" i="102" l="1"/>
  <c r="J28" i="102"/>
  <c r="J9" i="102"/>
  <c r="J10" i="102" l="1"/>
  <c r="J13" i="102" s="1"/>
  <c r="W7" i="102" s="1"/>
  <c r="J45" i="102" l="1"/>
  <c r="J50" i="102" s="1"/>
  <c r="J15" i="102"/>
  <c r="I43" i="102" l="1"/>
  <c r="K43" i="102"/>
  <c r="D43" i="102" l="1"/>
  <c r="E43" i="102"/>
  <c r="F43" i="102"/>
  <c r="G43" i="102"/>
  <c r="C43" i="102"/>
  <c r="H9" i="102" l="1"/>
  <c r="H28" i="102" l="1"/>
  <c r="H10" i="102"/>
  <c r="H13" i="102" s="1"/>
  <c r="H45" i="102" l="1"/>
  <c r="H50" i="102" s="1"/>
  <c r="U7" i="102"/>
  <c r="H15" i="102"/>
  <c r="C9" i="102"/>
  <c r="C10" i="102" l="1"/>
  <c r="C13" i="102" s="1"/>
  <c r="P7" i="102" s="1"/>
  <c r="C15" i="102" l="1"/>
  <c r="C34" i="102" l="1"/>
  <c r="K34" i="102" l="1"/>
  <c r="K9" i="102"/>
  <c r="G34" i="102"/>
  <c r="E9" i="102"/>
  <c r="D9" i="102"/>
  <c r="L42" i="102"/>
  <c r="I34" i="102"/>
  <c r="F34" i="102"/>
  <c r="E34" i="102"/>
  <c r="L33" i="102"/>
  <c r="L32" i="102"/>
  <c r="D34" i="102"/>
  <c r="L27" i="102"/>
  <c r="L26" i="102"/>
  <c r="L25" i="102"/>
  <c r="L24" i="102"/>
  <c r="L22" i="102"/>
  <c r="L21" i="102"/>
  <c r="L20" i="102"/>
  <c r="L19" i="102"/>
  <c r="K28" i="102"/>
  <c r="I9" i="102"/>
  <c r="F9" i="102"/>
  <c r="K10" i="102" l="1"/>
  <c r="K13" i="102" s="1"/>
  <c r="K45" i="102" s="1"/>
  <c r="K50" i="102" s="1"/>
  <c r="L43" i="102"/>
  <c r="F10" i="102"/>
  <c r="F13" i="102" s="1"/>
  <c r="S7" i="102" s="1"/>
  <c r="C28" i="102"/>
  <c r="D28" i="102"/>
  <c r="L31" i="102"/>
  <c r="D10" i="102"/>
  <c r="D13" i="102" s="1"/>
  <c r="L34" i="102"/>
  <c r="G9" i="102"/>
  <c r="E10" i="102"/>
  <c r="E13" i="102" s="1"/>
  <c r="R7" i="102" s="1"/>
  <c r="I10" i="102"/>
  <c r="I13" i="102" s="1"/>
  <c r="D15" i="102" l="1"/>
  <c r="Q7" i="102"/>
  <c r="I45" i="102"/>
  <c r="I50" i="102" s="1"/>
  <c r="V7" i="102"/>
  <c r="E15" i="102"/>
  <c r="E45" i="102"/>
  <c r="E50" i="102" s="1"/>
  <c r="F15" i="102"/>
  <c r="F45" i="102"/>
  <c r="F50" i="102" s="1"/>
  <c r="L28" i="102"/>
  <c r="L45" i="102" s="1"/>
  <c r="L50" i="102" s="1"/>
  <c r="I15" i="102"/>
  <c r="K15" i="102"/>
  <c r="C45" i="102"/>
  <c r="C50" i="102" s="1"/>
  <c r="D45" i="102"/>
  <c r="D50" i="102" s="1"/>
  <c r="G10" i="102"/>
  <c r="G13" i="102" s="1"/>
  <c r="G45" i="102" l="1"/>
  <c r="G50" i="102" s="1"/>
  <c r="T7" i="102"/>
  <c r="G15" i="102"/>
  <c r="M24" i="102" l="1"/>
  <c r="M32" i="102"/>
  <c r="M33" i="102"/>
  <c r="M12" i="102"/>
  <c r="M43" i="102"/>
  <c r="M7" i="102"/>
  <c r="M34" i="102"/>
  <c r="M31" i="102"/>
  <c r="M42" i="102"/>
  <c r="M38" i="102"/>
  <c r="M37" i="102"/>
  <c r="M6" i="102"/>
  <c r="M14" i="102"/>
  <c r="M23" i="102"/>
  <c r="M21" i="102"/>
  <c r="M28" i="102"/>
  <c r="M48" i="102"/>
  <c r="M47" i="102"/>
  <c r="M15" i="102"/>
  <c r="M18" i="102"/>
  <c r="M9" i="102"/>
  <c r="M46" i="102"/>
  <c r="M39" i="102"/>
  <c r="M49" i="102"/>
  <c r="M13" i="102"/>
  <c r="M22" i="102"/>
  <c r="M10" i="102"/>
  <c r="M50" i="102" l="1"/>
  <c r="M45" i="102"/>
</calcChain>
</file>

<file path=xl/sharedStrings.xml><?xml version="1.0" encoding="utf-8"?>
<sst xmlns="http://schemas.openxmlformats.org/spreadsheetml/2006/main" count="52" uniqueCount="52">
  <si>
    <t>Particulars</t>
  </si>
  <si>
    <t>Total</t>
  </si>
  <si>
    <t>S. No</t>
  </si>
  <si>
    <t>Difference</t>
  </si>
  <si>
    <t>Notes:</t>
  </si>
  <si>
    <t>Amount (₹)</t>
  </si>
  <si>
    <t>Percentage
(%)</t>
  </si>
  <si>
    <t>Sales as per POS (Inclusive of GST)</t>
  </si>
  <si>
    <t>Difference in POS</t>
  </si>
  <si>
    <t>Expected receipt in Bank Statement</t>
  </si>
  <si>
    <t>Actual Receipt in Bank Statement</t>
  </si>
  <si>
    <t>Sales (Exclusive of GST) (Exclusive of cancelled and failed orders)</t>
  </si>
  <si>
    <t>less: Discounts</t>
  </si>
  <si>
    <t>Sales (Exclusive of GST) after discounts</t>
  </si>
  <si>
    <t>Commission and other charges (Inclusive of GST)</t>
  </si>
  <si>
    <t>Total Commission and other Charges</t>
  </si>
  <si>
    <t>Cancelled order costs</t>
  </si>
  <si>
    <t>Total Cancelled order costs</t>
  </si>
  <si>
    <t>A. Tax adjustments</t>
  </si>
  <si>
    <t>less: TCS Deducted</t>
  </si>
  <si>
    <t>less: TDS Deducted</t>
  </si>
  <si>
    <t>B. Other adjustments</t>
  </si>
  <si>
    <t>Total of Adjustments</t>
  </si>
  <si>
    <t>less: Restaurant advance (Advance received during the week)</t>
  </si>
  <si>
    <t>Less: EMI deducted by lender(Bank/NBFC)</t>
  </si>
  <si>
    <t>Sales (Inclusive of GST)</t>
  </si>
  <si>
    <t>add: GST on sales (@5%)</t>
  </si>
  <si>
    <t>less: Adjustments for Excess Payment</t>
  </si>
  <si>
    <t>add: Packaging &amp; Service Charges (incl. of GST)</t>
  </si>
  <si>
    <t>add: Tips</t>
  </si>
  <si>
    <t>Swiggy Platform Service Fee (Commission)</t>
  </si>
  <si>
    <t>Less: Discount on Swiggy Service Fee</t>
  </si>
  <si>
    <t>Access charges</t>
  </si>
  <si>
    <t>Call Center Service Fee (IVRS cost)</t>
  </si>
  <si>
    <t>Long Distance Pack Fee</t>
  </si>
  <si>
    <t>Carousel, High Priority, Banner</t>
  </si>
  <si>
    <t>Delivery Service fee (sponsored by merchant)</t>
  </si>
  <si>
    <t>Collection Charges</t>
  </si>
  <si>
    <t>Merchant share of cancelled orders</t>
  </si>
  <si>
    <t>Onboarding Fees</t>
  </si>
  <si>
    <t>add: Refunds (+ve refunds)</t>
  </si>
  <si>
    <t>less: Refund (Refund, Refund for disputed order)</t>
  </si>
  <si>
    <t>less: Merchant Cancellation Charges</t>
  </si>
  <si>
    <t>less: GST under section 9(5)</t>
  </si>
  <si>
    <t>less: Other adjustments</t>
  </si>
  <si>
    <t>less: Cash prepayment adjustments</t>
  </si>
  <si>
    <t>comm</t>
  </si>
  <si>
    <t>dis</t>
  </si>
  <si>
    <t>ads</t>
  </si>
  <si>
    <t>gross</t>
  </si>
  <si>
    <t>net</t>
  </si>
  <si>
    <t>Swiggy Dineout Reconciliation - Month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</si>
</sst>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3"/>
      <color theme="1"/>
      <name val="Calibri"/>
      <family val="2"/>
      <scheme val="major"/>
    </font>
    <font>
      <sz val="13"/>
      <name val="Calibri"/>
      <family val="2"/>
      <scheme val="major"/>
    </font>
    <font>
      <sz val="11"/>
      <name val="Calibri"/>
      <family val="2"/>
      <scheme val="major"/>
    </font>
    <font>
      <sz val="10"/>
      <color rgb="FF000000"/>
      <name val="Calibri"/>
      <family val="2"/>
      <scheme val="maj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31">
    <xf numFmtId="0" fontId="0" fillId="0" borderId="0"/>
    <xf numFmtId="0" fontId="6" fillId="0" borderId="2"/>
    <xf numFmtId="0" fontId="6" fillId="0" borderId="2"/>
    <xf numFmtId="0" fontId="4" fillId="0" borderId="2"/>
    <xf numFmtId="0" fontId="8" fillId="0" borderId="2"/>
    <xf numFmtId="0" fontId="9" fillId="0" borderId="2"/>
    <xf numFmtId="0" fontId="8" fillId="0" borderId="2"/>
    <xf numFmtId="0" fontId="3" fillId="0" borderId="2"/>
    <xf numFmtId="164" fontId="10" fillId="0" borderId="2" applyFont="0" applyFill="0" applyBorder="0" applyAlignment="0" applyProtection="0"/>
    <xf numFmtId="0" fontId="11" fillId="0" borderId="2"/>
    <xf numFmtId="0" fontId="12" fillId="0" borderId="2"/>
    <xf numFmtId="0" fontId="13" fillId="0" borderId="2"/>
    <xf numFmtId="0" fontId="2" fillId="0" borderId="2"/>
    <xf numFmtId="0" fontId="14" fillId="0" borderId="2"/>
    <xf numFmtId="0" fontId="7" fillId="0" borderId="2"/>
    <xf numFmtId="0" fontId="15" fillId="0" borderId="2"/>
    <xf numFmtId="0" fontId="16" fillId="0" borderId="2"/>
    <xf numFmtId="0" fontId="10" fillId="0" borderId="2"/>
    <xf numFmtId="0" fontId="5" fillId="0" borderId="2"/>
    <xf numFmtId="0" fontId="17" fillId="0" borderId="2"/>
    <xf numFmtId="0" fontId="1" fillId="0" borderId="2"/>
    <xf numFmtId="0" fontId="18" fillId="0" borderId="2"/>
    <xf numFmtId="0" fontId="19" fillId="0" borderId="2"/>
    <xf numFmtId="0" fontId="20" fillId="0" borderId="2"/>
    <xf numFmtId="0" fontId="22" fillId="0" borderId="2"/>
    <xf numFmtId="0" fontId="21" fillId="0" borderId="2"/>
    <xf numFmtId="0" fontId="30" fillId="0" borderId="2"/>
    <xf numFmtId="0" fontId="31" fillId="0" borderId="2"/>
    <xf numFmtId="0" fontId="32" fillId="0" borderId="2"/>
    <xf numFmtId="0" fontId="33" fillId="0" borderId="2"/>
    <xf numFmtId="0" fontId="34" fillId="0" borderId="2"/>
  </cellStyleXfs>
  <cellXfs count="53">
    <xf numFmtId="0" fontId="0" fillId="0" borderId="0" xfId="0"/>
    <xf numFmtId="0" fontId="25" fillId="0" borderId="0" xfId="0" applyFont="1"/>
    <xf numFmtId="165" fontId="25" fillId="2" borderId="2" xfId="10" applyNumberFormat="1" applyFont="1" applyFill="1" applyAlignment="1">
      <alignment horizontal="left"/>
    </xf>
    <xf numFmtId="0" fontId="25" fillId="0" borderId="2" xfId="6" applyFont="1"/>
    <xf numFmtId="0" fontId="29" fillId="0" borderId="2" xfId="6" applyFont="1" applyAlignment="1">
      <alignment wrapText="1"/>
    </xf>
    <xf numFmtId="0" fontId="29" fillId="0" borderId="14" xfId="6" applyFont="1" applyBorder="1" applyAlignment="1">
      <alignment wrapText="1"/>
    </xf>
    <xf numFmtId="0" fontId="28" fillId="0" borderId="2" xfId="6" applyFont="1"/>
    <xf numFmtId="0" fontId="23" fillId="0" borderId="1" xfId="6" applyFont="1" applyBorder="1" applyAlignment="1">
      <alignment horizontal="center" vertical="center" wrapText="1"/>
    </xf>
    <xf numFmtId="49" fontId="23" fillId="0" borderId="13" xfId="6" applyNumberFormat="1" applyFont="1" applyBorder="1" applyAlignment="1">
      <alignment wrapText="1"/>
    </xf>
    <xf numFmtId="10" fontId="23" fillId="0" borderId="9" xfId="6" applyNumberFormat="1" applyFont="1" applyBorder="1" applyAlignment="1">
      <alignment horizontal="right" wrapText="1"/>
    </xf>
    <xf numFmtId="164" fontId="24" fillId="0" borderId="2" xfId="6" applyNumberFormat="1" applyFont="1" applyAlignment="1">
      <alignment horizontal="center" wrapText="1"/>
    </xf>
    <xf numFmtId="49" fontId="24" fillId="0" borderId="8" xfId="6" applyNumberFormat="1" applyFont="1" applyBorder="1" applyAlignment="1">
      <alignment wrapText="1"/>
    </xf>
    <xf numFmtId="9" fontId="23" fillId="0" borderId="9" xfId="6" applyNumberFormat="1" applyFont="1" applyBorder="1" applyAlignment="1">
      <alignment horizontal="right" wrapText="1"/>
    </xf>
    <xf numFmtId="9" fontId="24" fillId="0" borderId="2" xfId="6" applyNumberFormat="1" applyFont="1" applyAlignment="1">
      <alignment horizontal="center" wrapText="1"/>
    </xf>
    <xf numFmtId="164" fontId="23" fillId="0" borderId="9" xfId="6" applyNumberFormat="1" applyFont="1" applyBorder="1" applyAlignment="1">
      <alignment horizontal="right" wrapText="1"/>
    </xf>
    <xf numFmtId="164" fontId="23" fillId="0" borderId="2" xfId="6" applyNumberFormat="1" applyFont="1" applyAlignment="1">
      <alignment horizontal="center" wrapText="1"/>
    </xf>
    <xf numFmtId="49" fontId="23" fillId="0" borderId="8" xfId="6" applyNumberFormat="1" applyFont="1" applyBorder="1" applyAlignment="1">
      <alignment wrapText="1"/>
    </xf>
    <xf numFmtId="9" fontId="23" fillId="0" borderId="2" xfId="6" applyNumberFormat="1" applyFont="1" applyAlignment="1">
      <alignment horizontal="center" wrapText="1"/>
    </xf>
    <xf numFmtId="2" fontId="24" fillId="0" borderId="8" xfId="6" applyNumberFormat="1" applyFont="1" applyBorder="1" applyAlignment="1">
      <alignment horizontal="right" wrapText="1"/>
    </xf>
    <xf numFmtId="2" fontId="23" fillId="0" borderId="8" xfId="6" applyNumberFormat="1" applyFont="1" applyBorder="1" applyAlignment="1">
      <alignment horizontal="right" wrapText="1"/>
    </xf>
    <xf numFmtId="165" fontId="24" fillId="0" borderId="10" xfId="6" applyNumberFormat="1" applyFont="1" applyBorder="1" applyAlignment="1">
      <alignment horizontal="right" wrapText="1"/>
    </xf>
    <xf numFmtId="164" fontId="24" fillId="0" borderId="9" xfId="6" applyNumberFormat="1" applyFont="1" applyBorder="1" applyAlignment="1">
      <alignment horizontal="right" wrapText="1"/>
    </xf>
    <xf numFmtId="2" fontId="25" fillId="0" borderId="0" xfId="0" applyNumberFormat="1" applyFont="1" applyAlignment="1">
      <alignment horizontal="right"/>
    </xf>
    <xf numFmtId="2" fontId="23" fillId="0" borderId="9" xfId="6" applyNumberFormat="1" applyFont="1" applyBorder="1" applyAlignment="1">
      <alignment horizontal="right" wrapText="1"/>
    </xf>
    <xf numFmtId="49" fontId="23" fillId="0" borderId="11" xfId="6" applyNumberFormat="1" applyFont="1" applyBorder="1" applyAlignment="1">
      <alignment wrapText="1"/>
    </xf>
    <xf numFmtId="9" fontId="23" fillId="0" borderId="12" xfId="6" applyNumberFormat="1" applyFont="1" applyBorder="1" applyAlignment="1">
      <alignment horizontal="right" wrapText="1"/>
    </xf>
    <xf numFmtId="0" fontId="23" fillId="0" borderId="2" xfId="6" applyFont="1" applyAlignment="1">
      <alignment wrapText="1"/>
    </xf>
    <xf numFmtId="0" fontId="24" fillId="0" borderId="2" xfId="6" applyFont="1" applyAlignment="1">
      <alignment wrapText="1"/>
    </xf>
    <xf numFmtId="49" fontId="25" fillId="0" borderId="0" xfId="0" applyNumberFormat="1" applyFont="1"/>
    <xf numFmtId="0" fontId="25" fillId="0" borderId="2" xfId="6" applyFont="1" applyAlignment="1">
      <alignment horizontal="left" vertical="top"/>
    </xf>
    <xf numFmtId="0" fontId="29" fillId="0" borderId="2" xfId="6" applyFont="1" applyAlignment="1">
      <alignment horizontal="left" vertical="top"/>
    </xf>
    <xf numFmtId="2" fontId="23" fillId="0" borderId="13" xfId="6" applyNumberFormat="1" applyFont="1" applyBorder="1" applyAlignment="1">
      <alignment horizontal="right" wrapText="1"/>
    </xf>
    <xf numFmtId="2" fontId="24" fillId="0" borderId="18" xfId="6" applyNumberFormat="1" applyFont="1" applyBorder="1" applyAlignment="1">
      <alignment horizontal="right" wrapText="1"/>
    </xf>
    <xf numFmtId="2" fontId="23" fillId="0" borderId="11" xfId="6" applyNumberFormat="1" applyFont="1" applyBorder="1" applyAlignment="1">
      <alignment horizontal="right" wrapText="1"/>
    </xf>
    <xf numFmtId="165" fontId="24" fillId="0" borderId="10" xfId="6" applyNumberFormat="1" applyFont="1" applyBorder="1" applyAlignment="1">
      <alignment horizontal="center" vertical="center" wrapText="1"/>
    </xf>
    <xf numFmtId="165" fontId="25" fillId="2" borderId="2" xfId="10" applyNumberFormat="1" applyFont="1" applyFill="1" applyAlignment="1">
      <alignment vertical="top"/>
    </xf>
    <xf numFmtId="49" fontId="25" fillId="2" borderId="2" xfId="10" applyNumberFormat="1" applyFont="1" applyFill="1" applyAlignment="1">
      <alignment vertical="center"/>
    </xf>
    <xf numFmtId="2" fontId="25" fillId="0" borderId="0" xfId="0" applyNumberFormat="1" applyFont="1"/>
    <xf numFmtId="0" fontId="26" fillId="0" borderId="2" xfId="0" applyFont="1" applyBorder="1" applyAlignment="1">
      <alignment horizontal="center"/>
    </xf>
    <xf numFmtId="0" fontId="27" fillId="0" borderId="2" xfId="0" applyFont="1" applyBorder="1"/>
    <xf numFmtId="0" fontId="23" fillId="0" borderId="10" xfId="6" applyFont="1" applyBorder="1" applyAlignment="1">
      <alignment horizontal="center" vertical="center" wrapText="1"/>
    </xf>
    <xf numFmtId="0" fontId="28" fillId="0" borderId="3" xfId="6" applyFont="1" applyBorder="1"/>
    <xf numFmtId="0" fontId="23" fillId="0" borderId="8" xfId="6" applyFont="1" applyBorder="1" applyAlignment="1">
      <alignment horizontal="center" vertical="center" wrapText="1"/>
    </xf>
    <xf numFmtId="0" fontId="28" fillId="0" borderId="5" xfId="6" applyFont="1" applyBorder="1"/>
    <xf numFmtId="0" fontId="23" fillId="0" borderId="15" xfId="6" applyFont="1" applyBorder="1" applyAlignment="1">
      <alignment horizontal="center" vertical="center" wrapText="1"/>
    </xf>
    <xf numFmtId="0" fontId="23" fillId="0" borderId="16" xfId="6" applyFont="1" applyBorder="1" applyAlignment="1">
      <alignment horizontal="center" vertical="center" wrapText="1"/>
    </xf>
    <xf numFmtId="0" fontId="23" fillId="0" borderId="17" xfId="6" applyFont="1" applyBorder="1" applyAlignment="1">
      <alignment horizontal="center" vertical="center" wrapText="1"/>
    </xf>
    <xf numFmtId="0" fontId="23" fillId="0" borderId="9" xfId="6" applyFont="1" applyBorder="1" applyAlignment="1">
      <alignment horizontal="center" vertical="center" wrapText="1"/>
    </xf>
    <xf numFmtId="0" fontId="28" fillId="0" borderId="6" xfId="6" applyFont="1" applyBorder="1"/>
    <xf numFmtId="165" fontId="24" fillId="0" borderId="7" xfId="6" applyNumberFormat="1" applyFont="1" applyBorder="1" applyAlignment="1">
      <alignment horizontal="center" vertical="center" wrapText="1"/>
    </xf>
    <xf numFmtId="0" fontId="28" fillId="0" borderId="10" xfId="6" applyFont="1" applyBorder="1"/>
    <xf numFmtId="165" fontId="24" fillId="0" borderId="10" xfId="6" applyNumberFormat="1" applyFont="1" applyBorder="1" applyAlignment="1">
      <alignment horizontal="center" vertical="center" wrapText="1"/>
    </xf>
    <xf numFmtId="0" fontId="28" fillId="0" borderId="4" xfId="6" applyFont="1" applyBorder="1"/>
  </cellXfs>
  <cellStyles count="31">
    <cellStyle name="Comma 2" xfId="8" xr:uid="{00000000-0005-0000-0000-000001000000}"/>
    <cellStyle name="Normal" xfId="0" builtinId="0"/>
    <cellStyle name="Normal 10" xfId="15" xr:uid="{00000000-0005-0000-0000-000003000000}"/>
    <cellStyle name="Normal 11" xfId="16" xr:uid="{00000000-0005-0000-0000-000004000000}"/>
    <cellStyle name="Normal 12" xfId="17" xr:uid="{00000000-0005-0000-0000-000005000000}"/>
    <cellStyle name="Normal 13" xfId="18" xr:uid="{00000000-0005-0000-0000-000006000000}"/>
    <cellStyle name="Normal 14" xfId="19" xr:uid="{00000000-0005-0000-0000-000007000000}"/>
    <cellStyle name="Normal 15" xfId="20" xr:uid="{00000000-0005-0000-0000-000008000000}"/>
    <cellStyle name="Normal 16" xfId="21" xr:uid="{00000000-0005-0000-0000-000009000000}"/>
    <cellStyle name="Normal 17" xfId="22" xr:uid="{00000000-0005-0000-0000-00000A000000}"/>
    <cellStyle name="Normal 18" xfId="23" xr:uid="{00000000-0005-0000-0000-00000B000000}"/>
    <cellStyle name="Normal 19" xfId="24" xr:uid="{00000000-0005-0000-0000-00000C000000}"/>
    <cellStyle name="Normal 2" xfId="1" xr:uid="{00000000-0005-0000-0000-00000D000000}"/>
    <cellStyle name="Normal 2 2" xfId="3" xr:uid="{00000000-0005-0000-0000-00000E000000}"/>
    <cellStyle name="Normal 2 3" xfId="10" xr:uid="{00000000-0005-0000-0000-00000F000000}"/>
    <cellStyle name="Normal 20" xfId="25" xr:uid="{00000000-0005-0000-0000-000010000000}"/>
    <cellStyle name="Normal 21" xfId="26" xr:uid="{AA484E66-F3F2-4FB7-9828-E1C636A9BA10}"/>
    <cellStyle name="Normal 22" xfId="27" xr:uid="{3B0C3C52-5321-4D4A-AFBE-BAF91436DDD9}"/>
    <cellStyle name="Normal 23" xfId="28" xr:uid="{39ACABDC-0D22-400D-A347-F31FA0DAF990}"/>
    <cellStyle name="Normal 24" xfId="29" xr:uid="{E85F1CB6-2CCA-4C64-8D71-AA361F62A152}"/>
    <cellStyle name="Normal 25" xfId="30" xr:uid="{EC9D682C-D257-4FB5-8684-EB76D10399F8}"/>
    <cellStyle name="Normal 3" xfId="4" xr:uid="{00000000-0005-0000-0000-000011000000}"/>
    <cellStyle name="Normal 3 2" xfId="7" xr:uid="{00000000-0005-0000-0000-000012000000}"/>
    <cellStyle name="Normal 3 2 2" xfId="12" xr:uid="{00000000-0005-0000-0000-000013000000}"/>
    <cellStyle name="Normal 4" xfId="6" xr:uid="{00000000-0005-0000-0000-000014000000}"/>
    <cellStyle name="Normal 5" xfId="5" xr:uid="{00000000-0005-0000-0000-000015000000}"/>
    <cellStyle name="Normal 5 2" xfId="11" xr:uid="{00000000-0005-0000-0000-000016000000}"/>
    <cellStyle name="Normal 6" xfId="9" xr:uid="{00000000-0005-0000-0000-000017000000}"/>
    <cellStyle name="Normal 7" xfId="2" xr:uid="{00000000-0005-0000-0000-000018000000}"/>
    <cellStyle name="Normal 8" xfId="13" xr:uid="{00000000-0005-0000-0000-000019000000}"/>
    <cellStyle name="Normal 9" xfId="14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704489</xdr:colOff>
      <xdr:row>50</xdr:row>
      <xdr:rowOff>146754</xdr:rowOff>
    </xdr:from>
    <xdr:ext cx="1013033" cy="898888"/>
    <xdr:pic>
      <xdr:nvPicPr>
        <xdr:cNvPr id="3" name="image2.png">
          <a:extLst>
            <a:ext uri="{FF2B5EF4-FFF2-40B4-BE49-F238E27FC236}">
              <a16:creationId xmlns:a16="http://schemas.microsoft.com/office/drawing/2014/main" id="{7DF3DBB1-5380-4C43-93C9-F224EF8102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077918" y="8480373"/>
          <a:ext cx="1013033" cy="898888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9"/>
  <dimension ref="A1:AJ993"/>
  <sheetViews>
    <sheetView showGridLines="0" tabSelected="1" zoomScale="63" zoomScaleNormal="85" zoomScaleSheetLayoutView="73" workbookViewId="0">
      <selection activeCell="A2" sqref="A2:M2"/>
    </sheetView>
  </sheetViews>
  <sheetFormatPr defaultColWidth="14.44140625" defaultRowHeight="15" customHeight="1" x14ac:dyDescent="0.3"/>
  <cols>
    <col min="1" max="1" width="6.6640625" style="3" bestFit="1" customWidth="1"/>
    <col min="2" max="2" width="40.44140625" style="3" bestFit="1" customWidth="1"/>
    <col min="3" max="12" width="14.77734375" style="3" customWidth="1"/>
    <col min="13" max="13" width="10.6640625" style="3" bestFit="1" customWidth="1"/>
    <col min="14" max="14" width="15.44140625" style="3" customWidth="1"/>
    <col min="15" max="15" width="14.88671875" style="3" customWidth="1"/>
    <col min="16" max="16" width="13.6640625" style="3" customWidth="1"/>
    <col min="17" max="18" width="18.6640625" style="3" customWidth="1"/>
    <col min="19" max="19" width="22.5546875" style="3" customWidth="1"/>
    <col min="20" max="20" width="18.33203125" style="3" customWidth="1"/>
    <col min="21" max="21" width="14" style="3" customWidth="1"/>
    <col min="22" max="22" width="19.33203125" style="3" customWidth="1"/>
    <col min="23" max="23" width="24.44140625" style="3" customWidth="1"/>
    <col min="24" max="24" width="22.6640625" style="3" customWidth="1"/>
    <col min="25" max="25" width="16.33203125" style="3" customWidth="1"/>
    <col min="26" max="26" width="24.5546875" style="3" customWidth="1"/>
    <col min="27" max="27" width="32.33203125" style="3" customWidth="1"/>
    <col min="28" max="28" width="9.33203125" style="3" customWidth="1"/>
    <col min="29" max="29" width="11.6640625" style="3" customWidth="1"/>
    <col min="30" max="30" width="16.44140625" style="3" customWidth="1"/>
    <col min="31" max="31" width="23.5546875" style="3" customWidth="1"/>
    <col min="32" max="32" width="12.44140625" style="3" customWidth="1"/>
    <col min="33" max="33" width="10.6640625" style="3" customWidth="1"/>
    <col min="34" max="34" width="9.5546875" style="3" customWidth="1"/>
    <col min="35" max="35" width="18" style="3" customWidth="1"/>
    <col min="36" max="36" width="18.6640625" style="3" customWidth="1"/>
    <col min="37" max="16384" width="14.44140625" style="3"/>
  </cols>
  <sheetData>
    <row r="1" spans="1:36" ht="20.25" customHeight="1" x14ac:dyDescent="0.3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O1" s="1"/>
      <c r="P1" s="1"/>
      <c r="Q1" s="1"/>
      <c r="R1" s="1"/>
      <c r="S1" s="1"/>
      <c r="T1" s="1"/>
      <c r="U1" s="1"/>
      <c r="V1" s="1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6" ht="15" customHeight="1" x14ac:dyDescent="0.35">
      <c r="A2" s="38" t="s">
        <v>51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O2" s="1"/>
      <c r="P2" s="1"/>
      <c r="Q2" s="1"/>
      <c r="R2" s="1"/>
      <c r="S2" s="1"/>
      <c r="T2" s="1"/>
      <c r="U2" s="1"/>
      <c r="V2" s="1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6" ht="12.75" customHeight="1" thickBo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4"/>
      <c r="O3" s="1"/>
      <c r="P3" s="1"/>
      <c r="Q3" s="1"/>
      <c r="R3" s="1"/>
      <c r="S3" s="1"/>
      <c r="T3" s="1"/>
      <c r="U3" s="1"/>
      <c r="V3" s="1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6" ht="16.5" customHeight="1" x14ac:dyDescent="0.3">
      <c r="A4" s="40" t="s">
        <v>2</v>
      </c>
      <c r="B4" s="42" t="s">
        <v>0</v>
      </c>
      <c r="C4" s="44" t="s">
        <v>5</v>
      </c>
      <c r="D4" s="45"/>
      <c r="E4" s="45"/>
      <c r="F4" s="45"/>
      <c r="G4" s="45"/>
      <c r="H4" s="45"/>
      <c r="I4" s="45"/>
      <c r="J4" s="45"/>
      <c r="K4" s="45"/>
      <c r="L4" s="46"/>
      <c r="M4" s="47" t="s">
        <v>6</v>
      </c>
      <c r="N4" s="6"/>
      <c r="O4" s="1"/>
      <c r="P4" s="1"/>
      <c r="Q4" s="1"/>
      <c r="R4" s="1"/>
      <c r="S4" s="1"/>
      <c r="T4" s="1"/>
      <c r="U4" s="1"/>
      <c r="V4" s="1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6" ht="16.5" customHeight="1" x14ac:dyDescent="0.3">
      <c r="A5" s="41"/>
      <c r="B5" s="43"/>
      <c r="C5" s="7"/>
      <c r="D5" s="7"/>
      <c r="E5" s="7"/>
      <c r="F5" s="7"/>
      <c r="G5" s="7"/>
      <c r="H5" s="7"/>
      <c r="I5" s="7"/>
      <c r="J5" s="7"/>
      <c r="K5" s="7"/>
      <c r="L5" s="7" t="s">
        <v>1</v>
      </c>
      <c r="M5" s="48"/>
      <c r="O5" s="1"/>
      <c r="P5" s="1"/>
      <c r="Q5" s="1"/>
      <c r="R5" s="1"/>
      <c r="S5" s="1"/>
      <c r="T5" s="1"/>
      <c r="U5" s="1"/>
      <c r="V5" s="1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6" ht="28.8" x14ac:dyDescent="0.3">
      <c r="A6" s="49">
        <v>1</v>
      </c>
      <c r="B6" s="8" t="s">
        <v>11</v>
      </c>
      <c r="C6" s="31"/>
      <c r="D6" s="31"/>
      <c r="E6" s="31"/>
      <c r="F6" s="31"/>
      <c r="G6" s="31"/>
      <c r="H6" s="31"/>
      <c r="I6" s="19"/>
      <c r="J6" s="19"/>
      <c r="K6" s="19">
        <v>0</v>
      </c>
      <c r="L6" s="19">
        <f>SUM(C6:K6)</f>
        <v>0</v>
      </c>
      <c r="M6" s="9" t="e">
        <f>L6/L13</f>
        <v>#DIV/0!</v>
      </c>
      <c r="N6" s="10"/>
      <c r="O6" s="1" t="s">
        <v>49</v>
      </c>
      <c r="P6" s="37">
        <f>C6</f>
        <v>0</v>
      </c>
      <c r="Q6" s="37">
        <f t="shared" ref="Q6:W6" si="0">D6</f>
        <v>0</v>
      </c>
      <c r="R6" s="37">
        <f t="shared" si="0"/>
        <v>0</v>
      </c>
      <c r="S6" s="37">
        <f t="shared" si="0"/>
        <v>0</v>
      </c>
      <c r="T6" s="37">
        <f t="shared" si="0"/>
        <v>0</v>
      </c>
      <c r="U6" s="37">
        <f t="shared" si="0"/>
        <v>0</v>
      </c>
      <c r="V6" s="37">
        <f t="shared" si="0"/>
        <v>0</v>
      </c>
      <c r="W6" s="37">
        <f t="shared" si="0"/>
        <v>0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6" ht="12" customHeight="1" x14ac:dyDescent="0.3">
      <c r="A7" s="50"/>
      <c r="B7" s="11" t="s">
        <v>12</v>
      </c>
      <c r="C7" s="18"/>
      <c r="D7" s="18"/>
      <c r="E7" s="18"/>
      <c r="F7" s="18"/>
      <c r="G7" s="18"/>
      <c r="H7" s="18"/>
      <c r="I7" s="18"/>
      <c r="J7" s="18"/>
      <c r="K7" s="18">
        <v>0</v>
      </c>
      <c r="L7" s="19">
        <f>SUM(C7:K7)</f>
        <v>0</v>
      </c>
      <c r="M7" s="12" t="e">
        <f>-L7/L13</f>
        <v>#DIV/0!</v>
      </c>
      <c r="N7" s="13"/>
      <c r="O7" s="1" t="s">
        <v>50</v>
      </c>
      <c r="P7" s="37">
        <f>C13</f>
        <v>0</v>
      </c>
      <c r="Q7" s="37">
        <f t="shared" ref="Q7:W7" si="1">D13</f>
        <v>0</v>
      </c>
      <c r="R7" s="37">
        <f t="shared" si="1"/>
        <v>0</v>
      </c>
      <c r="S7" s="37">
        <f t="shared" si="1"/>
        <v>0</v>
      </c>
      <c r="T7" s="37">
        <f t="shared" si="1"/>
        <v>0</v>
      </c>
      <c r="U7" s="37">
        <f t="shared" si="1"/>
        <v>0</v>
      </c>
      <c r="V7" s="37">
        <f t="shared" si="1"/>
        <v>0</v>
      </c>
      <c r="W7" s="37">
        <f t="shared" si="1"/>
        <v>0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6" ht="12.75" customHeight="1" x14ac:dyDescent="0.3">
      <c r="A8" s="50"/>
      <c r="B8" s="11" t="s">
        <v>27</v>
      </c>
      <c r="C8" s="18"/>
      <c r="D8" s="18"/>
      <c r="E8" s="18"/>
      <c r="F8" s="18"/>
      <c r="G8" s="18"/>
      <c r="H8" s="18"/>
      <c r="I8" s="18"/>
      <c r="J8" s="18">
        <v>0</v>
      </c>
      <c r="K8" s="18"/>
      <c r="L8" s="18">
        <f>SUM(C8:K8)</f>
        <v>0</v>
      </c>
      <c r="M8" s="14"/>
      <c r="N8" s="15"/>
      <c r="O8" s="1" t="s">
        <v>47</v>
      </c>
      <c r="P8" s="37">
        <f>-C7</f>
        <v>0</v>
      </c>
      <c r="Q8" s="37">
        <f t="shared" ref="Q8:W8" si="2">-D7</f>
        <v>0</v>
      </c>
      <c r="R8" s="37">
        <f t="shared" si="2"/>
        <v>0</v>
      </c>
      <c r="S8" s="37">
        <f t="shared" si="2"/>
        <v>0</v>
      </c>
      <c r="T8" s="37">
        <f t="shared" si="2"/>
        <v>0</v>
      </c>
      <c r="U8" s="37">
        <f t="shared" si="2"/>
        <v>0</v>
      </c>
      <c r="V8" s="37">
        <f t="shared" si="2"/>
        <v>0</v>
      </c>
      <c r="W8" s="37">
        <f t="shared" si="2"/>
        <v>0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6" ht="12.75" customHeight="1" x14ac:dyDescent="0.3">
      <c r="A9" s="50"/>
      <c r="B9" s="16" t="s">
        <v>13</v>
      </c>
      <c r="C9" s="19">
        <f t="shared" ref="C9:K9" si="3">SUM(C6:C8)</f>
        <v>0</v>
      </c>
      <c r="D9" s="19">
        <f t="shared" si="3"/>
        <v>0</v>
      </c>
      <c r="E9" s="19">
        <f t="shared" si="3"/>
        <v>0</v>
      </c>
      <c r="F9" s="19">
        <f t="shared" si="3"/>
        <v>0</v>
      </c>
      <c r="G9" s="19">
        <f>SUM(G6:G8)</f>
        <v>0</v>
      </c>
      <c r="H9" s="19">
        <f t="shared" si="3"/>
        <v>0</v>
      </c>
      <c r="I9" s="19">
        <f t="shared" si="3"/>
        <v>0</v>
      </c>
      <c r="J9" s="19">
        <f t="shared" si="3"/>
        <v>0</v>
      </c>
      <c r="K9" s="19">
        <f t="shared" si="3"/>
        <v>0</v>
      </c>
      <c r="L9" s="19">
        <f>SUM(L6:L8)</f>
        <v>0</v>
      </c>
      <c r="M9" s="9" t="e">
        <f>L9/L13</f>
        <v>#DIV/0!</v>
      </c>
      <c r="N9" s="15"/>
      <c r="O9" s="1" t="s">
        <v>46</v>
      </c>
      <c r="P9" s="37">
        <f>C18</f>
        <v>0</v>
      </c>
      <c r="Q9" s="37">
        <f t="shared" ref="Q9:W9" si="4">D18</f>
        <v>0</v>
      </c>
      <c r="R9" s="37">
        <f t="shared" si="4"/>
        <v>0</v>
      </c>
      <c r="S9" s="37">
        <f t="shared" si="4"/>
        <v>0</v>
      </c>
      <c r="T9" s="37">
        <f t="shared" si="4"/>
        <v>0</v>
      </c>
      <c r="U9" s="37">
        <f t="shared" si="4"/>
        <v>0</v>
      </c>
      <c r="V9" s="37">
        <f t="shared" si="4"/>
        <v>0</v>
      </c>
      <c r="W9" s="37">
        <f t="shared" si="4"/>
        <v>0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6" ht="12.75" customHeight="1" x14ac:dyDescent="0.3">
      <c r="A10" s="50"/>
      <c r="B10" s="11" t="s">
        <v>26</v>
      </c>
      <c r="C10" s="18">
        <f t="shared" ref="C10:K10" si="5">C9*5%</f>
        <v>0</v>
      </c>
      <c r="D10" s="18">
        <f t="shared" si="5"/>
        <v>0</v>
      </c>
      <c r="E10" s="18">
        <f t="shared" si="5"/>
        <v>0</v>
      </c>
      <c r="F10" s="18">
        <f t="shared" si="5"/>
        <v>0</v>
      </c>
      <c r="G10" s="18">
        <f>G9*5%</f>
        <v>0</v>
      </c>
      <c r="H10" s="18">
        <f t="shared" si="5"/>
        <v>0</v>
      </c>
      <c r="I10" s="18">
        <f t="shared" si="5"/>
        <v>0</v>
      </c>
      <c r="J10" s="18">
        <f t="shared" si="5"/>
        <v>0</v>
      </c>
      <c r="K10" s="18">
        <f t="shared" si="5"/>
        <v>0</v>
      </c>
      <c r="L10" s="18">
        <f>L9*5%</f>
        <v>0</v>
      </c>
      <c r="M10" s="9" t="e">
        <f>L10/L13</f>
        <v>#DIV/0!</v>
      </c>
      <c r="N10" s="10"/>
      <c r="O10" s="1" t="s">
        <v>48</v>
      </c>
      <c r="P10" s="37">
        <f>C23</f>
        <v>0</v>
      </c>
      <c r="Q10" s="37">
        <f t="shared" ref="Q10:W10" si="6">D23</f>
        <v>0</v>
      </c>
      <c r="R10" s="37">
        <f t="shared" si="6"/>
        <v>0</v>
      </c>
      <c r="S10" s="37">
        <f t="shared" si="6"/>
        <v>0</v>
      </c>
      <c r="T10" s="37">
        <f t="shared" si="6"/>
        <v>0</v>
      </c>
      <c r="U10" s="37">
        <f t="shared" si="6"/>
        <v>0</v>
      </c>
      <c r="V10" s="37">
        <f t="shared" si="6"/>
        <v>0</v>
      </c>
      <c r="W10" s="37">
        <f t="shared" si="6"/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2.75" customHeight="1" x14ac:dyDescent="0.3">
      <c r="A11" s="50"/>
      <c r="B11" s="11" t="s">
        <v>28</v>
      </c>
      <c r="C11" s="18"/>
      <c r="D11" s="18"/>
      <c r="E11" s="18"/>
      <c r="F11" s="19"/>
      <c r="G11" s="19"/>
      <c r="H11" s="19"/>
      <c r="I11" s="19"/>
      <c r="J11" s="19"/>
      <c r="K11" s="19"/>
      <c r="L11" s="18">
        <f>SUM(C11:K11)</f>
        <v>0</v>
      </c>
      <c r="M11" s="12"/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2.75" customHeight="1" x14ac:dyDescent="0.3">
      <c r="A12" s="50"/>
      <c r="B12" s="11" t="s">
        <v>29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f>C12+D12+E12+F12+G12+H12+I12+J12+K12</f>
        <v>0</v>
      </c>
      <c r="M12" s="12" t="e">
        <f>L12/L13</f>
        <v>#DIV/0!</v>
      </c>
      <c r="N12" s="1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2.75" customHeight="1" x14ac:dyDescent="0.3">
      <c r="A13" s="50"/>
      <c r="B13" s="16" t="s">
        <v>25</v>
      </c>
      <c r="C13" s="19">
        <f>C9+C10+C11+C12</f>
        <v>0</v>
      </c>
      <c r="D13" s="19">
        <f t="shared" ref="D13:K13" si="7">D9+D10+D11+D12</f>
        <v>0</v>
      </c>
      <c r="E13" s="19">
        <f t="shared" si="7"/>
        <v>0</v>
      </c>
      <c r="F13" s="19">
        <f t="shared" si="7"/>
        <v>0</v>
      </c>
      <c r="G13" s="19">
        <f>G9+G10+G11+G12</f>
        <v>0</v>
      </c>
      <c r="H13" s="19">
        <f t="shared" si="7"/>
        <v>0</v>
      </c>
      <c r="I13" s="19">
        <f t="shared" si="7"/>
        <v>0</v>
      </c>
      <c r="J13" s="19">
        <f t="shared" si="7"/>
        <v>0</v>
      </c>
      <c r="K13" s="19">
        <f t="shared" si="7"/>
        <v>0</v>
      </c>
      <c r="L13" s="19">
        <f>L9+L10+L11+L12</f>
        <v>0</v>
      </c>
      <c r="M13" s="12" t="e">
        <f>L13/$L$13</f>
        <v>#DIV/0!</v>
      </c>
      <c r="N13" s="1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2.75" customHeight="1" x14ac:dyDescent="0.3">
      <c r="A14" s="20"/>
      <c r="B14" s="11" t="s">
        <v>7</v>
      </c>
      <c r="C14" s="18"/>
      <c r="D14" s="18"/>
      <c r="E14" s="18"/>
      <c r="F14" s="18"/>
      <c r="G14" s="18"/>
      <c r="H14" s="18"/>
      <c r="I14" s="18"/>
      <c r="J14" s="18"/>
      <c r="K14" s="18">
        <v>0</v>
      </c>
      <c r="L14" s="18">
        <f>SUM(C14:K14)</f>
        <v>0</v>
      </c>
      <c r="M14" s="9" t="e">
        <f>L14/L13</f>
        <v>#DIV/0!</v>
      </c>
      <c r="N14" s="1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2.75" customHeight="1" x14ac:dyDescent="0.3">
      <c r="A15" s="20"/>
      <c r="B15" s="16" t="s">
        <v>8</v>
      </c>
      <c r="C15" s="19">
        <f t="shared" ref="C15:K15" si="8">C14-C13</f>
        <v>0</v>
      </c>
      <c r="D15" s="19">
        <f t="shared" si="8"/>
        <v>0</v>
      </c>
      <c r="E15" s="19">
        <f t="shared" si="8"/>
        <v>0</v>
      </c>
      <c r="F15" s="19">
        <f t="shared" si="8"/>
        <v>0</v>
      </c>
      <c r="G15" s="19">
        <f t="shared" si="8"/>
        <v>0</v>
      </c>
      <c r="H15" s="19">
        <f t="shared" si="8"/>
        <v>0</v>
      </c>
      <c r="I15" s="19">
        <f t="shared" si="8"/>
        <v>0</v>
      </c>
      <c r="J15" s="19">
        <f t="shared" si="8"/>
        <v>0</v>
      </c>
      <c r="K15" s="19">
        <f t="shared" si="8"/>
        <v>0</v>
      </c>
      <c r="L15" s="19">
        <f>L14-L13</f>
        <v>0</v>
      </c>
      <c r="M15" s="12" t="e">
        <f>L15/$L$13</f>
        <v>#DIV/0!</v>
      </c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2.75" customHeight="1" x14ac:dyDescent="0.3">
      <c r="A16" s="20"/>
      <c r="B16" s="11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21"/>
      <c r="N16" s="1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2.75" customHeight="1" x14ac:dyDescent="0.3">
      <c r="A17" s="51">
        <v>2</v>
      </c>
      <c r="B17" s="16" t="s">
        <v>14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1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2.75" customHeight="1" x14ac:dyDescent="0.3">
      <c r="A18" s="50"/>
      <c r="B18" s="11" t="s">
        <v>30</v>
      </c>
      <c r="C18" s="22"/>
      <c r="D18" s="18"/>
      <c r="E18" s="18"/>
      <c r="F18" s="18"/>
      <c r="G18" s="18"/>
      <c r="H18" s="18"/>
      <c r="I18" s="18"/>
      <c r="J18" s="18"/>
      <c r="K18" s="18">
        <v>0</v>
      </c>
      <c r="L18" s="19">
        <f>SUM(C18:K18)</f>
        <v>0</v>
      </c>
      <c r="M18" s="12" t="e">
        <f>L18/$L$13</f>
        <v>#DIV/0!</v>
      </c>
      <c r="N18" s="1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2.75" customHeight="1" x14ac:dyDescent="0.3">
      <c r="A19" s="50"/>
      <c r="B19" s="11" t="s">
        <v>31</v>
      </c>
      <c r="C19" s="18">
        <v>0</v>
      </c>
      <c r="D19" s="18"/>
      <c r="E19" s="18"/>
      <c r="F19" s="18"/>
      <c r="G19" s="18"/>
      <c r="H19" s="18"/>
      <c r="I19" s="18"/>
      <c r="J19" s="18"/>
      <c r="K19" s="18"/>
      <c r="L19" s="19">
        <f t="shared" ref="L19:L27" si="9">SUM(C19:K19)</f>
        <v>0</v>
      </c>
      <c r="M19" s="12"/>
      <c r="N19" s="1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2.75" customHeight="1" x14ac:dyDescent="0.3">
      <c r="A20" s="50"/>
      <c r="B20" s="11" t="s">
        <v>32</v>
      </c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9"/>
        <v>0</v>
      </c>
      <c r="M20" s="12"/>
      <c r="N20" s="1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2.75" customHeight="1" x14ac:dyDescent="0.3">
      <c r="A21" s="50"/>
      <c r="B21" s="11" t="s">
        <v>33</v>
      </c>
      <c r="C21" s="18">
        <v>0</v>
      </c>
      <c r="D21" s="18"/>
      <c r="E21" s="18"/>
      <c r="F21" s="18"/>
      <c r="G21" s="18"/>
      <c r="H21" s="18"/>
      <c r="I21" s="18"/>
      <c r="J21" s="18"/>
      <c r="K21" s="18"/>
      <c r="L21" s="19">
        <f t="shared" si="9"/>
        <v>0</v>
      </c>
      <c r="M21" s="12" t="e">
        <f>L21/$L$13</f>
        <v>#DIV/0!</v>
      </c>
      <c r="N21" s="1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2.75" customHeight="1" x14ac:dyDescent="0.3">
      <c r="A22" s="50"/>
      <c r="B22" s="11" t="s">
        <v>34</v>
      </c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9"/>
        <v>0</v>
      </c>
      <c r="M22" s="12" t="e">
        <f>L22/$L$13</f>
        <v>#DIV/0!</v>
      </c>
      <c r="N22" s="1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2.75" customHeight="1" x14ac:dyDescent="0.3">
      <c r="A23" s="50"/>
      <c r="B23" s="11" t="s">
        <v>35</v>
      </c>
      <c r="C23" s="18"/>
      <c r="D23" s="18"/>
      <c r="E23" s="18"/>
      <c r="F23" s="18"/>
      <c r="G23" s="18"/>
      <c r="H23" s="18"/>
      <c r="I23" s="18"/>
      <c r="J23" s="18"/>
      <c r="K23" s="18">
        <v>0</v>
      </c>
      <c r="L23" s="19">
        <f>SUM(C23:K23)</f>
        <v>0</v>
      </c>
      <c r="M23" s="12" t="e">
        <f>L23/$L$13</f>
        <v>#DIV/0!</v>
      </c>
      <c r="N23" s="1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2.75" customHeight="1" x14ac:dyDescent="0.3">
      <c r="A24" s="50"/>
      <c r="B24" s="11" t="s">
        <v>36</v>
      </c>
      <c r="C24" s="18"/>
      <c r="D24" s="18"/>
      <c r="E24" s="18"/>
      <c r="F24" s="18"/>
      <c r="G24" s="18"/>
      <c r="H24" s="18"/>
      <c r="I24" s="18"/>
      <c r="J24" s="18"/>
      <c r="K24" s="18"/>
      <c r="L24" s="19">
        <f t="shared" si="9"/>
        <v>0</v>
      </c>
      <c r="M24" s="12" t="e">
        <f>L24/$L$13</f>
        <v>#DIV/0!</v>
      </c>
      <c r="N24" s="1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2.75" customHeight="1" x14ac:dyDescent="0.3">
      <c r="A25" s="50"/>
      <c r="B25" s="11" t="s">
        <v>37</v>
      </c>
      <c r="C25" s="18"/>
      <c r="D25" s="18"/>
      <c r="E25" s="18"/>
      <c r="F25" s="18"/>
      <c r="G25" s="18"/>
      <c r="H25" s="18"/>
      <c r="I25" s="18"/>
      <c r="J25" s="18"/>
      <c r="K25" s="18"/>
      <c r="L25" s="19">
        <f t="shared" si="9"/>
        <v>0</v>
      </c>
      <c r="M25" s="12"/>
      <c r="N25" s="1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2.75" customHeight="1" x14ac:dyDescent="0.3">
      <c r="A26" s="50"/>
      <c r="B26" s="11" t="s">
        <v>38</v>
      </c>
      <c r="C26" s="18"/>
      <c r="D26" s="18"/>
      <c r="E26" s="18"/>
      <c r="F26" s="18"/>
      <c r="G26" s="18"/>
      <c r="H26" s="18"/>
      <c r="I26" s="18"/>
      <c r="J26" s="18"/>
      <c r="K26" s="18"/>
      <c r="L26" s="19">
        <f t="shared" si="9"/>
        <v>0</v>
      </c>
      <c r="M26" s="12"/>
      <c r="N26" s="1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2.75" customHeight="1" x14ac:dyDescent="0.3">
      <c r="A27" s="50"/>
      <c r="B27" s="11" t="s">
        <v>39</v>
      </c>
      <c r="C27" s="19"/>
      <c r="D27" s="19"/>
      <c r="E27" s="19"/>
      <c r="F27" s="19"/>
      <c r="G27" s="19"/>
      <c r="H27" s="19"/>
      <c r="I27" s="19"/>
      <c r="J27" s="19"/>
      <c r="K27" s="19"/>
      <c r="L27" s="19">
        <f t="shared" si="9"/>
        <v>0</v>
      </c>
      <c r="M27" s="12"/>
      <c r="N27" s="1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2.75" customHeight="1" x14ac:dyDescent="0.3">
      <c r="A28" s="50"/>
      <c r="B28" s="16" t="s">
        <v>15</v>
      </c>
      <c r="C28" s="19">
        <f t="shared" ref="C28:K28" si="10">SUM(C18:C27)</f>
        <v>0</v>
      </c>
      <c r="D28" s="19">
        <f t="shared" si="10"/>
        <v>0</v>
      </c>
      <c r="E28" s="19">
        <f>SUM(E18:E27)</f>
        <v>0</v>
      </c>
      <c r="F28" s="19">
        <f>SUM(F18:F27)</f>
        <v>0</v>
      </c>
      <c r="G28" s="19">
        <f>SUM(G18:G27)</f>
        <v>0</v>
      </c>
      <c r="H28" s="19">
        <f t="shared" si="10"/>
        <v>0</v>
      </c>
      <c r="I28" s="19">
        <f>SUM(I18:I27)</f>
        <v>0</v>
      </c>
      <c r="J28" s="19">
        <f t="shared" si="10"/>
        <v>0</v>
      </c>
      <c r="K28" s="19">
        <f t="shared" si="10"/>
        <v>0</v>
      </c>
      <c r="L28" s="19">
        <f>SUM(C28:K28)</f>
        <v>0</v>
      </c>
      <c r="M28" s="12" t="e">
        <f>L28/$L$13</f>
        <v>#DIV/0!</v>
      </c>
      <c r="N28" s="1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2.75" customHeight="1" x14ac:dyDescent="0.3">
      <c r="A29" s="20"/>
      <c r="B29" s="11"/>
      <c r="C29" s="18"/>
      <c r="D29" s="18"/>
      <c r="E29" s="18"/>
      <c r="F29" s="18"/>
      <c r="G29" s="18"/>
      <c r="H29" s="18"/>
      <c r="I29" s="18"/>
      <c r="J29" s="18"/>
      <c r="K29" s="18"/>
      <c r="L29" s="19"/>
      <c r="M29" s="21"/>
      <c r="N29" s="1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2.75" customHeight="1" x14ac:dyDescent="0.3">
      <c r="A30" s="51">
        <v>3</v>
      </c>
      <c r="B30" s="16" t="s">
        <v>16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  <c r="M30" s="21"/>
      <c r="N30" s="10"/>
      <c r="O30" s="1"/>
      <c r="P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.75" customHeight="1" x14ac:dyDescent="0.3">
      <c r="A31" s="50"/>
      <c r="B31" s="11" t="s">
        <v>40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9">
        <f>SUM(C31:K31)</f>
        <v>0</v>
      </c>
      <c r="M31" s="23" t="e">
        <f>L31/$L$13</f>
        <v>#DIV/0!</v>
      </c>
      <c r="N31" s="10"/>
      <c r="O31" s="1"/>
      <c r="P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2.75" customHeight="1" x14ac:dyDescent="0.3">
      <c r="A32" s="50"/>
      <c r="B32" s="11" t="s">
        <v>41</v>
      </c>
      <c r="C32" s="18"/>
      <c r="D32" s="18"/>
      <c r="E32" s="18"/>
      <c r="F32" s="18"/>
      <c r="G32" s="18"/>
      <c r="H32" s="18"/>
      <c r="I32" s="18"/>
      <c r="J32" s="18"/>
      <c r="K32" s="18">
        <v>0</v>
      </c>
      <c r="L32" s="19">
        <f>SUM(C32:K32)</f>
        <v>0</v>
      </c>
      <c r="M32" s="12" t="e">
        <f>L32/L13</f>
        <v>#DIV/0!</v>
      </c>
      <c r="N32" s="1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2.75" customHeight="1" x14ac:dyDescent="0.3">
      <c r="A33" s="50"/>
      <c r="B33" s="11" t="s">
        <v>42</v>
      </c>
      <c r="C33" s="18"/>
      <c r="D33" s="18"/>
      <c r="E33" s="18"/>
      <c r="F33" s="18"/>
      <c r="G33" s="18"/>
      <c r="H33" s="18"/>
      <c r="I33" s="18"/>
      <c r="J33" s="18"/>
      <c r="K33" s="18"/>
      <c r="L33" s="19">
        <f>SUM(C33:K33)</f>
        <v>0</v>
      </c>
      <c r="M33" s="12" t="e">
        <f>L33/$L$13</f>
        <v>#DIV/0!</v>
      </c>
      <c r="N33" s="17"/>
      <c r="O33" s="1"/>
      <c r="P33" s="1"/>
      <c r="Q33" s="1"/>
      <c r="R33" s="1"/>
      <c r="S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2.75" customHeight="1" x14ac:dyDescent="0.3">
      <c r="A34" s="50"/>
      <c r="B34" s="16" t="s">
        <v>17</v>
      </c>
      <c r="C34" s="19">
        <f t="shared" ref="C34:D34" si="11">SUM(C31:C33)</f>
        <v>0</v>
      </c>
      <c r="D34" s="19">
        <f t="shared" si="11"/>
        <v>0</v>
      </c>
      <c r="E34" s="19">
        <f>SUM(E31:E33)</f>
        <v>0</v>
      </c>
      <c r="F34" s="19">
        <f t="shared" ref="F34:K34" si="12">SUM(F31:F33)</f>
        <v>0</v>
      </c>
      <c r="G34" s="19">
        <f>SUM(G31:G33)</f>
        <v>0</v>
      </c>
      <c r="H34" s="19">
        <f>SUM(H31:H33)</f>
        <v>0</v>
      </c>
      <c r="I34" s="19">
        <f t="shared" si="12"/>
        <v>0</v>
      </c>
      <c r="J34" s="19">
        <f t="shared" si="12"/>
        <v>0</v>
      </c>
      <c r="K34" s="19">
        <f t="shared" si="12"/>
        <v>0</v>
      </c>
      <c r="L34" s="19">
        <f>SUM(C34:K34)</f>
        <v>0</v>
      </c>
      <c r="M34" s="12" t="e">
        <f>L34/$L$13</f>
        <v>#DIV/0!</v>
      </c>
      <c r="N34" s="17"/>
      <c r="O34" s="1"/>
      <c r="P34" s="1"/>
      <c r="Q34" s="1"/>
      <c r="R34" s="1"/>
      <c r="S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2.75" customHeight="1" x14ac:dyDescent="0.3">
      <c r="A35" s="34"/>
      <c r="B35" s="16"/>
      <c r="C35" s="18"/>
      <c r="D35" s="18"/>
      <c r="E35" s="18"/>
      <c r="F35" s="18"/>
      <c r="G35" s="18"/>
      <c r="H35" s="18"/>
      <c r="I35" s="18"/>
      <c r="J35" s="18"/>
      <c r="K35" s="18"/>
      <c r="L35" s="19"/>
      <c r="M35" s="21"/>
      <c r="N35" s="10"/>
      <c r="O35" s="1"/>
      <c r="P35" s="1"/>
      <c r="Q35" s="1"/>
      <c r="R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2.75" customHeight="1" x14ac:dyDescent="0.3">
      <c r="A36" s="51">
        <v>4</v>
      </c>
      <c r="B36" s="16" t="s">
        <v>18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21"/>
      <c r="N36" s="10"/>
      <c r="O36" s="1"/>
      <c r="P36" s="1"/>
      <c r="Q36" s="1"/>
      <c r="R36" s="1"/>
      <c r="U36" s="1"/>
      <c r="V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customHeight="1" x14ac:dyDescent="0.3">
      <c r="A37" s="50"/>
      <c r="B37" s="11" t="s">
        <v>43</v>
      </c>
      <c r="C37" s="18"/>
      <c r="D37" s="18"/>
      <c r="E37" s="18"/>
      <c r="F37" s="18"/>
      <c r="G37" s="18"/>
      <c r="H37" s="18"/>
      <c r="I37" s="18"/>
      <c r="J37" s="18"/>
      <c r="K37" s="18"/>
      <c r="L37" s="18">
        <f>SUM(C37:K37)</f>
        <v>0</v>
      </c>
      <c r="M37" s="12" t="e">
        <f>L37/$L$13</f>
        <v>#DIV/0!</v>
      </c>
      <c r="N37" s="17"/>
      <c r="O37" s="1"/>
      <c r="P37" s="1"/>
      <c r="Q37" s="1"/>
      <c r="R37" s="1"/>
      <c r="U37" s="1"/>
      <c r="V37" s="1"/>
      <c r="W37" s="1"/>
      <c r="X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2.75" customHeight="1" x14ac:dyDescent="0.3">
      <c r="A38" s="50"/>
      <c r="B38" s="11" t="s">
        <v>19</v>
      </c>
      <c r="C38" s="18"/>
      <c r="D38" s="18"/>
      <c r="E38" s="18"/>
      <c r="F38" s="18"/>
      <c r="G38" s="18"/>
      <c r="H38" s="18"/>
      <c r="I38" s="18"/>
      <c r="J38" s="18"/>
      <c r="K38" s="18"/>
      <c r="L38" s="18">
        <f>SUM(C38:K38)</f>
        <v>0</v>
      </c>
      <c r="M38" s="12" t="e">
        <f>L38/$L$13</f>
        <v>#DIV/0!</v>
      </c>
      <c r="N38" s="1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2.75" customHeight="1" x14ac:dyDescent="0.3">
      <c r="A39" s="50"/>
      <c r="B39" s="11" t="s">
        <v>20</v>
      </c>
      <c r="C39" s="18"/>
      <c r="D39" s="18"/>
      <c r="E39" s="18"/>
      <c r="F39" s="18"/>
      <c r="G39" s="18"/>
      <c r="H39" s="18"/>
      <c r="I39" s="18"/>
      <c r="J39" s="18"/>
      <c r="K39" s="18"/>
      <c r="L39" s="18">
        <f>SUM(C39:K39)</f>
        <v>0</v>
      </c>
      <c r="M39" s="12" t="e">
        <f>L39/$L$13</f>
        <v>#DIV/0!</v>
      </c>
      <c r="N39" s="1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2.75" customHeight="1" x14ac:dyDescent="0.3">
      <c r="A40" s="50"/>
      <c r="B40" s="16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21"/>
      <c r="N40" s="10"/>
      <c r="O40" s="1"/>
      <c r="P40" s="1"/>
      <c r="Q40" s="1"/>
      <c r="R40" s="1"/>
      <c r="S40" s="1"/>
      <c r="T40" s="1"/>
      <c r="U40" s="1"/>
      <c r="V40" s="1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6" ht="12.75" customHeight="1" x14ac:dyDescent="0.3">
      <c r="A41" s="50"/>
      <c r="B41" s="16" t="s">
        <v>21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21"/>
      <c r="N41" s="10"/>
      <c r="O41" s="1"/>
      <c r="P41" s="1"/>
      <c r="Q41" s="1"/>
      <c r="R41" s="1"/>
      <c r="S41" s="1"/>
      <c r="T41" s="1"/>
      <c r="U41" s="1"/>
      <c r="V41" s="1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6" ht="12.75" customHeight="1" x14ac:dyDescent="0.3">
      <c r="A42" s="50"/>
      <c r="B42" s="11" t="s">
        <v>44</v>
      </c>
      <c r="C42" s="18"/>
      <c r="D42" s="18"/>
      <c r="E42" s="18"/>
      <c r="F42" s="18"/>
      <c r="G42" s="18"/>
      <c r="H42" s="18"/>
      <c r="I42" s="18"/>
      <c r="J42" s="18"/>
      <c r="K42" s="18">
        <v>0</v>
      </c>
      <c r="L42" s="18">
        <f>SUM(C42:K42)</f>
        <v>0</v>
      </c>
      <c r="M42" s="12" t="e">
        <f>L42/$L$13</f>
        <v>#DIV/0!</v>
      </c>
      <c r="N42" s="17"/>
      <c r="O42" s="1"/>
      <c r="P42" s="1"/>
      <c r="Q42" s="1"/>
      <c r="R42" s="1"/>
      <c r="S42" s="1"/>
      <c r="T42" s="1"/>
      <c r="U42" s="1"/>
      <c r="V42" s="1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6" ht="12.75" customHeight="1" x14ac:dyDescent="0.3">
      <c r="A43" s="50"/>
      <c r="B43" s="16" t="s">
        <v>22</v>
      </c>
      <c r="C43" s="19">
        <f>SUM(C37:C42)</f>
        <v>0</v>
      </c>
      <c r="D43" s="19">
        <f t="shared" ref="D43:L43" si="13">SUM(D37:D42)</f>
        <v>0</v>
      </c>
      <c r="E43" s="19">
        <f t="shared" si="13"/>
        <v>0</v>
      </c>
      <c r="F43" s="19">
        <f t="shared" si="13"/>
        <v>0</v>
      </c>
      <c r="G43" s="19">
        <f t="shared" si="13"/>
        <v>0</v>
      </c>
      <c r="H43" s="19">
        <f>SUM(H37:H42)</f>
        <v>0</v>
      </c>
      <c r="I43" s="19">
        <f t="shared" si="13"/>
        <v>0</v>
      </c>
      <c r="J43" s="19">
        <f t="shared" si="13"/>
        <v>0</v>
      </c>
      <c r="K43" s="19">
        <f t="shared" si="13"/>
        <v>0</v>
      </c>
      <c r="L43" s="19">
        <f t="shared" si="13"/>
        <v>0</v>
      </c>
      <c r="M43" s="12" t="e">
        <f>L43/$L$13</f>
        <v>#DIV/0!</v>
      </c>
      <c r="N43" s="17"/>
      <c r="O43" s="1"/>
      <c r="P43" s="1"/>
      <c r="Q43" s="1"/>
      <c r="R43" s="1"/>
      <c r="S43" s="1"/>
      <c r="T43" s="1"/>
      <c r="U43" s="1"/>
      <c r="V43" s="1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6" ht="12.75" customHeight="1" x14ac:dyDescent="0.3">
      <c r="A44" s="20"/>
      <c r="B44" s="16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21"/>
      <c r="N44" s="10"/>
      <c r="O44" s="1"/>
      <c r="P44" s="1"/>
      <c r="Q44" s="1"/>
      <c r="R44" s="1"/>
      <c r="S44" s="1"/>
      <c r="U44" s="1"/>
      <c r="V44" s="1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6" ht="12.75" customHeight="1" x14ac:dyDescent="0.3">
      <c r="A45" s="51">
        <v>5</v>
      </c>
      <c r="B45" s="16" t="s">
        <v>9</v>
      </c>
      <c r="C45" s="19">
        <f t="shared" ref="C45:K45" si="14">C13-C28+C34+C43</f>
        <v>0</v>
      </c>
      <c r="D45" s="19">
        <f t="shared" si="14"/>
        <v>0</v>
      </c>
      <c r="E45" s="19">
        <f>E13-E28+E34+E43</f>
        <v>0</v>
      </c>
      <c r="F45" s="19">
        <f>F13-F28+F34+F43</f>
        <v>0</v>
      </c>
      <c r="G45" s="19">
        <f>G13-G28+G34+G43</f>
        <v>0</v>
      </c>
      <c r="H45" s="19">
        <f>H13-H28+H34+H43</f>
        <v>0</v>
      </c>
      <c r="I45" s="19">
        <f>I13-I28+I34+I43</f>
        <v>0</v>
      </c>
      <c r="J45" s="19">
        <f t="shared" si="14"/>
        <v>0</v>
      </c>
      <c r="K45" s="19">
        <f t="shared" si="14"/>
        <v>0</v>
      </c>
      <c r="L45" s="19">
        <f>L13-L28+L34+L43</f>
        <v>0</v>
      </c>
      <c r="M45" s="12" t="e">
        <f t="shared" ref="M45:M50" si="15">L45/$L$13</f>
        <v>#DIV/0!</v>
      </c>
      <c r="N45" s="17"/>
      <c r="O45" s="1"/>
      <c r="P45" s="1"/>
      <c r="Q45" s="1"/>
      <c r="R45" s="1"/>
      <c r="S45" s="1"/>
      <c r="U45" s="1"/>
      <c r="V45" s="1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6" ht="12.75" customHeight="1" x14ac:dyDescent="0.3">
      <c r="A46" s="50"/>
      <c r="B46" s="11" t="s">
        <v>45</v>
      </c>
      <c r="C46" s="18"/>
      <c r="D46" s="18"/>
      <c r="E46" s="18"/>
      <c r="F46" s="18"/>
      <c r="G46" s="18"/>
      <c r="H46" s="18"/>
      <c r="I46" s="18"/>
      <c r="J46" s="18"/>
      <c r="K46" s="18"/>
      <c r="L46" s="18">
        <f>SUM(C46:K46)</f>
        <v>0</v>
      </c>
      <c r="M46" s="12" t="e">
        <f t="shared" si="15"/>
        <v>#DIV/0!</v>
      </c>
      <c r="N46" s="17"/>
      <c r="O46" s="1"/>
      <c r="P46" s="1"/>
      <c r="Q46" s="1"/>
      <c r="R46" s="1"/>
      <c r="S46" s="1"/>
      <c r="U46" s="1"/>
      <c r="V46" s="1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6" ht="12.75" customHeight="1" x14ac:dyDescent="0.3">
      <c r="A47" s="50"/>
      <c r="B47" s="11" t="s">
        <v>23</v>
      </c>
      <c r="C47" s="18"/>
      <c r="D47" s="18"/>
      <c r="E47" s="18"/>
      <c r="F47" s="18"/>
      <c r="G47" s="18"/>
      <c r="H47" s="18"/>
      <c r="I47" s="18"/>
      <c r="J47" s="18"/>
      <c r="K47" s="18"/>
      <c r="L47" s="18">
        <f>SUM(C47:K47)</f>
        <v>0</v>
      </c>
      <c r="M47" s="12" t="e">
        <f t="shared" si="15"/>
        <v>#DIV/0!</v>
      </c>
      <c r="N47" s="17"/>
      <c r="O47" s="1"/>
      <c r="P47" s="1"/>
      <c r="Q47" s="1"/>
      <c r="R47" s="1"/>
      <c r="S47" s="1"/>
      <c r="T47" s="1"/>
      <c r="U47" s="1"/>
      <c r="V47" s="1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6" ht="12.75" customHeight="1" x14ac:dyDescent="0.3">
      <c r="A48" s="50"/>
      <c r="B48" s="11" t="s">
        <v>24</v>
      </c>
      <c r="C48" s="18"/>
      <c r="D48" s="18"/>
      <c r="E48" s="18"/>
      <c r="F48" s="18"/>
      <c r="G48" s="18"/>
      <c r="H48" s="18"/>
      <c r="I48" s="18"/>
      <c r="J48" s="18"/>
      <c r="K48" s="18"/>
      <c r="L48" s="18">
        <f>SUM(C48:K48)</f>
        <v>0</v>
      </c>
      <c r="M48" s="12" t="e">
        <f t="shared" si="15"/>
        <v>#DIV/0!</v>
      </c>
      <c r="N48" s="17"/>
      <c r="O48" s="1"/>
      <c r="P48" s="1"/>
      <c r="Q48" s="1"/>
      <c r="R48" s="1"/>
      <c r="S48" s="1"/>
      <c r="T48" s="1"/>
      <c r="U48" s="1"/>
      <c r="V48" s="1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ht="12.75" customHeight="1" x14ac:dyDescent="0.3">
      <c r="A49" s="50"/>
      <c r="B49" s="11" t="s">
        <v>10</v>
      </c>
      <c r="C49" s="22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32">
        <v>0</v>
      </c>
      <c r="K49" s="22">
        <v>0</v>
      </c>
      <c r="L49" s="18">
        <f>SUM(C49:K49)</f>
        <v>0</v>
      </c>
      <c r="M49" s="12" t="e">
        <f t="shared" si="15"/>
        <v>#DIV/0!</v>
      </c>
      <c r="N49" s="17"/>
      <c r="O49" s="1"/>
      <c r="P49" s="1"/>
      <c r="Q49" s="1"/>
      <c r="R49" s="1"/>
      <c r="S49" s="1"/>
      <c r="T49" s="1"/>
      <c r="U49" s="1"/>
      <c r="V49" s="1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ht="12.75" customHeight="1" thickBot="1" x14ac:dyDescent="0.35">
      <c r="A50" s="52"/>
      <c r="B50" s="24" t="s">
        <v>3</v>
      </c>
      <c r="C50" s="33">
        <f t="shared" ref="C50:K50" si="16">C49-C46-C47-C48-C45</f>
        <v>0</v>
      </c>
      <c r="D50" s="33">
        <f t="shared" si="16"/>
        <v>0</v>
      </c>
      <c r="E50" s="33">
        <f>E49-E46-E47-E48-E45</f>
        <v>0</v>
      </c>
      <c r="F50" s="33">
        <f>F49-F46-F47-F48-F45</f>
        <v>0</v>
      </c>
      <c r="G50" s="33">
        <f>G49-G46-G47-G48-G45</f>
        <v>0</v>
      </c>
      <c r="H50" s="33">
        <f>H49-H46-H47-H48-H45</f>
        <v>0</v>
      </c>
      <c r="I50" s="33">
        <f>IFERROR(I49-I48-I47-I46-I45,0)</f>
        <v>0</v>
      </c>
      <c r="J50" s="33">
        <f t="shared" si="16"/>
        <v>0</v>
      </c>
      <c r="K50" s="33">
        <f t="shared" si="16"/>
        <v>0</v>
      </c>
      <c r="L50" s="33">
        <f>L49-L46-L47-L48-L45</f>
        <v>0</v>
      </c>
      <c r="M50" s="25" t="e">
        <f t="shared" si="15"/>
        <v>#DIV/0!</v>
      </c>
      <c r="N50" s="17"/>
      <c r="O50" s="1"/>
      <c r="P50" s="1"/>
      <c r="Q50" s="1"/>
      <c r="R50" s="1"/>
      <c r="S50" s="1"/>
      <c r="T50" s="1"/>
      <c r="U50" s="1"/>
      <c r="V50" s="1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1"/>
      <c r="P51" s="1"/>
      <c r="Q51" s="1"/>
      <c r="R51" s="1"/>
      <c r="S51" s="1"/>
      <c r="T51" s="1"/>
      <c r="U51" s="1"/>
      <c r="V51" s="1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ht="15.75" customHeight="1" x14ac:dyDescent="0.3">
      <c r="A52" s="26" t="s">
        <v>4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4"/>
      <c r="M52" s="4"/>
      <c r="N52" s="4"/>
      <c r="O52" s="1"/>
      <c r="P52" s="1"/>
      <c r="Q52" s="1"/>
      <c r="R52" s="1"/>
      <c r="S52" s="1"/>
      <c r="T52" s="1"/>
      <c r="U52" s="1"/>
      <c r="V52" s="1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ht="12.75" customHeight="1" x14ac:dyDescent="0.3">
      <c r="A53" s="36"/>
      <c r="B53" s="35"/>
      <c r="C53" s="35"/>
      <c r="D53" s="35"/>
      <c r="E53" s="35"/>
      <c r="F53" s="35"/>
      <c r="G53" s="35"/>
      <c r="H53" s="35"/>
      <c r="I53" s="35"/>
      <c r="J53" s="2"/>
      <c r="K53" s="4"/>
      <c r="L53" s="4"/>
      <c r="M53" s="4"/>
      <c r="N53" s="4"/>
      <c r="O53" s="1"/>
      <c r="P53" s="1"/>
      <c r="Q53" s="1"/>
      <c r="R53" s="1"/>
      <c r="S53" s="1"/>
      <c r="T53" s="1"/>
      <c r="U53" s="1"/>
      <c r="V53" s="1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ht="12.75" customHeight="1" x14ac:dyDescent="0.3">
      <c r="A54" s="28"/>
      <c r="B54" s="29"/>
      <c r="K54" s="4"/>
      <c r="L54" s="4"/>
      <c r="M54" s="4"/>
      <c r="N54" s="4"/>
      <c r="O54" s="1"/>
      <c r="P54" s="1"/>
      <c r="Q54" s="1"/>
      <c r="R54" s="1"/>
      <c r="S54" s="1"/>
      <c r="T54" s="1"/>
      <c r="U54" s="1"/>
      <c r="V54" s="1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ht="12.75" customHeight="1" x14ac:dyDescent="0.3">
      <c r="A55" s="3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"/>
      <c r="P55" s="1"/>
      <c r="Q55" s="1"/>
      <c r="R55" s="1"/>
      <c r="S55" s="1"/>
      <c r="T55" s="1"/>
      <c r="U55" s="1"/>
      <c r="V55" s="1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1"/>
      <c r="P56" s="1"/>
      <c r="Q56" s="1"/>
      <c r="R56" s="1"/>
      <c r="S56" s="1"/>
      <c r="T56" s="1"/>
      <c r="U56" s="1"/>
      <c r="V56" s="1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"/>
      <c r="P57" s="1"/>
      <c r="Q57" s="1"/>
      <c r="R57" s="1"/>
      <c r="S57" s="1"/>
      <c r="T57" s="1"/>
      <c r="U57" s="1"/>
      <c r="V57" s="1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1"/>
      <c r="P58" s="1"/>
      <c r="Q58" s="1"/>
      <c r="R58" s="1"/>
      <c r="S58" s="1"/>
      <c r="T58" s="1"/>
      <c r="U58" s="1"/>
      <c r="V58" s="1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1"/>
      <c r="P59" s="1"/>
      <c r="Q59" s="1"/>
      <c r="R59" s="1"/>
      <c r="S59" s="1"/>
      <c r="T59" s="1"/>
      <c r="U59" s="1"/>
      <c r="V59" s="1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"/>
      <c r="P60" s="1"/>
      <c r="Q60" s="1"/>
      <c r="R60" s="1"/>
      <c r="S60" s="1"/>
      <c r="T60" s="1"/>
      <c r="U60" s="1"/>
      <c r="V60" s="1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1"/>
      <c r="P61" s="1"/>
      <c r="Q61" s="1"/>
      <c r="R61" s="1"/>
      <c r="S61" s="1"/>
      <c r="T61" s="1"/>
      <c r="U61" s="1"/>
      <c r="V61" s="1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1"/>
      <c r="P62" s="1"/>
      <c r="Q62" s="1"/>
      <c r="R62" s="1"/>
      <c r="S62" s="1"/>
      <c r="T62" s="1"/>
      <c r="U62" s="1"/>
      <c r="V62" s="1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1"/>
      <c r="P63" s="1"/>
      <c r="Q63" s="1"/>
      <c r="R63" s="1"/>
      <c r="S63" s="1"/>
      <c r="T63" s="1"/>
      <c r="U63" s="1"/>
      <c r="V63" s="1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1"/>
      <c r="P64" s="1"/>
      <c r="Q64" s="1"/>
      <c r="R64" s="1"/>
      <c r="S64" s="1"/>
      <c r="T64" s="1"/>
      <c r="U64" s="1"/>
      <c r="V64" s="1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"/>
      <c r="P65" s="1"/>
      <c r="Q65" s="1"/>
      <c r="R65" s="1"/>
      <c r="S65" s="1"/>
      <c r="T65" s="1"/>
      <c r="U65" s="1"/>
      <c r="V65" s="1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1"/>
      <c r="P66" s="1"/>
      <c r="Q66" s="1"/>
      <c r="R66" s="1"/>
      <c r="S66" s="1"/>
      <c r="T66" s="1"/>
      <c r="U66" s="1"/>
      <c r="V66" s="1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"/>
      <c r="P67" s="1"/>
      <c r="Q67" s="1"/>
      <c r="R67" s="1"/>
      <c r="S67" s="1"/>
      <c r="T67" s="1"/>
      <c r="U67" s="1"/>
      <c r="V67" s="1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1"/>
      <c r="P68" s="1"/>
      <c r="Q68" s="1"/>
      <c r="R68" s="1"/>
      <c r="S68" s="1"/>
      <c r="T68" s="1"/>
      <c r="U68" s="1"/>
      <c r="V68" s="1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1"/>
      <c r="P69" s="1"/>
      <c r="Q69" s="1"/>
      <c r="R69" s="1"/>
      <c r="S69" s="1"/>
      <c r="T69" s="1"/>
      <c r="U69" s="1"/>
      <c r="V69" s="1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1"/>
      <c r="P70" s="1"/>
      <c r="Q70" s="1"/>
      <c r="R70" s="1"/>
      <c r="S70" s="1"/>
      <c r="T70" s="1"/>
      <c r="U70" s="1"/>
      <c r="V70" s="1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1"/>
      <c r="P71" s="1"/>
      <c r="Q71" s="1"/>
      <c r="R71" s="1"/>
      <c r="S71" s="1"/>
      <c r="T71" s="1"/>
      <c r="U71" s="1"/>
      <c r="V71" s="1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1"/>
      <c r="P72" s="1"/>
      <c r="Q72" s="1"/>
      <c r="R72" s="1"/>
      <c r="S72" s="1"/>
      <c r="T72" s="1"/>
      <c r="U72" s="1"/>
      <c r="V72" s="1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1"/>
      <c r="P73" s="1"/>
      <c r="Q73" s="1"/>
      <c r="R73" s="1"/>
      <c r="S73" s="1"/>
      <c r="T73" s="1"/>
      <c r="U73" s="1"/>
      <c r="V73" s="1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1"/>
      <c r="P74" s="1"/>
      <c r="Q74" s="1"/>
      <c r="R74" s="1"/>
      <c r="S74" s="1"/>
      <c r="T74" s="1"/>
      <c r="U74" s="1"/>
      <c r="V74" s="1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1"/>
      <c r="P75" s="1"/>
      <c r="Q75" s="1"/>
      <c r="R75" s="1"/>
      <c r="S75" s="1"/>
      <c r="T75" s="1"/>
      <c r="U75" s="1"/>
      <c r="V75" s="1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1"/>
      <c r="P76" s="1"/>
      <c r="Q76" s="1"/>
      <c r="R76" s="1"/>
      <c r="S76" s="1"/>
      <c r="T76" s="1"/>
      <c r="U76" s="1"/>
      <c r="V76" s="1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1"/>
      <c r="P77" s="1"/>
      <c r="Q77" s="1"/>
      <c r="R77" s="1"/>
      <c r="S77" s="1"/>
      <c r="T77" s="1"/>
      <c r="U77" s="1"/>
      <c r="V77" s="1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1"/>
      <c r="P78" s="1"/>
      <c r="Q78" s="1"/>
      <c r="R78" s="1"/>
      <c r="S78" s="1"/>
      <c r="T78" s="1"/>
      <c r="U78" s="1"/>
      <c r="V78" s="1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1"/>
      <c r="P79" s="1"/>
      <c r="Q79" s="1"/>
      <c r="R79" s="1"/>
      <c r="S79" s="1"/>
      <c r="T79" s="1"/>
      <c r="U79" s="1"/>
      <c r="V79" s="1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1"/>
      <c r="P80" s="1"/>
      <c r="Q80" s="1"/>
      <c r="R80" s="1"/>
      <c r="S80" s="1"/>
      <c r="T80" s="1"/>
      <c r="U80" s="1"/>
      <c r="V80" s="1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"/>
      <c r="P81" s="1"/>
      <c r="Q81" s="1"/>
      <c r="R81" s="1"/>
      <c r="S81" s="1"/>
      <c r="T81" s="1"/>
      <c r="U81" s="1"/>
      <c r="V81" s="1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1"/>
      <c r="P82" s="1"/>
      <c r="Q82" s="1"/>
      <c r="R82" s="1"/>
      <c r="S82" s="1"/>
      <c r="T82" s="1"/>
      <c r="U82" s="1"/>
      <c r="V82" s="1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1"/>
      <c r="P83" s="1"/>
      <c r="Q83" s="1"/>
      <c r="R83" s="1"/>
      <c r="S83" s="1"/>
      <c r="T83" s="1"/>
      <c r="U83" s="1"/>
      <c r="V83" s="1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1"/>
      <c r="P84" s="1"/>
      <c r="Q84" s="1"/>
      <c r="R84" s="1"/>
      <c r="S84" s="1"/>
      <c r="T84" s="1"/>
      <c r="U84" s="1"/>
      <c r="V84" s="1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1"/>
      <c r="P85" s="1"/>
      <c r="Q85" s="1"/>
      <c r="R85" s="1"/>
      <c r="S85" s="1"/>
      <c r="T85" s="1"/>
      <c r="U85" s="1"/>
      <c r="V85" s="1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1"/>
      <c r="P86" s="1"/>
      <c r="Q86" s="1"/>
      <c r="R86" s="1"/>
      <c r="S86" s="1"/>
      <c r="T86" s="1"/>
      <c r="U86" s="1"/>
      <c r="V86" s="1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1"/>
      <c r="P87" s="1"/>
      <c r="Q87" s="1"/>
      <c r="R87" s="1"/>
      <c r="S87" s="1"/>
      <c r="T87" s="1"/>
      <c r="U87" s="1"/>
      <c r="V87" s="1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1"/>
      <c r="P88" s="1"/>
      <c r="Q88" s="1"/>
      <c r="R88" s="1"/>
      <c r="S88" s="1"/>
      <c r="T88" s="1"/>
      <c r="U88" s="1"/>
      <c r="V88" s="1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1"/>
      <c r="P89" s="1"/>
      <c r="Q89" s="1"/>
      <c r="R89" s="1"/>
      <c r="S89" s="1"/>
      <c r="T89" s="1"/>
      <c r="U89" s="1"/>
      <c r="V89" s="1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1"/>
      <c r="P90" s="1"/>
      <c r="Q90" s="1"/>
      <c r="R90" s="1"/>
      <c r="S90" s="1"/>
      <c r="T90" s="1"/>
      <c r="U90" s="1"/>
      <c r="V90" s="1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1"/>
      <c r="P91" s="1"/>
      <c r="Q91" s="1"/>
      <c r="R91" s="1"/>
      <c r="S91" s="1"/>
      <c r="T91" s="1"/>
      <c r="U91" s="1"/>
      <c r="V91" s="1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1"/>
      <c r="P92" s="1"/>
      <c r="Q92" s="1"/>
      <c r="R92" s="1"/>
      <c r="S92" s="1"/>
      <c r="T92" s="1"/>
      <c r="U92" s="1"/>
      <c r="V92" s="1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1"/>
      <c r="P93" s="1"/>
      <c r="Q93" s="1"/>
      <c r="R93" s="1"/>
      <c r="S93" s="1"/>
      <c r="T93" s="1"/>
      <c r="U93" s="1"/>
      <c r="V93" s="1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1"/>
      <c r="P94" s="1"/>
      <c r="Q94" s="1"/>
      <c r="R94" s="1"/>
      <c r="S94" s="1"/>
      <c r="T94" s="1"/>
      <c r="U94" s="1"/>
      <c r="V94" s="1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1"/>
      <c r="P95" s="1"/>
      <c r="Q95" s="1"/>
      <c r="R95" s="1"/>
      <c r="S95" s="1"/>
      <c r="T95" s="1"/>
      <c r="U95" s="1"/>
      <c r="V95" s="1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1"/>
      <c r="P96" s="1"/>
      <c r="Q96" s="1"/>
      <c r="R96" s="1"/>
      <c r="S96" s="1"/>
      <c r="T96" s="1"/>
      <c r="U96" s="1"/>
      <c r="V96" s="1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1"/>
      <c r="P97" s="1"/>
      <c r="Q97" s="1"/>
      <c r="R97" s="1"/>
      <c r="S97" s="1"/>
      <c r="T97" s="1"/>
      <c r="U97" s="1"/>
      <c r="V97" s="1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1"/>
      <c r="P98" s="1"/>
      <c r="Q98" s="1"/>
      <c r="R98" s="1"/>
      <c r="S98" s="1"/>
      <c r="T98" s="1"/>
      <c r="U98" s="1"/>
      <c r="V98" s="1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1"/>
      <c r="P99" s="1"/>
      <c r="Q99" s="1"/>
      <c r="R99" s="1"/>
      <c r="S99" s="1"/>
      <c r="T99" s="1"/>
      <c r="U99" s="1"/>
      <c r="V99" s="1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4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1"/>
      <c r="P100" s="1"/>
      <c r="Q100" s="1"/>
      <c r="R100" s="1"/>
      <c r="S100" s="1"/>
      <c r="T100" s="1"/>
      <c r="U100" s="1"/>
      <c r="V100" s="1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:34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1"/>
      <c r="P101" s="1"/>
      <c r="Q101" s="1"/>
      <c r="R101" s="1"/>
      <c r="S101" s="1"/>
      <c r="T101" s="1"/>
      <c r="U101" s="1"/>
      <c r="V101" s="1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:34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1"/>
      <c r="P102" s="1"/>
      <c r="Q102" s="1"/>
      <c r="R102" s="1"/>
      <c r="S102" s="1"/>
      <c r="T102" s="1"/>
      <c r="U102" s="1"/>
      <c r="V102" s="1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1"/>
      <c r="P103" s="1"/>
      <c r="Q103" s="1"/>
      <c r="R103" s="1"/>
      <c r="S103" s="1"/>
      <c r="T103" s="1"/>
      <c r="U103" s="1"/>
      <c r="V103" s="1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1"/>
      <c r="P104" s="1"/>
      <c r="Q104" s="1"/>
      <c r="R104" s="1"/>
      <c r="S104" s="1"/>
      <c r="T104" s="1"/>
      <c r="U104" s="1"/>
      <c r="V104" s="1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1"/>
      <c r="P105" s="1"/>
      <c r="Q105" s="1"/>
      <c r="R105" s="1"/>
      <c r="S105" s="1"/>
      <c r="T105" s="1"/>
      <c r="U105" s="1"/>
      <c r="V105" s="1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1"/>
      <c r="P106" s="1"/>
      <c r="Q106" s="1"/>
      <c r="R106" s="1"/>
      <c r="S106" s="1"/>
      <c r="T106" s="1"/>
      <c r="U106" s="1"/>
      <c r="V106" s="1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"/>
      <c r="P107" s="1"/>
      <c r="Q107" s="1"/>
      <c r="R107" s="1"/>
      <c r="S107" s="1"/>
      <c r="T107" s="1"/>
      <c r="U107" s="1"/>
      <c r="V107" s="1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1"/>
      <c r="P108" s="1"/>
      <c r="Q108" s="1"/>
      <c r="R108" s="1"/>
      <c r="S108" s="1"/>
      <c r="T108" s="1"/>
      <c r="U108" s="1"/>
      <c r="V108" s="1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"/>
      <c r="P109" s="1"/>
      <c r="Q109" s="1"/>
      <c r="R109" s="1"/>
      <c r="S109" s="1"/>
      <c r="T109" s="1"/>
      <c r="U109" s="1"/>
      <c r="V109" s="1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"/>
      <c r="P110" s="1"/>
      <c r="Q110" s="1"/>
      <c r="R110" s="1"/>
      <c r="S110" s="1"/>
      <c r="T110" s="1"/>
      <c r="U110" s="1"/>
      <c r="V110" s="1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"/>
      <c r="P111" s="1"/>
      <c r="Q111" s="1"/>
      <c r="R111" s="1"/>
      <c r="S111" s="1"/>
      <c r="T111" s="1"/>
      <c r="U111" s="1"/>
      <c r="V111" s="1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"/>
      <c r="P112" s="1"/>
      <c r="Q112" s="1"/>
      <c r="R112" s="1"/>
      <c r="S112" s="1"/>
      <c r="T112" s="1"/>
      <c r="U112" s="1"/>
      <c r="V112" s="1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"/>
      <c r="P113" s="1"/>
      <c r="Q113" s="1"/>
      <c r="R113" s="1"/>
      <c r="S113" s="1"/>
      <c r="T113" s="1"/>
      <c r="U113" s="1"/>
      <c r="V113" s="1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"/>
      <c r="P114" s="1"/>
      <c r="Q114" s="1"/>
      <c r="R114" s="1"/>
      <c r="S114" s="1"/>
      <c r="T114" s="1"/>
      <c r="U114" s="1"/>
      <c r="V114" s="1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"/>
      <c r="P115" s="1"/>
      <c r="Q115" s="1"/>
      <c r="R115" s="1"/>
      <c r="S115" s="1"/>
      <c r="T115" s="1"/>
      <c r="U115" s="1"/>
      <c r="V115" s="1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"/>
      <c r="P116" s="1"/>
      <c r="Q116" s="1"/>
      <c r="R116" s="1"/>
      <c r="S116" s="1"/>
      <c r="T116" s="1"/>
      <c r="U116" s="1"/>
      <c r="V116" s="1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"/>
      <c r="P117" s="1"/>
      <c r="Q117" s="1"/>
      <c r="R117" s="1"/>
      <c r="S117" s="1"/>
      <c r="T117" s="1"/>
      <c r="U117" s="1"/>
      <c r="V117" s="1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4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"/>
      <c r="P118" s="1"/>
      <c r="Q118" s="1"/>
      <c r="R118" s="1"/>
      <c r="S118" s="1"/>
      <c r="T118" s="1"/>
      <c r="U118" s="1"/>
      <c r="V118" s="1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1:34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"/>
      <c r="P119" s="1"/>
      <c r="Q119" s="1"/>
      <c r="R119" s="1"/>
      <c r="S119" s="1"/>
      <c r="T119" s="1"/>
      <c r="U119" s="1"/>
      <c r="V119" s="1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"/>
      <c r="P120" s="1"/>
      <c r="Q120" s="1"/>
      <c r="R120" s="1"/>
      <c r="S120" s="1"/>
      <c r="T120" s="1"/>
      <c r="U120" s="1"/>
      <c r="V120" s="1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1:34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1"/>
      <c r="P121" s="1"/>
      <c r="Q121" s="1"/>
      <c r="R121" s="1"/>
      <c r="S121" s="1"/>
      <c r="T121" s="1"/>
      <c r="U121" s="1"/>
      <c r="V121" s="1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spans="1:34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1"/>
      <c r="P122" s="1"/>
      <c r="Q122" s="1"/>
      <c r="R122" s="1"/>
      <c r="S122" s="1"/>
      <c r="T122" s="1"/>
      <c r="U122" s="1"/>
      <c r="V122" s="1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spans="1:34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1:34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1"/>
      <c r="P124" s="1"/>
      <c r="Q124" s="1"/>
      <c r="R124" s="1"/>
      <c r="S124" s="1"/>
      <c r="T124" s="1"/>
      <c r="U124" s="1"/>
      <c r="V124" s="1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spans="1:34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1"/>
      <c r="P125" s="1"/>
      <c r="Q125" s="1"/>
      <c r="R125" s="1"/>
      <c r="S125" s="1"/>
      <c r="T125" s="1"/>
      <c r="U125" s="1"/>
      <c r="V125" s="1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spans="1:34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1"/>
      <c r="P126" s="1"/>
      <c r="Q126" s="1"/>
      <c r="R126" s="1"/>
      <c r="S126" s="1"/>
      <c r="T126" s="1"/>
      <c r="U126" s="1"/>
      <c r="V126" s="1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spans="1:34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1"/>
      <c r="P127" s="1"/>
      <c r="Q127" s="1"/>
      <c r="R127" s="1"/>
      <c r="S127" s="1"/>
      <c r="T127" s="1"/>
      <c r="U127" s="1"/>
      <c r="V127" s="1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spans="1:34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1"/>
      <c r="P128" s="1"/>
      <c r="Q128" s="1"/>
      <c r="R128" s="1"/>
      <c r="S128" s="1"/>
      <c r="T128" s="1"/>
      <c r="U128" s="1"/>
      <c r="V128" s="1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spans="1:34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1"/>
      <c r="P129" s="1"/>
      <c r="Q129" s="1"/>
      <c r="R129" s="1"/>
      <c r="S129" s="1"/>
      <c r="T129" s="1"/>
      <c r="U129" s="1"/>
      <c r="V129" s="1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spans="1:34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1"/>
      <c r="P130" s="1"/>
      <c r="Q130" s="1"/>
      <c r="R130" s="1"/>
      <c r="S130" s="1"/>
      <c r="T130" s="1"/>
      <c r="U130" s="1"/>
      <c r="V130" s="1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1:34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1"/>
      <c r="P131" s="1"/>
      <c r="Q131" s="1"/>
      <c r="R131" s="1"/>
      <c r="S131" s="1"/>
      <c r="T131" s="1"/>
      <c r="U131" s="1"/>
      <c r="V131" s="1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spans="1:34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1"/>
      <c r="P132" s="1"/>
      <c r="Q132" s="1"/>
      <c r="R132" s="1"/>
      <c r="S132" s="1"/>
      <c r="T132" s="1"/>
      <c r="U132" s="1"/>
      <c r="V132" s="1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1:34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1"/>
      <c r="P133" s="1"/>
      <c r="Q133" s="1"/>
      <c r="R133" s="1"/>
      <c r="S133" s="1"/>
      <c r="T133" s="1"/>
      <c r="U133" s="1"/>
      <c r="V133" s="1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spans="1:34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"/>
      <c r="P134" s="1"/>
      <c r="Q134" s="1"/>
      <c r="R134" s="1"/>
      <c r="S134" s="1"/>
      <c r="T134" s="1"/>
      <c r="U134" s="1"/>
      <c r="V134" s="1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spans="1:34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1"/>
      <c r="P135" s="1"/>
      <c r="Q135" s="1"/>
      <c r="R135" s="1"/>
      <c r="S135" s="1"/>
      <c r="T135" s="1"/>
      <c r="U135" s="1"/>
      <c r="V135" s="1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spans="1:34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1"/>
      <c r="P136" s="1"/>
      <c r="Q136" s="1"/>
      <c r="R136" s="1"/>
      <c r="S136" s="1"/>
      <c r="T136" s="1"/>
      <c r="U136" s="1"/>
      <c r="V136" s="1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spans="1:34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1"/>
      <c r="P137" s="1"/>
      <c r="Q137" s="1"/>
      <c r="R137" s="1"/>
      <c r="S137" s="1"/>
      <c r="T137" s="1"/>
      <c r="U137" s="1"/>
      <c r="V137" s="1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spans="1:34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1"/>
      <c r="P138" s="1"/>
      <c r="Q138" s="1"/>
      <c r="R138" s="1"/>
      <c r="S138" s="1"/>
      <c r="T138" s="1"/>
      <c r="U138" s="1"/>
      <c r="V138" s="1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spans="1:34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1"/>
      <c r="P139" s="1"/>
      <c r="Q139" s="1"/>
      <c r="R139" s="1"/>
      <c r="S139" s="1"/>
      <c r="T139" s="1"/>
      <c r="U139" s="1"/>
      <c r="V139" s="1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spans="1:34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1"/>
      <c r="P140" s="1"/>
      <c r="Q140" s="1"/>
      <c r="R140" s="1"/>
      <c r="S140" s="1"/>
      <c r="T140" s="1"/>
      <c r="U140" s="1"/>
      <c r="V140" s="1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spans="1:34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1"/>
      <c r="P141" s="1"/>
      <c r="Q141" s="1"/>
      <c r="R141" s="1"/>
      <c r="S141" s="1"/>
      <c r="T141" s="1"/>
      <c r="U141" s="1"/>
      <c r="V141" s="1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spans="1:34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1"/>
      <c r="P142" s="1"/>
      <c r="Q142" s="1"/>
      <c r="R142" s="1"/>
      <c r="S142" s="1"/>
      <c r="T142" s="1"/>
      <c r="U142" s="1"/>
      <c r="V142" s="1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1"/>
      <c r="P143" s="1"/>
      <c r="Q143" s="1"/>
      <c r="R143" s="1"/>
      <c r="S143" s="1"/>
      <c r="T143" s="1"/>
      <c r="U143" s="1"/>
      <c r="V143" s="1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1"/>
      <c r="P144" s="1"/>
      <c r="Q144" s="1"/>
      <c r="R144" s="1"/>
      <c r="S144" s="1"/>
      <c r="T144" s="1"/>
      <c r="U144" s="1"/>
      <c r="V144" s="1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1"/>
      <c r="P145" s="1"/>
      <c r="Q145" s="1"/>
      <c r="R145" s="1"/>
      <c r="S145" s="1"/>
      <c r="T145" s="1"/>
      <c r="U145" s="1"/>
      <c r="V145" s="1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1"/>
      <c r="P146" s="1"/>
      <c r="Q146" s="1"/>
      <c r="R146" s="1"/>
      <c r="S146" s="1"/>
      <c r="T146" s="1"/>
      <c r="U146" s="1"/>
      <c r="V146" s="1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1:34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1"/>
      <c r="P147" s="1"/>
      <c r="Q147" s="1"/>
      <c r="R147" s="1"/>
      <c r="S147" s="1"/>
      <c r="T147" s="1"/>
      <c r="U147" s="1"/>
      <c r="V147" s="1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1:34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1"/>
      <c r="P148" s="1"/>
      <c r="Q148" s="1"/>
      <c r="R148" s="1"/>
      <c r="S148" s="1"/>
      <c r="T148" s="1"/>
      <c r="U148" s="1"/>
      <c r="V148" s="1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1:34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1"/>
      <c r="P149" s="1"/>
      <c r="Q149" s="1"/>
      <c r="R149" s="1"/>
      <c r="S149" s="1"/>
      <c r="T149" s="1"/>
      <c r="U149" s="1"/>
      <c r="V149" s="1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1:34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1"/>
      <c r="P150" s="1"/>
      <c r="Q150" s="1"/>
      <c r="R150" s="1"/>
      <c r="S150" s="1"/>
      <c r="T150" s="1"/>
      <c r="U150" s="1"/>
      <c r="V150" s="1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1"/>
      <c r="P151" s="1"/>
      <c r="Q151" s="1"/>
      <c r="R151" s="1"/>
      <c r="S151" s="1"/>
      <c r="T151" s="1"/>
      <c r="U151" s="1"/>
      <c r="V151" s="1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1:34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1"/>
      <c r="P152" s="1"/>
      <c r="Q152" s="1"/>
      <c r="R152" s="1"/>
      <c r="S152" s="1"/>
      <c r="T152" s="1"/>
      <c r="U152" s="1"/>
      <c r="V152" s="1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1:34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1"/>
      <c r="P153" s="1"/>
      <c r="Q153" s="1"/>
      <c r="R153" s="1"/>
      <c r="S153" s="1"/>
      <c r="T153" s="1"/>
      <c r="U153" s="1"/>
      <c r="V153" s="1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1:34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1"/>
      <c r="P154" s="1"/>
      <c r="Q154" s="1"/>
      <c r="R154" s="1"/>
      <c r="S154" s="1"/>
      <c r="T154" s="1"/>
      <c r="U154" s="1"/>
      <c r="V154" s="1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1:34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1"/>
      <c r="P155" s="1"/>
      <c r="Q155" s="1"/>
      <c r="R155" s="1"/>
      <c r="S155" s="1"/>
      <c r="T155" s="1"/>
      <c r="U155" s="1"/>
      <c r="V155" s="1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1:34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1"/>
      <c r="P156" s="1"/>
      <c r="Q156" s="1"/>
      <c r="R156" s="1"/>
      <c r="S156" s="1"/>
      <c r="T156" s="1"/>
      <c r="U156" s="1"/>
      <c r="V156" s="1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1:34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1"/>
      <c r="P157" s="1"/>
      <c r="Q157" s="1"/>
      <c r="R157" s="1"/>
      <c r="S157" s="1"/>
      <c r="T157" s="1"/>
      <c r="U157" s="1"/>
      <c r="V157" s="1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1:34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1"/>
      <c r="P158" s="1"/>
      <c r="Q158" s="1"/>
      <c r="R158" s="1"/>
      <c r="S158" s="1"/>
      <c r="T158" s="1"/>
      <c r="U158" s="1"/>
      <c r="V158" s="1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spans="1:34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1"/>
      <c r="P159" s="1"/>
      <c r="Q159" s="1"/>
      <c r="R159" s="1"/>
      <c r="S159" s="1"/>
      <c r="T159" s="1"/>
      <c r="U159" s="1"/>
      <c r="V159" s="1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spans="1:34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1"/>
      <c r="P160" s="1"/>
      <c r="Q160" s="1"/>
      <c r="R160" s="1"/>
      <c r="S160" s="1"/>
      <c r="T160" s="1"/>
      <c r="U160" s="1"/>
      <c r="V160" s="1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spans="1:34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1"/>
      <c r="P161" s="1"/>
      <c r="Q161" s="1"/>
      <c r="R161" s="1"/>
      <c r="S161" s="1"/>
      <c r="T161" s="1"/>
      <c r="U161" s="1"/>
      <c r="V161" s="1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spans="1:34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1"/>
      <c r="P162" s="1"/>
      <c r="Q162" s="1"/>
      <c r="R162" s="1"/>
      <c r="S162" s="1"/>
      <c r="T162" s="1"/>
      <c r="U162" s="1"/>
      <c r="V162" s="1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spans="1:34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1"/>
      <c r="P163" s="1"/>
      <c r="Q163" s="1"/>
      <c r="R163" s="1"/>
      <c r="S163" s="1"/>
      <c r="T163" s="1"/>
      <c r="U163" s="1"/>
      <c r="V163" s="1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spans="1:34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1"/>
      <c r="P164" s="1"/>
      <c r="Q164" s="1"/>
      <c r="R164" s="1"/>
      <c r="S164" s="1"/>
      <c r="T164" s="1"/>
      <c r="U164" s="1"/>
      <c r="V164" s="1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1"/>
      <c r="P165" s="1"/>
      <c r="Q165" s="1"/>
      <c r="R165" s="1"/>
      <c r="S165" s="1"/>
      <c r="T165" s="1"/>
      <c r="U165" s="1"/>
      <c r="V165" s="1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1"/>
      <c r="P166" s="1"/>
      <c r="Q166" s="1"/>
      <c r="R166" s="1"/>
      <c r="S166" s="1"/>
      <c r="T166" s="1"/>
      <c r="U166" s="1"/>
      <c r="V166" s="1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1"/>
      <c r="P167" s="1"/>
      <c r="Q167" s="1"/>
      <c r="R167" s="1"/>
      <c r="S167" s="1"/>
      <c r="T167" s="1"/>
      <c r="U167" s="1"/>
      <c r="V167" s="1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1"/>
      <c r="P168" s="1"/>
      <c r="Q168" s="1"/>
      <c r="R168" s="1"/>
      <c r="S168" s="1"/>
      <c r="T168" s="1"/>
      <c r="U168" s="1"/>
      <c r="V168" s="1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1"/>
      <c r="P169" s="1"/>
      <c r="Q169" s="1"/>
      <c r="R169" s="1"/>
      <c r="S169" s="1"/>
      <c r="T169" s="1"/>
      <c r="U169" s="1"/>
      <c r="V169" s="1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1"/>
      <c r="P170" s="1"/>
      <c r="Q170" s="1"/>
      <c r="R170" s="1"/>
      <c r="S170" s="1"/>
      <c r="T170" s="1"/>
      <c r="U170" s="1"/>
      <c r="V170" s="1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1"/>
      <c r="P171" s="1"/>
      <c r="Q171" s="1"/>
      <c r="R171" s="1"/>
      <c r="S171" s="1"/>
      <c r="T171" s="1"/>
      <c r="U171" s="1"/>
      <c r="V171" s="1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1"/>
      <c r="P172" s="1"/>
      <c r="Q172" s="1"/>
      <c r="R172" s="1"/>
      <c r="S172" s="1"/>
      <c r="T172" s="1"/>
      <c r="U172" s="1"/>
      <c r="V172" s="1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1"/>
      <c r="P173" s="1"/>
      <c r="Q173" s="1"/>
      <c r="R173" s="1"/>
      <c r="S173" s="1"/>
      <c r="T173" s="1"/>
      <c r="U173" s="1"/>
      <c r="V173" s="1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1"/>
      <c r="P174" s="1"/>
      <c r="Q174" s="1"/>
      <c r="R174" s="1"/>
      <c r="S174" s="1"/>
      <c r="T174" s="1"/>
      <c r="U174" s="1"/>
      <c r="V174" s="1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1"/>
      <c r="P175" s="1"/>
      <c r="Q175" s="1"/>
      <c r="R175" s="1"/>
      <c r="S175" s="1"/>
      <c r="T175" s="1"/>
      <c r="U175" s="1"/>
      <c r="V175" s="1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1"/>
      <c r="P176" s="1"/>
      <c r="Q176" s="1"/>
      <c r="R176" s="1"/>
      <c r="S176" s="1"/>
      <c r="T176" s="1"/>
      <c r="U176" s="1"/>
      <c r="V176" s="1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1:34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1"/>
      <c r="P177" s="1"/>
      <c r="Q177" s="1"/>
      <c r="R177" s="1"/>
      <c r="S177" s="1"/>
      <c r="T177" s="1"/>
      <c r="U177" s="1"/>
      <c r="V177" s="1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1:34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1"/>
      <c r="P178" s="1"/>
      <c r="Q178" s="1"/>
      <c r="R178" s="1"/>
      <c r="S178" s="1"/>
      <c r="T178" s="1"/>
      <c r="U178" s="1"/>
      <c r="V178" s="1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1:34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1"/>
      <c r="P179" s="1"/>
      <c r="Q179" s="1"/>
      <c r="R179" s="1"/>
      <c r="S179" s="1"/>
      <c r="T179" s="1"/>
      <c r="U179" s="1"/>
      <c r="V179" s="1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1:34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1"/>
      <c r="P180" s="1"/>
      <c r="Q180" s="1"/>
      <c r="R180" s="1"/>
      <c r="S180" s="1"/>
      <c r="T180" s="1"/>
      <c r="U180" s="1"/>
      <c r="V180" s="1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1:34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1"/>
      <c r="P181" s="1"/>
      <c r="Q181" s="1"/>
      <c r="R181" s="1"/>
      <c r="S181" s="1"/>
      <c r="T181" s="1"/>
      <c r="U181" s="1"/>
      <c r="V181" s="1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1:34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1"/>
      <c r="P182" s="1"/>
      <c r="Q182" s="1"/>
      <c r="R182" s="1"/>
      <c r="S182" s="1"/>
      <c r="T182" s="1"/>
      <c r="U182" s="1"/>
      <c r="V182" s="1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1:34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1"/>
      <c r="P183" s="1"/>
      <c r="Q183" s="1"/>
      <c r="R183" s="1"/>
      <c r="S183" s="1"/>
      <c r="T183" s="1"/>
      <c r="U183" s="1"/>
      <c r="V183" s="1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1:34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1"/>
      <c r="P184" s="1"/>
      <c r="Q184" s="1"/>
      <c r="R184" s="1"/>
      <c r="S184" s="1"/>
      <c r="T184" s="1"/>
      <c r="U184" s="1"/>
      <c r="V184" s="1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1:34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1"/>
      <c r="P185" s="1"/>
      <c r="Q185" s="1"/>
      <c r="R185" s="1"/>
      <c r="S185" s="1"/>
      <c r="T185" s="1"/>
      <c r="U185" s="1"/>
      <c r="V185" s="1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1:34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1"/>
      <c r="P186" s="1"/>
      <c r="Q186" s="1"/>
      <c r="R186" s="1"/>
      <c r="S186" s="1"/>
      <c r="T186" s="1"/>
      <c r="U186" s="1"/>
      <c r="V186" s="1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1:34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1"/>
      <c r="P187" s="1"/>
      <c r="Q187" s="1"/>
      <c r="R187" s="1"/>
      <c r="S187" s="1"/>
      <c r="T187" s="1"/>
      <c r="U187" s="1"/>
      <c r="V187" s="1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1:34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1"/>
      <c r="P188" s="1"/>
      <c r="Q188" s="1"/>
      <c r="R188" s="1"/>
      <c r="S188" s="1"/>
      <c r="T188" s="1"/>
      <c r="U188" s="1"/>
      <c r="V188" s="1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1:34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1"/>
      <c r="P189" s="1"/>
      <c r="Q189" s="1"/>
      <c r="R189" s="1"/>
      <c r="S189" s="1"/>
      <c r="T189" s="1"/>
      <c r="U189" s="1"/>
      <c r="V189" s="1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1:34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1"/>
      <c r="P190" s="1"/>
      <c r="Q190" s="1"/>
      <c r="R190" s="1"/>
      <c r="S190" s="1"/>
      <c r="T190" s="1"/>
      <c r="U190" s="1"/>
      <c r="V190" s="1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1:34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1"/>
      <c r="P191" s="1"/>
      <c r="Q191" s="1"/>
      <c r="R191" s="1"/>
      <c r="S191" s="1"/>
      <c r="T191" s="1"/>
      <c r="U191" s="1"/>
      <c r="V191" s="1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1:34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1"/>
      <c r="P192" s="1"/>
      <c r="Q192" s="1"/>
      <c r="R192" s="1"/>
      <c r="S192" s="1"/>
      <c r="T192" s="1"/>
      <c r="U192" s="1"/>
      <c r="V192" s="1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1:34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1"/>
      <c r="P193" s="1"/>
      <c r="Q193" s="1"/>
      <c r="R193" s="1"/>
      <c r="S193" s="1"/>
      <c r="T193" s="1"/>
      <c r="U193" s="1"/>
      <c r="V193" s="1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1:34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1"/>
      <c r="P194" s="1"/>
      <c r="Q194" s="1"/>
      <c r="R194" s="1"/>
      <c r="S194" s="1"/>
      <c r="T194" s="1"/>
      <c r="U194" s="1"/>
      <c r="V194" s="1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spans="1:34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1"/>
      <c r="P195" s="1"/>
      <c r="Q195" s="1"/>
      <c r="R195" s="1"/>
      <c r="S195" s="1"/>
      <c r="T195" s="1"/>
      <c r="U195" s="1"/>
      <c r="V195" s="1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spans="1:34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1"/>
      <c r="P196" s="1"/>
      <c r="Q196" s="1"/>
      <c r="R196" s="1"/>
      <c r="S196" s="1"/>
      <c r="T196" s="1"/>
      <c r="U196" s="1"/>
      <c r="V196" s="1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spans="1:34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1"/>
      <c r="P197" s="1"/>
      <c r="Q197" s="1"/>
      <c r="R197" s="1"/>
      <c r="S197" s="1"/>
      <c r="T197" s="1"/>
      <c r="U197" s="1"/>
      <c r="V197" s="1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spans="1:34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1"/>
      <c r="P198" s="1"/>
      <c r="Q198" s="1"/>
      <c r="R198" s="1"/>
      <c r="S198" s="1"/>
      <c r="T198" s="1"/>
      <c r="U198" s="1"/>
      <c r="V198" s="1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spans="1:34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1"/>
      <c r="P199" s="1"/>
      <c r="Q199" s="1"/>
      <c r="R199" s="1"/>
      <c r="S199" s="1"/>
      <c r="T199" s="1"/>
      <c r="U199" s="1"/>
      <c r="V199" s="1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spans="1:34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1"/>
      <c r="P200" s="1"/>
      <c r="Q200" s="1"/>
      <c r="R200" s="1"/>
      <c r="S200" s="1"/>
      <c r="T200" s="1"/>
      <c r="U200" s="1"/>
      <c r="V200" s="1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spans="1:34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1"/>
      <c r="P201" s="1"/>
      <c r="Q201" s="1"/>
      <c r="R201" s="1"/>
      <c r="S201" s="1"/>
      <c r="T201" s="1"/>
      <c r="U201" s="1"/>
      <c r="V201" s="1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spans="1:34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1"/>
      <c r="P202" s="1"/>
      <c r="Q202" s="1"/>
      <c r="R202" s="1"/>
      <c r="S202" s="1"/>
      <c r="T202" s="1"/>
      <c r="U202" s="1"/>
      <c r="V202" s="1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spans="1:34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1"/>
      <c r="P203" s="1"/>
      <c r="Q203" s="1"/>
      <c r="R203" s="1"/>
      <c r="S203" s="1"/>
      <c r="T203" s="1"/>
      <c r="U203" s="1"/>
      <c r="V203" s="1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1:34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1"/>
      <c r="P204" s="1"/>
      <c r="Q204" s="1"/>
      <c r="R204" s="1"/>
      <c r="S204" s="1"/>
      <c r="T204" s="1"/>
      <c r="U204" s="1"/>
      <c r="V204" s="1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1:34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1"/>
      <c r="P205" s="1"/>
      <c r="Q205" s="1"/>
      <c r="R205" s="1"/>
      <c r="S205" s="1"/>
      <c r="T205" s="1"/>
      <c r="U205" s="1"/>
      <c r="V205" s="1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1"/>
      <c r="P206" s="1"/>
      <c r="Q206" s="1"/>
      <c r="R206" s="1"/>
      <c r="S206" s="1"/>
      <c r="T206" s="1"/>
      <c r="U206" s="1"/>
      <c r="V206" s="1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1"/>
      <c r="P207" s="1"/>
      <c r="Q207" s="1"/>
      <c r="R207" s="1"/>
      <c r="S207" s="1"/>
      <c r="T207" s="1"/>
      <c r="U207" s="1"/>
      <c r="V207" s="1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1:34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1"/>
      <c r="P208" s="1"/>
      <c r="Q208" s="1"/>
      <c r="R208" s="1"/>
      <c r="S208" s="1"/>
      <c r="T208" s="1"/>
      <c r="U208" s="1"/>
      <c r="V208" s="1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1:34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1"/>
      <c r="P209" s="1"/>
      <c r="Q209" s="1"/>
      <c r="R209" s="1"/>
      <c r="S209" s="1"/>
      <c r="T209" s="1"/>
      <c r="U209" s="1"/>
      <c r="V209" s="1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1:34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1"/>
      <c r="P210" s="1"/>
      <c r="Q210" s="1"/>
      <c r="R210" s="1"/>
      <c r="S210" s="1"/>
      <c r="T210" s="1"/>
      <c r="U210" s="1"/>
      <c r="V210" s="1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1:34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1"/>
      <c r="P211" s="1"/>
      <c r="Q211" s="1"/>
      <c r="R211" s="1"/>
      <c r="S211" s="1"/>
      <c r="T211" s="1"/>
      <c r="U211" s="1"/>
      <c r="V211" s="1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1:34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1"/>
      <c r="P212" s="1"/>
      <c r="Q212" s="1"/>
      <c r="R212" s="1"/>
      <c r="S212" s="1"/>
      <c r="T212" s="1"/>
      <c r="U212" s="1"/>
      <c r="V212" s="1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1"/>
      <c r="P213" s="1"/>
      <c r="Q213" s="1"/>
      <c r="R213" s="1"/>
      <c r="S213" s="1"/>
      <c r="T213" s="1"/>
      <c r="U213" s="1"/>
      <c r="V213" s="1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1"/>
      <c r="P214" s="1"/>
      <c r="Q214" s="1"/>
      <c r="R214" s="1"/>
      <c r="S214" s="1"/>
      <c r="T214" s="1"/>
      <c r="U214" s="1"/>
      <c r="V214" s="1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1"/>
      <c r="P215" s="1"/>
      <c r="Q215" s="1"/>
      <c r="R215" s="1"/>
      <c r="S215" s="1"/>
      <c r="T215" s="1"/>
      <c r="U215" s="1"/>
      <c r="V215" s="1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1"/>
      <c r="P216" s="1"/>
      <c r="Q216" s="1"/>
      <c r="R216" s="1"/>
      <c r="S216" s="1"/>
      <c r="T216" s="1"/>
      <c r="U216" s="1"/>
      <c r="V216" s="1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1"/>
      <c r="P217" s="1"/>
      <c r="Q217" s="1"/>
      <c r="R217" s="1"/>
      <c r="S217" s="1"/>
      <c r="T217" s="1"/>
      <c r="U217" s="1"/>
      <c r="V217" s="1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1"/>
      <c r="P218" s="1"/>
      <c r="Q218" s="1"/>
      <c r="R218" s="1"/>
      <c r="S218" s="1"/>
      <c r="T218" s="1"/>
      <c r="U218" s="1"/>
      <c r="V218" s="1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1"/>
      <c r="P219" s="1"/>
      <c r="Q219" s="1"/>
      <c r="R219" s="1"/>
      <c r="S219" s="1"/>
      <c r="T219" s="1"/>
      <c r="U219" s="1"/>
      <c r="V219" s="1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1"/>
      <c r="P220" s="1"/>
      <c r="Q220" s="1"/>
      <c r="R220" s="1"/>
      <c r="S220" s="1"/>
      <c r="T220" s="1"/>
      <c r="U220" s="1"/>
      <c r="V220" s="1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1"/>
      <c r="P221" s="1"/>
      <c r="Q221" s="1"/>
      <c r="R221" s="1"/>
      <c r="S221" s="1"/>
      <c r="T221" s="1"/>
      <c r="U221" s="1"/>
      <c r="V221" s="1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1"/>
      <c r="P222" s="1"/>
      <c r="Q222" s="1"/>
      <c r="R222" s="1"/>
      <c r="S222" s="1"/>
      <c r="T222" s="1"/>
      <c r="U222" s="1"/>
      <c r="V222" s="1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1"/>
      <c r="P223" s="1"/>
      <c r="Q223" s="1"/>
      <c r="R223" s="1"/>
      <c r="S223" s="1"/>
      <c r="T223" s="1"/>
      <c r="U223" s="1"/>
      <c r="V223" s="1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1:34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1"/>
      <c r="P224" s="1"/>
      <c r="Q224" s="1"/>
      <c r="R224" s="1"/>
      <c r="S224" s="1"/>
      <c r="T224" s="1"/>
      <c r="U224" s="1"/>
      <c r="V224" s="1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1:34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1"/>
      <c r="P225" s="1"/>
      <c r="Q225" s="1"/>
      <c r="R225" s="1"/>
      <c r="S225" s="1"/>
      <c r="T225" s="1"/>
      <c r="U225" s="1"/>
      <c r="V225" s="1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1:34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1"/>
      <c r="P226" s="1"/>
      <c r="Q226" s="1"/>
      <c r="R226" s="1"/>
      <c r="S226" s="1"/>
      <c r="T226" s="1"/>
      <c r="U226" s="1"/>
      <c r="V226" s="1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1:34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1"/>
      <c r="P227" s="1"/>
      <c r="Q227" s="1"/>
      <c r="R227" s="1"/>
      <c r="S227" s="1"/>
      <c r="T227" s="1"/>
      <c r="U227" s="1"/>
      <c r="V227" s="1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1:34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1"/>
      <c r="P228" s="1"/>
      <c r="Q228" s="1"/>
      <c r="R228" s="1"/>
      <c r="S228" s="1"/>
      <c r="T228" s="1"/>
      <c r="U228" s="1"/>
      <c r="V228" s="1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spans="1:34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1"/>
      <c r="P229" s="1"/>
      <c r="Q229" s="1"/>
      <c r="R229" s="1"/>
      <c r="S229" s="1"/>
      <c r="T229" s="1"/>
      <c r="U229" s="1"/>
      <c r="V229" s="1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spans="1:34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1"/>
      <c r="P230" s="1"/>
      <c r="Q230" s="1"/>
      <c r="R230" s="1"/>
      <c r="S230" s="1"/>
      <c r="T230" s="1"/>
      <c r="U230" s="1"/>
      <c r="V230" s="1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spans="1:34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1"/>
      <c r="P231" s="1"/>
      <c r="Q231" s="1"/>
      <c r="R231" s="1"/>
      <c r="S231" s="1"/>
      <c r="T231" s="1"/>
      <c r="U231" s="1"/>
      <c r="V231" s="1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1:34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1"/>
      <c r="P232" s="1"/>
      <c r="Q232" s="1"/>
      <c r="R232" s="1"/>
      <c r="S232" s="1"/>
      <c r="T232" s="1"/>
      <c r="U232" s="1"/>
      <c r="V232" s="1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spans="1:34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1"/>
      <c r="P233" s="1"/>
      <c r="Q233" s="1"/>
      <c r="R233" s="1"/>
      <c r="S233" s="1"/>
      <c r="T233" s="1"/>
      <c r="U233" s="1"/>
      <c r="V233" s="1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spans="1:34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1"/>
      <c r="P234" s="1"/>
      <c r="Q234" s="1"/>
      <c r="R234" s="1"/>
      <c r="S234" s="1"/>
      <c r="T234" s="1"/>
      <c r="U234" s="1"/>
      <c r="V234" s="1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spans="1:34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1"/>
      <c r="P235" s="1"/>
      <c r="Q235" s="1"/>
      <c r="R235" s="1"/>
      <c r="S235" s="1"/>
      <c r="T235" s="1"/>
      <c r="U235" s="1"/>
      <c r="V235" s="1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spans="1:34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1"/>
      <c r="P236" s="1"/>
      <c r="Q236" s="1"/>
      <c r="R236" s="1"/>
      <c r="S236" s="1"/>
      <c r="T236" s="1"/>
      <c r="U236" s="1"/>
      <c r="V236" s="1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spans="1:34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1"/>
      <c r="P237" s="1"/>
      <c r="Q237" s="1"/>
      <c r="R237" s="1"/>
      <c r="S237" s="1"/>
      <c r="T237" s="1"/>
      <c r="U237" s="1"/>
      <c r="V237" s="1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spans="1:34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1"/>
      <c r="P238" s="1"/>
      <c r="Q238" s="1"/>
      <c r="R238" s="1"/>
      <c r="S238" s="1"/>
      <c r="T238" s="1"/>
      <c r="U238" s="1"/>
      <c r="V238" s="1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spans="1:34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1"/>
      <c r="P239" s="1"/>
      <c r="Q239" s="1"/>
      <c r="R239" s="1"/>
      <c r="S239" s="1"/>
      <c r="T239" s="1"/>
      <c r="U239" s="1"/>
      <c r="V239" s="1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spans="1:34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1"/>
      <c r="P240" s="1"/>
      <c r="Q240" s="1"/>
      <c r="R240" s="1"/>
      <c r="S240" s="1"/>
      <c r="T240" s="1"/>
      <c r="U240" s="1"/>
      <c r="V240" s="1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spans="1:34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1"/>
      <c r="P241" s="1"/>
      <c r="Q241" s="1"/>
      <c r="R241" s="1"/>
      <c r="S241" s="1"/>
      <c r="T241" s="1"/>
      <c r="U241" s="1"/>
      <c r="V241" s="1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spans="1:34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1"/>
      <c r="P242" s="1"/>
      <c r="Q242" s="1"/>
      <c r="R242" s="1"/>
      <c r="S242" s="1"/>
      <c r="T242" s="1"/>
      <c r="U242" s="1"/>
      <c r="V242" s="1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spans="1:34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spans="1:34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spans="1:34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spans="1:34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spans="1:34" ht="15.75" customHeight="1" x14ac:dyDescent="0.3"/>
    <row r="248" spans="1:34" ht="15.75" customHeight="1" x14ac:dyDescent="0.3"/>
    <row r="249" spans="1:34" ht="15.75" customHeight="1" x14ac:dyDescent="0.3"/>
    <row r="250" spans="1:34" ht="15.75" customHeight="1" x14ac:dyDescent="0.3"/>
    <row r="251" spans="1:34" ht="15.75" customHeight="1" x14ac:dyDescent="0.3"/>
    <row r="252" spans="1:34" ht="15.75" customHeight="1" x14ac:dyDescent="0.3"/>
    <row r="253" spans="1:34" ht="15.75" customHeight="1" x14ac:dyDescent="0.3"/>
    <row r="254" spans="1:34" ht="15.75" customHeight="1" x14ac:dyDescent="0.3"/>
    <row r="255" spans="1:34" ht="15.75" customHeight="1" x14ac:dyDescent="0.3"/>
    <row r="256" spans="1:34" ht="15.75" customHeight="1" x14ac:dyDescent="0.3"/>
    <row r="257" s="3" customFormat="1" ht="15.75" customHeight="1" x14ac:dyDescent="0.3"/>
    <row r="258" s="3" customFormat="1" ht="15.75" customHeight="1" x14ac:dyDescent="0.3"/>
    <row r="259" s="3" customFormat="1" ht="15.75" customHeight="1" x14ac:dyDescent="0.3"/>
    <row r="260" s="3" customFormat="1" ht="15.75" customHeight="1" x14ac:dyDescent="0.3"/>
    <row r="261" s="3" customFormat="1" ht="15.75" customHeight="1" x14ac:dyDescent="0.3"/>
    <row r="262" s="3" customFormat="1" ht="15.75" customHeight="1" x14ac:dyDescent="0.3"/>
    <row r="263" s="3" customFormat="1" ht="15.75" customHeight="1" x14ac:dyDescent="0.3"/>
    <row r="264" s="3" customFormat="1" ht="15.75" customHeight="1" x14ac:dyDescent="0.3"/>
    <row r="265" s="3" customFormat="1" ht="15.75" customHeight="1" x14ac:dyDescent="0.3"/>
    <row r="266" s="3" customFormat="1" ht="15.75" customHeight="1" x14ac:dyDescent="0.3"/>
    <row r="267" s="3" customFormat="1" ht="15.75" customHeight="1" x14ac:dyDescent="0.3"/>
    <row r="268" s="3" customFormat="1" ht="15.75" customHeight="1" x14ac:dyDescent="0.3"/>
    <row r="269" s="3" customFormat="1" ht="15.75" customHeight="1" x14ac:dyDescent="0.3"/>
    <row r="270" s="3" customFormat="1" ht="15.75" customHeight="1" x14ac:dyDescent="0.3"/>
    <row r="271" s="3" customFormat="1" ht="15.75" customHeight="1" x14ac:dyDescent="0.3"/>
    <row r="272" s="3" customFormat="1" ht="15.75" customHeight="1" x14ac:dyDescent="0.3"/>
    <row r="273" s="3" customFormat="1" ht="15.75" customHeight="1" x14ac:dyDescent="0.3"/>
    <row r="274" s="3" customFormat="1" ht="15.75" customHeight="1" x14ac:dyDescent="0.3"/>
    <row r="275" s="3" customFormat="1" ht="15.75" customHeight="1" x14ac:dyDescent="0.3"/>
    <row r="276" s="3" customFormat="1" ht="15.75" customHeight="1" x14ac:dyDescent="0.3"/>
    <row r="277" s="3" customFormat="1" ht="15.75" customHeight="1" x14ac:dyDescent="0.3"/>
    <row r="278" s="3" customFormat="1" ht="15.75" customHeight="1" x14ac:dyDescent="0.3"/>
    <row r="279" s="3" customFormat="1" ht="15.75" customHeight="1" x14ac:dyDescent="0.3"/>
    <row r="280" s="3" customFormat="1" ht="15.75" customHeight="1" x14ac:dyDescent="0.3"/>
    <row r="281" s="3" customFormat="1" ht="15.75" customHeight="1" x14ac:dyDescent="0.3"/>
    <row r="282" s="3" customFormat="1" ht="15.75" customHeight="1" x14ac:dyDescent="0.3"/>
    <row r="283" s="3" customFormat="1" ht="15.75" customHeight="1" x14ac:dyDescent="0.3"/>
    <row r="284" s="3" customFormat="1" ht="15.75" customHeight="1" x14ac:dyDescent="0.3"/>
    <row r="285" s="3" customFormat="1" ht="15.75" customHeight="1" x14ac:dyDescent="0.3"/>
    <row r="286" s="3" customFormat="1" ht="15.75" customHeight="1" x14ac:dyDescent="0.3"/>
    <row r="287" s="3" customFormat="1" ht="15.75" customHeight="1" x14ac:dyDescent="0.3"/>
    <row r="288" s="3" customFormat="1" ht="15.75" customHeight="1" x14ac:dyDescent="0.3"/>
    <row r="289" s="3" customFormat="1" ht="15.75" customHeight="1" x14ac:dyDescent="0.3"/>
    <row r="290" s="3" customFormat="1" ht="15.75" customHeight="1" x14ac:dyDescent="0.3"/>
    <row r="291" s="3" customFormat="1" ht="15.75" customHeight="1" x14ac:dyDescent="0.3"/>
    <row r="292" s="3" customFormat="1" ht="15.75" customHeight="1" x14ac:dyDescent="0.3"/>
    <row r="293" s="3" customFormat="1" ht="15.75" customHeight="1" x14ac:dyDescent="0.3"/>
    <row r="294" s="3" customFormat="1" ht="15.75" customHeight="1" x14ac:dyDescent="0.3"/>
    <row r="295" s="3" customFormat="1" ht="15.75" customHeight="1" x14ac:dyDescent="0.3"/>
    <row r="296" s="3" customFormat="1" ht="15.75" customHeight="1" x14ac:dyDescent="0.3"/>
    <row r="297" s="3" customFormat="1" ht="15.75" customHeight="1" x14ac:dyDescent="0.3"/>
    <row r="298" s="3" customFormat="1" ht="15.75" customHeight="1" x14ac:dyDescent="0.3"/>
    <row r="299" s="3" customFormat="1" ht="15.75" customHeight="1" x14ac:dyDescent="0.3"/>
    <row r="300" s="3" customFormat="1" ht="15.75" customHeight="1" x14ac:dyDescent="0.3"/>
    <row r="301" s="3" customFormat="1" ht="15.75" customHeight="1" x14ac:dyDescent="0.3"/>
    <row r="302" s="3" customFormat="1" ht="15.75" customHeight="1" x14ac:dyDescent="0.3"/>
    <row r="303" s="3" customFormat="1" ht="15.75" customHeight="1" x14ac:dyDescent="0.3"/>
    <row r="304" s="3" customFormat="1" ht="15.75" customHeight="1" x14ac:dyDescent="0.3"/>
    <row r="305" s="3" customFormat="1" ht="15.75" customHeight="1" x14ac:dyDescent="0.3"/>
    <row r="306" s="3" customFormat="1" ht="15.75" customHeight="1" x14ac:dyDescent="0.3"/>
    <row r="307" s="3" customFormat="1" ht="15.75" customHeight="1" x14ac:dyDescent="0.3"/>
    <row r="308" s="3" customFormat="1" ht="15.75" customHeight="1" x14ac:dyDescent="0.3"/>
    <row r="309" s="3" customFormat="1" ht="15.75" customHeight="1" x14ac:dyDescent="0.3"/>
    <row r="310" s="3" customFormat="1" ht="15.75" customHeight="1" x14ac:dyDescent="0.3"/>
    <row r="311" s="3" customFormat="1" ht="15.75" customHeight="1" x14ac:dyDescent="0.3"/>
    <row r="312" s="3" customFormat="1" ht="15.75" customHeight="1" x14ac:dyDescent="0.3"/>
    <row r="313" s="3" customFormat="1" ht="15.75" customHeight="1" x14ac:dyDescent="0.3"/>
    <row r="314" s="3" customFormat="1" ht="15.75" customHeight="1" x14ac:dyDescent="0.3"/>
    <row r="315" s="3" customFormat="1" ht="15.75" customHeight="1" x14ac:dyDescent="0.3"/>
    <row r="316" s="3" customFormat="1" ht="15.75" customHeight="1" x14ac:dyDescent="0.3"/>
    <row r="317" s="3" customFormat="1" ht="15.75" customHeight="1" x14ac:dyDescent="0.3"/>
    <row r="318" s="3" customFormat="1" ht="15.75" customHeight="1" x14ac:dyDescent="0.3"/>
    <row r="319" s="3" customFormat="1" ht="15.75" customHeight="1" x14ac:dyDescent="0.3"/>
    <row r="320" s="3" customFormat="1" ht="15.75" customHeight="1" x14ac:dyDescent="0.3"/>
    <row r="321" s="3" customFormat="1" ht="15.75" customHeight="1" x14ac:dyDescent="0.3"/>
    <row r="322" s="3" customFormat="1" ht="15.75" customHeight="1" x14ac:dyDescent="0.3"/>
    <row r="323" s="3" customFormat="1" ht="15.75" customHeight="1" x14ac:dyDescent="0.3"/>
    <row r="324" s="3" customFormat="1" ht="15.75" customHeight="1" x14ac:dyDescent="0.3"/>
    <row r="325" s="3" customFormat="1" ht="15.75" customHeight="1" x14ac:dyDescent="0.3"/>
    <row r="326" s="3" customFormat="1" ht="15.75" customHeight="1" x14ac:dyDescent="0.3"/>
    <row r="327" s="3" customFormat="1" ht="15.75" customHeight="1" x14ac:dyDescent="0.3"/>
    <row r="328" s="3" customFormat="1" ht="15.75" customHeight="1" x14ac:dyDescent="0.3"/>
    <row r="329" s="3" customFormat="1" ht="15.75" customHeight="1" x14ac:dyDescent="0.3"/>
    <row r="330" s="3" customFormat="1" ht="15.75" customHeight="1" x14ac:dyDescent="0.3"/>
    <row r="331" s="3" customFormat="1" ht="15.75" customHeight="1" x14ac:dyDescent="0.3"/>
    <row r="332" s="3" customFormat="1" ht="15.75" customHeight="1" x14ac:dyDescent="0.3"/>
    <row r="333" s="3" customFormat="1" ht="15.75" customHeight="1" x14ac:dyDescent="0.3"/>
    <row r="334" s="3" customFormat="1" ht="15.75" customHeight="1" x14ac:dyDescent="0.3"/>
    <row r="335" s="3" customFormat="1" ht="15.75" customHeight="1" x14ac:dyDescent="0.3"/>
    <row r="336" s="3" customFormat="1" ht="15.75" customHeight="1" x14ac:dyDescent="0.3"/>
    <row r="337" s="3" customFormat="1" ht="15.75" customHeight="1" x14ac:dyDescent="0.3"/>
    <row r="338" s="3" customFormat="1" ht="15.75" customHeight="1" x14ac:dyDescent="0.3"/>
    <row r="339" s="3" customFormat="1" ht="15.75" customHeight="1" x14ac:dyDescent="0.3"/>
    <row r="340" s="3" customFormat="1" ht="15.75" customHeight="1" x14ac:dyDescent="0.3"/>
    <row r="341" s="3" customFormat="1" ht="15.75" customHeight="1" x14ac:dyDescent="0.3"/>
    <row r="342" s="3" customFormat="1" ht="15.75" customHeight="1" x14ac:dyDescent="0.3"/>
    <row r="343" s="3" customFormat="1" ht="15.75" customHeight="1" x14ac:dyDescent="0.3"/>
    <row r="344" s="3" customFormat="1" ht="15.75" customHeight="1" x14ac:dyDescent="0.3"/>
    <row r="345" s="3" customFormat="1" ht="15.75" customHeight="1" x14ac:dyDescent="0.3"/>
    <row r="346" s="3" customFormat="1" ht="15.75" customHeight="1" x14ac:dyDescent="0.3"/>
    <row r="347" s="3" customFormat="1" ht="15.75" customHeight="1" x14ac:dyDescent="0.3"/>
    <row r="348" s="3" customFormat="1" ht="15.75" customHeight="1" x14ac:dyDescent="0.3"/>
    <row r="349" s="3" customFormat="1" ht="15.75" customHeight="1" x14ac:dyDescent="0.3"/>
    <row r="350" s="3" customFormat="1" ht="15.75" customHeight="1" x14ac:dyDescent="0.3"/>
    <row r="351" s="3" customFormat="1" ht="15.75" customHeight="1" x14ac:dyDescent="0.3"/>
    <row r="352" s="3" customFormat="1" ht="15.75" customHeight="1" x14ac:dyDescent="0.3"/>
    <row r="353" s="3" customFormat="1" ht="15.75" customHeight="1" x14ac:dyDescent="0.3"/>
    <row r="354" s="3" customFormat="1" ht="15.75" customHeight="1" x14ac:dyDescent="0.3"/>
    <row r="355" s="3" customFormat="1" ht="15.75" customHeight="1" x14ac:dyDescent="0.3"/>
    <row r="356" s="3" customFormat="1" ht="15.75" customHeight="1" x14ac:dyDescent="0.3"/>
    <row r="357" s="3" customFormat="1" ht="15.75" customHeight="1" x14ac:dyDescent="0.3"/>
    <row r="358" s="3" customFormat="1" ht="15.75" customHeight="1" x14ac:dyDescent="0.3"/>
    <row r="359" s="3" customFormat="1" ht="15.75" customHeight="1" x14ac:dyDescent="0.3"/>
    <row r="360" s="3" customFormat="1" ht="15.75" customHeight="1" x14ac:dyDescent="0.3"/>
    <row r="361" s="3" customFormat="1" ht="15.75" customHeight="1" x14ac:dyDescent="0.3"/>
    <row r="362" s="3" customFormat="1" ht="15.75" customHeight="1" x14ac:dyDescent="0.3"/>
    <row r="363" s="3" customFormat="1" ht="15.75" customHeight="1" x14ac:dyDescent="0.3"/>
    <row r="364" s="3" customFormat="1" ht="15.75" customHeight="1" x14ac:dyDescent="0.3"/>
    <row r="365" s="3" customFormat="1" ht="15.75" customHeight="1" x14ac:dyDescent="0.3"/>
    <row r="366" s="3" customFormat="1" ht="15.75" customHeight="1" x14ac:dyDescent="0.3"/>
    <row r="367" s="3" customFormat="1" ht="15.75" customHeight="1" x14ac:dyDescent="0.3"/>
    <row r="368" s="3" customFormat="1" ht="15.75" customHeight="1" x14ac:dyDescent="0.3"/>
    <row r="369" s="3" customFormat="1" ht="15.75" customHeight="1" x14ac:dyDescent="0.3"/>
    <row r="370" s="3" customFormat="1" ht="15.75" customHeight="1" x14ac:dyDescent="0.3"/>
    <row r="371" s="3" customFormat="1" ht="15.75" customHeight="1" x14ac:dyDescent="0.3"/>
    <row r="372" s="3" customFormat="1" ht="15.75" customHeight="1" x14ac:dyDescent="0.3"/>
    <row r="373" s="3" customFormat="1" ht="15.75" customHeight="1" x14ac:dyDescent="0.3"/>
    <row r="374" s="3" customFormat="1" ht="15.75" customHeight="1" x14ac:dyDescent="0.3"/>
    <row r="375" s="3" customFormat="1" ht="15.75" customHeight="1" x14ac:dyDescent="0.3"/>
    <row r="376" s="3" customFormat="1" ht="15.75" customHeight="1" x14ac:dyDescent="0.3"/>
    <row r="377" s="3" customFormat="1" ht="15.75" customHeight="1" x14ac:dyDescent="0.3"/>
    <row r="378" s="3" customFormat="1" ht="15.75" customHeight="1" x14ac:dyDescent="0.3"/>
    <row r="379" s="3" customFormat="1" ht="15.75" customHeight="1" x14ac:dyDescent="0.3"/>
    <row r="380" s="3" customFormat="1" ht="15.75" customHeight="1" x14ac:dyDescent="0.3"/>
    <row r="381" s="3" customFormat="1" ht="15.75" customHeight="1" x14ac:dyDescent="0.3"/>
    <row r="382" s="3" customFormat="1" ht="15.75" customHeight="1" x14ac:dyDescent="0.3"/>
    <row r="383" s="3" customFormat="1" ht="15.75" customHeight="1" x14ac:dyDescent="0.3"/>
    <row r="384" s="3" customFormat="1" ht="15.75" customHeight="1" x14ac:dyDescent="0.3"/>
    <row r="385" s="3" customFormat="1" ht="15.75" customHeight="1" x14ac:dyDescent="0.3"/>
    <row r="386" s="3" customFormat="1" ht="15.75" customHeight="1" x14ac:dyDescent="0.3"/>
    <row r="387" s="3" customFormat="1" ht="15.75" customHeight="1" x14ac:dyDescent="0.3"/>
    <row r="388" s="3" customFormat="1" ht="15.75" customHeight="1" x14ac:dyDescent="0.3"/>
    <row r="389" s="3" customFormat="1" ht="15.75" customHeight="1" x14ac:dyDescent="0.3"/>
    <row r="390" s="3" customFormat="1" ht="15.75" customHeight="1" x14ac:dyDescent="0.3"/>
    <row r="391" s="3" customFormat="1" ht="15.75" customHeight="1" x14ac:dyDescent="0.3"/>
    <row r="392" s="3" customFormat="1" ht="15.75" customHeight="1" x14ac:dyDescent="0.3"/>
    <row r="393" s="3" customFormat="1" ht="15.75" customHeight="1" x14ac:dyDescent="0.3"/>
    <row r="394" s="3" customFormat="1" ht="15.75" customHeight="1" x14ac:dyDescent="0.3"/>
    <row r="395" s="3" customFormat="1" ht="15.75" customHeight="1" x14ac:dyDescent="0.3"/>
    <row r="396" s="3" customFormat="1" ht="15.75" customHeight="1" x14ac:dyDescent="0.3"/>
    <row r="397" s="3" customFormat="1" ht="15.75" customHeight="1" x14ac:dyDescent="0.3"/>
    <row r="398" s="3" customFormat="1" ht="15.75" customHeight="1" x14ac:dyDescent="0.3"/>
    <row r="399" s="3" customFormat="1" ht="15.75" customHeight="1" x14ac:dyDescent="0.3"/>
    <row r="400" s="3" customFormat="1" ht="15.75" customHeight="1" x14ac:dyDescent="0.3"/>
    <row r="401" s="3" customFormat="1" ht="15.75" customHeight="1" x14ac:dyDescent="0.3"/>
    <row r="402" s="3" customFormat="1" ht="15.75" customHeight="1" x14ac:dyDescent="0.3"/>
    <row r="403" s="3" customFormat="1" ht="15.75" customHeight="1" x14ac:dyDescent="0.3"/>
    <row r="404" s="3" customFormat="1" ht="15.75" customHeight="1" x14ac:dyDescent="0.3"/>
    <row r="405" s="3" customFormat="1" ht="15.75" customHeight="1" x14ac:dyDescent="0.3"/>
    <row r="406" s="3" customFormat="1" ht="15.75" customHeight="1" x14ac:dyDescent="0.3"/>
    <row r="407" s="3" customFormat="1" ht="15.75" customHeight="1" x14ac:dyDescent="0.3"/>
    <row r="408" s="3" customFormat="1" ht="15.75" customHeight="1" x14ac:dyDescent="0.3"/>
    <row r="409" s="3" customFormat="1" ht="15.75" customHeight="1" x14ac:dyDescent="0.3"/>
    <row r="410" s="3" customFormat="1" ht="15.75" customHeight="1" x14ac:dyDescent="0.3"/>
    <row r="411" s="3" customFormat="1" ht="15.75" customHeight="1" x14ac:dyDescent="0.3"/>
    <row r="412" s="3" customFormat="1" ht="15.75" customHeight="1" x14ac:dyDescent="0.3"/>
    <row r="413" s="3" customFormat="1" ht="15.75" customHeight="1" x14ac:dyDescent="0.3"/>
    <row r="414" s="3" customFormat="1" ht="15.75" customHeight="1" x14ac:dyDescent="0.3"/>
    <row r="415" s="3" customFormat="1" ht="15.75" customHeight="1" x14ac:dyDescent="0.3"/>
    <row r="416" s="3" customFormat="1" ht="15.75" customHeight="1" x14ac:dyDescent="0.3"/>
    <row r="417" s="3" customFormat="1" ht="15.75" customHeight="1" x14ac:dyDescent="0.3"/>
    <row r="418" s="3" customFormat="1" ht="15.75" customHeight="1" x14ac:dyDescent="0.3"/>
    <row r="419" s="3" customFormat="1" ht="15.75" customHeight="1" x14ac:dyDescent="0.3"/>
    <row r="420" s="3" customFormat="1" ht="15.75" customHeight="1" x14ac:dyDescent="0.3"/>
    <row r="421" s="3" customFormat="1" ht="15.75" customHeight="1" x14ac:dyDescent="0.3"/>
    <row r="422" s="3" customFormat="1" ht="15.75" customHeight="1" x14ac:dyDescent="0.3"/>
    <row r="423" s="3" customFormat="1" ht="15.75" customHeight="1" x14ac:dyDescent="0.3"/>
    <row r="424" s="3" customFormat="1" ht="15.75" customHeight="1" x14ac:dyDescent="0.3"/>
    <row r="425" s="3" customFormat="1" ht="15.75" customHeight="1" x14ac:dyDescent="0.3"/>
    <row r="426" s="3" customFormat="1" ht="15.75" customHeight="1" x14ac:dyDescent="0.3"/>
    <row r="427" s="3" customFormat="1" ht="15.75" customHeight="1" x14ac:dyDescent="0.3"/>
    <row r="428" s="3" customFormat="1" ht="15.75" customHeight="1" x14ac:dyDescent="0.3"/>
    <row r="429" s="3" customFormat="1" ht="15.75" customHeight="1" x14ac:dyDescent="0.3"/>
    <row r="430" s="3" customFormat="1" ht="15.75" customHeight="1" x14ac:dyDescent="0.3"/>
    <row r="431" s="3" customFormat="1" ht="15.75" customHeight="1" x14ac:dyDescent="0.3"/>
    <row r="432" s="3" customFormat="1" ht="15.75" customHeight="1" x14ac:dyDescent="0.3"/>
    <row r="433" s="3" customFormat="1" ht="15.75" customHeight="1" x14ac:dyDescent="0.3"/>
    <row r="434" s="3" customFormat="1" ht="15.75" customHeight="1" x14ac:dyDescent="0.3"/>
    <row r="435" s="3" customFormat="1" ht="15.75" customHeight="1" x14ac:dyDescent="0.3"/>
    <row r="436" s="3" customFormat="1" ht="15.75" customHeight="1" x14ac:dyDescent="0.3"/>
    <row r="437" s="3" customFormat="1" ht="15.75" customHeight="1" x14ac:dyDescent="0.3"/>
    <row r="438" s="3" customFormat="1" ht="15.75" customHeight="1" x14ac:dyDescent="0.3"/>
    <row r="439" s="3" customFormat="1" ht="15.75" customHeight="1" x14ac:dyDescent="0.3"/>
    <row r="440" s="3" customFormat="1" ht="15.75" customHeight="1" x14ac:dyDescent="0.3"/>
    <row r="441" s="3" customFormat="1" ht="15.75" customHeight="1" x14ac:dyDescent="0.3"/>
    <row r="442" s="3" customFormat="1" ht="15.75" customHeight="1" x14ac:dyDescent="0.3"/>
    <row r="443" s="3" customFormat="1" ht="15.75" customHeight="1" x14ac:dyDescent="0.3"/>
    <row r="444" s="3" customFormat="1" ht="15.75" customHeight="1" x14ac:dyDescent="0.3"/>
    <row r="445" s="3" customFormat="1" ht="15.75" customHeight="1" x14ac:dyDescent="0.3"/>
    <row r="446" s="3" customFormat="1" ht="15.75" customHeight="1" x14ac:dyDescent="0.3"/>
    <row r="447" s="3" customFormat="1" ht="15.75" customHeight="1" x14ac:dyDescent="0.3"/>
    <row r="448" s="3" customFormat="1" ht="15.75" customHeight="1" x14ac:dyDescent="0.3"/>
    <row r="449" s="3" customFormat="1" ht="15.75" customHeight="1" x14ac:dyDescent="0.3"/>
    <row r="450" s="3" customFormat="1" ht="15.75" customHeight="1" x14ac:dyDescent="0.3"/>
    <row r="451" s="3" customFormat="1" ht="15.75" customHeight="1" x14ac:dyDescent="0.3"/>
    <row r="452" s="3" customFormat="1" ht="15.75" customHeight="1" x14ac:dyDescent="0.3"/>
    <row r="453" s="3" customFormat="1" ht="15.75" customHeight="1" x14ac:dyDescent="0.3"/>
    <row r="454" s="3" customFormat="1" ht="15.75" customHeight="1" x14ac:dyDescent="0.3"/>
    <row r="455" s="3" customFormat="1" ht="15.75" customHeight="1" x14ac:dyDescent="0.3"/>
    <row r="456" s="3" customFormat="1" ht="15.75" customHeight="1" x14ac:dyDescent="0.3"/>
    <row r="457" s="3" customFormat="1" ht="15.75" customHeight="1" x14ac:dyDescent="0.3"/>
    <row r="458" s="3" customFormat="1" ht="15.75" customHeight="1" x14ac:dyDescent="0.3"/>
    <row r="459" s="3" customFormat="1" ht="15.75" customHeight="1" x14ac:dyDescent="0.3"/>
    <row r="460" s="3" customFormat="1" ht="15.75" customHeight="1" x14ac:dyDescent="0.3"/>
    <row r="461" s="3" customFormat="1" ht="15.75" customHeight="1" x14ac:dyDescent="0.3"/>
    <row r="462" s="3" customFormat="1" ht="15.75" customHeight="1" x14ac:dyDescent="0.3"/>
    <row r="463" s="3" customFormat="1" ht="15.75" customHeight="1" x14ac:dyDescent="0.3"/>
    <row r="464" s="3" customFormat="1" ht="15.75" customHeight="1" x14ac:dyDescent="0.3"/>
    <row r="465" s="3" customFormat="1" ht="15.75" customHeight="1" x14ac:dyDescent="0.3"/>
    <row r="466" s="3" customFormat="1" ht="15.75" customHeight="1" x14ac:dyDescent="0.3"/>
    <row r="467" s="3" customFormat="1" ht="15.75" customHeight="1" x14ac:dyDescent="0.3"/>
    <row r="468" s="3" customFormat="1" ht="15.75" customHeight="1" x14ac:dyDescent="0.3"/>
    <row r="469" s="3" customFormat="1" ht="15.75" customHeight="1" x14ac:dyDescent="0.3"/>
    <row r="470" s="3" customFormat="1" ht="15.75" customHeight="1" x14ac:dyDescent="0.3"/>
    <row r="471" s="3" customFormat="1" ht="15.75" customHeight="1" x14ac:dyDescent="0.3"/>
    <row r="472" s="3" customFormat="1" ht="15.75" customHeight="1" x14ac:dyDescent="0.3"/>
    <row r="473" s="3" customFormat="1" ht="15.75" customHeight="1" x14ac:dyDescent="0.3"/>
    <row r="474" s="3" customFormat="1" ht="15.75" customHeight="1" x14ac:dyDescent="0.3"/>
    <row r="475" s="3" customFormat="1" ht="15.75" customHeight="1" x14ac:dyDescent="0.3"/>
    <row r="476" s="3" customFormat="1" ht="15.75" customHeight="1" x14ac:dyDescent="0.3"/>
    <row r="477" s="3" customFormat="1" ht="15.75" customHeight="1" x14ac:dyDescent="0.3"/>
    <row r="478" s="3" customFormat="1" ht="15.75" customHeight="1" x14ac:dyDescent="0.3"/>
    <row r="479" s="3" customFormat="1" ht="15.75" customHeight="1" x14ac:dyDescent="0.3"/>
    <row r="480" s="3" customFormat="1" ht="15.75" customHeight="1" x14ac:dyDescent="0.3"/>
    <row r="481" s="3" customFormat="1" ht="15.75" customHeight="1" x14ac:dyDescent="0.3"/>
    <row r="482" s="3" customFormat="1" ht="15.75" customHeight="1" x14ac:dyDescent="0.3"/>
    <row r="483" s="3" customFormat="1" ht="15.75" customHeight="1" x14ac:dyDescent="0.3"/>
    <row r="484" s="3" customFormat="1" ht="15.75" customHeight="1" x14ac:dyDescent="0.3"/>
    <row r="485" s="3" customFormat="1" ht="15.75" customHeight="1" x14ac:dyDescent="0.3"/>
    <row r="486" s="3" customFormat="1" ht="15.75" customHeight="1" x14ac:dyDescent="0.3"/>
    <row r="487" s="3" customFormat="1" ht="15.75" customHeight="1" x14ac:dyDescent="0.3"/>
    <row r="488" s="3" customFormat="1" ht="15.75" customHeight="1" x14ac:dyDescent="0.3"/>
    <row r="489" s="3" customFormat="1" ht="15.75" customHeight="1" x14ac:dyDescent="0.3"/>
    <row r="490" s="3" customFormat="1" ht="15.75" customHeight="1" x14ac:dyDescent="0.3"/>
    <row r="491" s="3" customFormat="1" ht="15.75" customHeight="1" x14ac:dyDescent="0.3"/>
    <row r="492" s="3" customFormat="1" ht="15.75" customHeight="1" x14ac:dyDescent="0.3"/>
    <row r="493" s="3" customFormat="1" ht="15.75" customHeight="1" x14ac:dyDescent="0.3"/>
    <row r="494" s="3" customFormat="1" ht="15.75" customHeight="1" x14ac:dyDescent="0.3"/>
    <row r="495" s="3" customFormat="1" ht="15.75" customHeight="1" x14ac:dyDescent="0.3"/>
    <row r="496" s="3" customFormat="1" ht="15.75" customHeight="1" x14ac:dyDescent="0.3"/>
    <row r="497" s="3" customFormat="1" ht="15.75" customHeight="1" x14ac:dyDescent="0.3"/>
    <row r="498" s="3" customFormat="1" ht="15.75" customHeight="1" x14ac:dyDescent="0.3"/>
    <row r="499" s="3" customFormat="1" ht="15.75" customHeight="1" x14ac:dyDescent="0.3"/>
    <row r="500" s="3" customFormat="1" ht="15.75" customHeight="1" x14ac:dyDescent="0.3"/>
    <row r="501" s="3" customFormat="1" ht="15.75" customHeight="1" x14ac:dyDescent="0.3"/>
    <row r="502" s="3" customFormat="1" ht="15.75" customHeight="1" x14ac:dyDescent="0.3"/>
    <row r="503" s="3" customFormat="1" ht="15.75" customHeight="1" x14ac:dyDescent="0.3"/>
    <row r="504" s="3" customFormat="1" ht="15.75" customHeight="1" x14ac:dyDescent="0.3"/>
    <row r="505" s="3" customFormat="1" ht="15.75" customHeight="1" x14ac:dyDescent="0.3"/>
    <row r="506" s="3" customFormat="1" ht="15.75" customHeight="1" x14ac:dyDescent="0.3"/>
    <row r="507" s="3" customFormat="1" ht="15.75" customHeight="1" x14ac:dyDescent="0.3"/>
    <row r="508" s="3" customFormat="1" ht="15.75" customHeight="1" x14ac:dyDescent="0.3"/>
    <row r="509" s="3" customFormat="1" ht="15.75" customHeight="1" x14ac:dyDescent="0.3"/>
    <row r="510" s="3" customFormat="1" ht="15.75" customHeight="1" x14ac:dyDescent="0.3"/>
    <row r="511" s="3" customFormat="1" ht="15.75" customHeight="1" x14ac:dyDescent="0.3"/>
    <row r="512" s="3" customFormat="1" ht="15.75" customHeight="1" x14ac:dyDescent="0.3"/>
    <row r="513" s="3" customFormat="1" ht="15.75" customHeight="1" x14ac:dyDescent="0.3"/>
    <row r="514" s="3" customFormat="1" ht="15.75" customHeight="1" x14ac:dyDescent="0.3"/>
    <row r="515" s="3" customFormat="1" ht="15.75" customHeight="1" x14ac:dyDescent="0.3"/>
    <row r="516" s="3" customFormat="1" ht="15.75" customHeight="1" x14ac:dyDescent="0.3"/>
    <row r="517" s="3" customFormat="1" ht="15.75" customHeight="1" x14ac:dyDescent="0.3"/>
    <row r="518" s="3" customFormat="1" ht="15.75" customHeight="1" x14ac:dyDescent="0.3"/>
    <row r="519" s="3" customFormat="1" ht="15.75" customHeight="1" x14ac:dyDescent="0.3"/>
    <row r="520" s="3" customFormat="1" ht="15.75" customHeight="1" x14ac:dyDescent="0.3"/>
    <row r="521" s="3" customFormat="1" ht="15.75" customHeight="1" x14ac:dyDescent="0.3"/>
    <row r="522" s="3" customFormat="1" ht="15.75" customHeight="1" x14ac:dyDescent="0.3"/>
    <row r="523" s="3" customFormat="1" ht="15.75" customHeight="1" x14ac:dyDescent="0.3"/>
    <row r="524" s="3" customFormat="1" ht="15.75" customHeight="1" x14ac:dyDescent="0.3"/>
    <row r="525" s="3" customFormat="1" ht="15.75" customHeight="1" x14ac:dyDescent="0.3"/>
    <row r="526" s="3" customFormat="1" ht="15.75" customHeight="1" x14ac:dyDescent="0.3"/>
    <row r="527" s="3" customFormat="1" ht="15.75" customHeight="1" x14ac:dyDescent="0.3"/>
    <row r="528" s="3" customFormat="1" ht="15.75" customHeight="1" x14ac:dyDescent="0.3"/>
    <row r="529" s="3" customFormat="1" ht="15.75" customHeight="1" x14ac:dyDescent="0.3"/>
    <row r="530" s="3" customFormat="1" ht="15.75" customHeight="1" x14ac:dyDescent="0.3"/>
    <row r="531" s="3" customFormat="1" ht="15.75" customHeight="1" x14ac:dyDescent="0.3"/>
    <row r="532" s="3" customFormat="1" ht="15.75" customHeight="1" x14ac:dyDescent="0.3"/>
    <row r="533" s="3" customFormat="1" ht="15.75" customHeight="1" x14ac:dyDescent="0.3"/>
    <row r="534" s="3" customFormat="1" ht="15.75" customHeight="1" x14ac:dyDescent="0.3"/>
    <row r="535" s="3" customFormat="1" ht="15.75" customHeight="1" x14ac:dyDescent="0.3"/>
    <row r="536" s="3" customFormat="1" ht="15.75" customHeight="1" x14ac:dyDescent="0.3"/>
    <row r="537" s="3" customFormat="1" ht="15.75" customHeight="1" x14ac:dyDescent="0.3"/>
    <row r="538" s="3" customFormat="1" ht="15.75" customHeight="1" x14ac:dyDescent="0.3"/>
    <row r="539" s="3" customFormat="1" ht="15.75" customHeight="1" x14ac:dyDescent="0.3"/>
    <row r="540" s="3" customFormat="1" ht="15.75" customHeight="1" x14ac:dyDescent="0.3"/>
    <row r="541" s="3" customFormat="1" ht="15.75" customHeight="1" x14ac:dyDescent="0.3"/>
    <row r="542" s="3" customFormat="1" ht="15.75" customHeight="1" x14ac:dyDescent="0.3"/>
    <row r="543" s="3" customFormat="1" ht="15.75" customHeight="1" x14ac:dyDescent="0.3"/>
    <row r="544" s="3" customFormat="1" ht="15.75" customHeight="1" x14ac:dyDescent="0.3"/>
    <row r="545" s="3" customFormat="1" ht="15.75" customHeight="1" x14ac:dyDescent="0.3"/>
    <row r="546" s="3" customFormat="1" ht="15.75" customHeight="1" x14ac:dyDescent="0.3"/>
    <row r="547" s="3" customFormat="1" ht="15.75" customHeight="1" x14ac:dyDescent="0.3"/>
    <row r="548" s="3" customFormat="1" ht="15.75" customHeight="1" x14ac:dyDescent="0.3"/>
    <row r="549" s="3" customFormat="1" ht="15.75" customHeight="1" x14ac:dyDescent="0.3"/>
    <row r="550" s="3" customFormat="1" ht="15.75" customHeight="1" x14ac:dyDescent="0.3"/>
    <row r="551" s="3" customFormat="1" ht="15.75" customHeight="1" x14ac:dyDescent="0.3"/>
    <row r="552" s="3" customFormat="1" ht="15.75" customHeight="1" x14ac:dyDescent="0.3"/>
    <row r="553" s="3" customFormat="1" ht="15.75" customHeight="1" x14ac:dyDescent="0.3"/>
    <row r="554" s="3" customFormat="1" ht="15.75" customHeight="1" x14ac:dyDescent="0.3"/>
    <row r="555" s="3" customFormat="1" ht="15.75" customHeight="1" x14ac:dyDescent="0.3"/>
    <row r="556" s="3" customFormat="1" ht="15.75" customHeight="1" x14ac:dyDescent="0.3"/>
    <row r="557" s="3" customFormat="1" ht="15.75" customHeight="1" x14ac:dyDescent="0.3"/>
    <row r="558" s="3" customFormat="1" ht="15.75" customHeight="1" x14ac:dyDescent="0.3"/>
    <row r="559" s="3" customFormat="1" ht="15.75" customHeight="1" x14ac:dyDescent="0.3"/>
    <row r="560" s="3" customFormat="1" ht="15.75" customHeight="1" x14ac:dyDescent="0.3"/>
    <row r="561" s="3" customFormat="1" ht="15.75" customHeight="1" x14ac:dyDescent="0.3"/>
    <row r="562" s="3" customFormat="1" ht="15.75" customHeight="1" x14ac:dyDescent="0.3"/>
    <row r="563" s="3" customFormat="1" ht="15.75" customHeight="1" x14ac:dyDescent="0.3"/>
    <row r="564" s="3" customFormat="1" ht="15.75" customHeight="1" x14ac:dyDescent="0.3"/>
    <row r="565" s="3" customFormat="1" ht="15.75" customHeight="1" x14ac:dyDescent="0.3"/>
    <row r="566" s="3" customFormat="1" ht="15.75" customHeight="1" x14ac:dyDescent="0.3"/>
    <row r="567" s="3" customFormat="1" ht="15.75" customHeight="1" x14ac:dyDescent="0.3"/>
    <row r="568" s="3" customFormat="1" ht="15.75" customHeight="1" x14ac:dyDescent="0.3"/>
    <row r="569" s="3" customFormat="1" ht="15.75" customHeight="1" x14ac:dyDescent="0.3"/>
    <row r="570" s="3" customFormat="1" ht="15.75" customHeight="1" x14ac:dyDescent="0.3"/>
    <row r="571" s="3" customFormat="1" ht="15.75" customHeight="1" x14ac:dyDescent="0.3"/>
    <row r="572" s="3" customFormat="1" ht="15.75" customHeight="1" x14ac:dyDescent="0.3"/>
    <row r="573" s="3" customFormat="1" ht="15.75" customHeight="1" x14ac:dyDescent="0.3"/>
    <row r="574" s="3" customFormat="1" ht="15.75" customHeight="1" x14ac:dyDescent="0.3"/>
    <row r="575" s="3" customFormat="1" ht="15.75" customHeight="1" x14ac:dyDescent="0.3"/>
    <row r="576" s="3" customFormat="1" ht="15.75" customHeight="1" x14ac:dyDescent="0.3"/>
    <row r="577" s="3" customFormat="1" ht="15.75" customHeight="1" x14ac:dyDescent="0.3"/>
    <row r="578" s="3" customFormat="1" ht="15.75" customHeight="1" x14ac:dyDescent="0.3"/>
    <row r="579" s="3" customFormat="1" ht="15.75" customHeight="1" x14ac:dyDescent="0.3"/>
    <row r="580" s="3" customFormat="1" ht="15.75" customHeight="1" x14ac:dyDescent="0.3"/>
    <row r="581" s="3" customFormat="1" ht="15.75" customHeight="1" x14ac:dyDescent="0.3"/>
    <row r="582" s="3" customFormat="1" ht="15.75" customHeight="1" x14ac:dyDescent="0.3"/>
    <row r="583" s="3" customFormat="1" ht="15.75" customHeight="1" x14ac:dyDescent="0.3"/>
    <row r="584" s="3" customFormat="1" ht="15.75" customHeight="1" x14ac:dyDescent="0.3"/>
    <row r="585" s="3" customFormat="1" ht="15.75" customHeight="1" x14ac:dyDescent="0.3"/>
    <row r="586" s="3" customFormat="1" ht="15.75" customHeight="1" x14ac:dyDescent="0.3"/>
    <row r="587" s="3" customFormat="1" ht="15.75" customHeight="1" x14ac:dyDescent="0.3"/>
    <row r="588" s="3" customFormat="1" ht="15.75" customHeight="1" x14ac:dyDescent="0.3"/>
    <row r="589" s="3" customFormat="1" ht="15.75" customHeight="1" x14ac:dyDescent="0.3"/>
    <row r="590" s="3" customFormat="1" ht="15.75" customHeight="1" x14ac:dyDescent="0.3"/>
    <row r="591" s="3" customFormat="1" ht="15.75" customHeight="1" x14ac:dyDescent="0.3"/>
    <row r="592" s="3" customFormat="1" ht="15.75" customHeight="1" x14ac:dyDescent="0.3"/>
    <row r="593" s="3" customFormat="1" ht="15.75" customHeight="1" x14ac:dyDescent="0.3"/>
    <row r="594" s="3" customFormat="1" ht="15.75" customHeight="1" x14ac:dyDescent="0.3"/>
    <row r="595" s="3" customFormat="1" ht="15.75" customHeight="1" x14ac:dyDescent="0.3"/>
    <row r="596" s="3" customFormat="1" ht="15.75" customHeight="1" x14ac:dyDescent="0.3"/>
    <row r="597" s="3" customFormat="1" ht="15.75" customHeight="1" x14ac:dyDescent="0.3"/>
    <row r="598" s="3" customFormat="1" ht="15.75" customHeight="1" x14ac:dyDescent="0.3"/>
    <row r="599" s="3" customFormat="1" ht="15.75" customHeight="1" x14ac:dyDescent="0.3"/>
    <row r="600" s="3" customFormat="1" ht="15.75" customHeight="1" x14ac:dyDescent="0.3"/>
    <row r="601" s="3" customFormat="1" ht="15.75" customHeight="1" x14ac:dyDescent="0.3"/>
    <row r="602" s="3" customFormat="1" ht="15.75" customHeight="1" x14ac:dyDescent="0.3"/>
    <row r="603" s="3" customFormat="1" ht="15.75" customHeight="1" x14ac:dyDescent="0.3"/>
    <row r="604" s="3" customFormat="1" ht="15.75" customHeight="1" x14ac:dyDescent="0.3"/>
    <row r="605" s="3" customFormat="1" ht="15.75" customHeight="1" x14ac:dyDescent="0.3"/>
    <row r="606" s="3" customFormat="1" ht="15.75" customHeight="1" x14ac:dyDescent="0.3"/>
    <row r="607" s="3" customFormat="1" ht="15.75" customHeight="1" x14ac:dyDescent="0.3"/>
    <row r="608" s="3" customFormat="1" ht="15.75" customHeight="1" x14ac:dyDescent="0.3"/>
    <row r="609" s="3" customFormat="1" ht="15.75" customHeight="1" x14ac:dyDescent="0.3"/>
    <row r="610" s="3" customFormat="1" ht="15.75" customHeight="1" x14ac:dyDescent="0.3"/>
    <row r="611" s="3" customFormat="1" ht="15.75" customHeight="1" x14ac:dyDescent="0.3"/>
    <row r="612" s="3" customFormat="1" ht="15.75" customHeight="1" x14ac:dyDescent="0.3"/>
    <row r="613" s="3" customFormat="1" ht="15.75" customHeight="1" x14ac:dyDescent="0.3"/>
    <row r="614" s="3" customFormat="1" ht="15.75" customHeight="1" x14ac:dyDescent="0.3"/>
    <row r="615" s="3" customFormat="1" ht="15.75" customHeight="1" x14ac:dyDescent="0.3"/>
    <row r="616" s="3" customFormat="1" ht="15.75" customHeight="1" x14ac:dyDescent="0.3"/>
    <row r="617" s="3" customFormat="1" ht="15.75" customHeight="1" x14ac:dyDescent="0.3"/>
    <row r="618" s="3" customFormat="1" ht="15.75" customHeight="1" x14ac:dyDescent="0.3"/>
    <row r="619" s="3" customFormat="1" ht="15.75" customHeight="1" x14ac:dyDescent="0.3"/>
    <row r="620" s="3" customFormat="1" ht="15.75" customHeight="1" x14ac:dyDescent="0.3"/>
    <row r="621" s="3" customFormat="1" ht="15.75" customHeight="1" x14ac:dyDescent="0.3"/>
    <row r="622" s="3" customFormat="1" ht="15.75" customHeight="1" x14ac:dyDescent="0.3"/>
    <row r="623" s="3" customFormat="1" ht="15.75" customHeight="1" x14ac:dyDescent="0.3"/>
    <row r="624" s="3" customFormat="1" ht="15.75" customHeight="1" x14ac:dyDescent="0.3"/>
    <row r="625" s="3" customFormat="1" ht="15.75" customHeight="1" x14ac:dyDescent="0.3"/>
    <row r="626" s="3" customFormat="1" ht="15.75" customHeight="1" x14ac:dyDescent="0.3"/>
    <row r="627" s="3" customFormat="1" ht="15.75" customHeight="1" x14ac:dyDescent="0.3"/>
    <row r="628" s="3" customFormat="1" ht="15.75" customHeight="1" x14ac:dyDescent="0.3"/>
    <row r="629" s="3" customFormat="1" ht="15.75" customHeight="1" x14ac:dyDescent="0.3"/>
    <row r="630" s="3" customFormat="1" ht="15.75" customHeight="1" x14ac:dyDescent="0.3"/>
    <row r="631" s="3" customFormat="1" ht="15.75" customHeight="1" x14ac:dyDescent="0.3"/>
    <row r="632" s="3" customFormat="1" ht="15.75" customHeight="1" x14ac:dyDescent="0.3"/>
    <row r="633" s="3" customFormat="1" ht="15.75" customHeight="1" x14ac:dyDescent="0.3"/>
    <row r="634" s="3" customFormat="1" ht="15.75" customHeight="1" x14ac:dyDescent="0.3"/>
    <row r="635" s="3" customFormat="1" ht="15.75" customHeight="1" x14ac:dyDescent="0.3"/>
    <row r="636" s="3" customFormat="1" ht="15.75" customHeight="1" x14ac:dyDescent="0.3"/>
    <row r="637" s="3" customFormat="1" ht="15.75" customHeight="1" x14ac:dyDescent="0.3"/>
    <row r="638" s="3" customFormat="1" ht="15.75" customHeight="1" x14ac:dyDescent="0.3"/>
    <row r="639" s="3" customFormat="1" ht="15.75" customHeight="1" x14ac:dyDescent="0.3"/>
    <row r="640" s="3" customFormat="1" ht="15.75" customHeight="1" x14ac:dyDescent="0.3"/>
    <row r="641" s="3" customFormat="1" ht="15.75" customHeight="1" x14ac:dyDescent="0.3"/>
    <row r="642" s="3" customFormat="1" ht="15.75" customHeight="1" x14ac:dyDescent="0.3"/>
    <row r="643" s="3" customFormat="1" ht="15.75" customHeight="1" x14ac:dyDescent="0.3"/>
    <row r="644" s="3" customFormat="1" ht="15.75" customHeight="1" x14ac:dyDescent="0.3"/>
    <row r="645" s="3" customFormat="1" ht="15.75" customHeight="1" x14ac:dyDescent="0.3"/>
    <row r="646" s="3" customFormat="1" ht="15.75" customHeight="1" x14ac:dyDescent="0.3"/>
    <row r="647" s="3" customFormat="1" ht="15.75" customHeight="1" x14ac:dyDescent="0.3"/>
    <row r="648" s="3" customFormat="1" ht="15.75" customHeight="1" x14ac:dyDescent="0.3"/>
    <row r="649" s="3" customFormat="1" ht="15.75" customHeight="1" x14ac:dyDescent="0.3"/>
    <row r="650" s="3" customFormat="1" ht="15.75" customHeight="1" x14ac:dyDescent="0.3"/>
    <row r="651" s="3" customFormat="1" ht="15.75" customHeight="1" x14ac:dyDescent="0.3"/>
    <row r="652" s="3" customFormat="1" ht="15.75" customHeight="1" x14ac:dyDescent="0.3"/>
    <row r="653" s="3" customFormat="1" ht="15.75" customHeight="1" x14ac:dyDescent="0.3"/>
    <row r="654" s="3" customFormat="1" ht="15.75" customHeight="1" x14ac:dyDescent="0.3"/>
    <row r="655" s="3" customFormat="1" ht="15.75" customHeight="1" x14ac:dyDescent="0.3"/>
    <row r="656" s="3" customFormat="1" ht="15.75" customHeight="1" x14ac:dyDescent="0.3"/>
    <row r="657" s="3" customFormat="1" ht="15.75" customHeight="1" x14ac:dyDescent="0.3"/>
    <row r="658" s="3" customFormat="1" ht="15.75" customHeight="1" x14ac:dyDescent="0.3"/>
    <row r="659" s="3" customFormat="1" ht="15.75" customHeight="1" x14ac:dyDescent="0.3"/>
    <row r="660" s="3" customFormat="1" ht="15.75" customHeight="1" x14ac:dyDescent="0.3"/>
    <row r="661" s="3" customFormat="1" ht="15.75" customHeight="1" x14ac:dyDescent="0.3"/>
    <row r="662" s="3" customFormat="1" ht="15.75" customHeight="1" x14ac:dyDescent="0.3"/>
    <row r="663" s="3" customFormat="1" ht="15.75" customHeight="1" x14ac:dyDescent="0.3"/>
    <row r="664" s="3" customFormat="1" ht="15.75" customHeight="1" x14ac:dyDescent="0.3"/>
    <row r="665" s="3" customFormat="1" ht="15.75" customHeight="1" x14ac:dyDescent="0.3"/>
    <row r="666" s="3" customFormat="1" ht="15.75" customHeight="1" x14ac:dyDescent="0.3"/>
    <row r="667" s="3" customFormat="1" ht="15.75" customHeight="1" x14ac:dyDescent="0.3"/>
    <row r="668" s="3" customFormat="1" ht="15.75" customHeight="1" x14ac:dyDescent="0.3"/>
    <row r="669" s="3" customFormat="1" ht="15.75" customHeight="1" x14ac:dyDescent="0.3"/>
    <row r="670" s="3" customFormat="1" ht="15.75" customHeight="1" x14ac:dyDescent="0.3"/>
    <row r="671" s="3" customFormat="1" ht="15.75" customHeight="1" x14ac:dyDescent="0.3"/>
    <row r="672" s="3" customFormat="1" ht="15.75" customHeight="1" x14ac:dyDescent="0.3"/>
    <row r="673" s="3" customFormat="1" ht="15.75" customHeight="1" x14ac:dyDescent="0.3"/>
    <row r="674" s="3" customFormat="1" ht="15.75" customHeight="1" x14ac:dyDescent="0.3"/>
    <row r="675" s="3" customFormat="1" ht="15.75" customHeight="1" x14ac:dyDescent="0.3"/>
    <row r="676" s="3" customFormat="1" ht="15.75" customHeight="1" x14ac:dyDescent="0.3"/>
    <row r="677" s="3" customFormat="1" ht="15.75" customHeight="1" x14ac:dyDescent="0.3"/>
    <row r="678" s="3" customFormat="1" ht="15.75" customHeight="1" x14ac:dyDescent="0.3"/>
    <row r="679" s="3" customFormat="1" ht="15.75" customHeight="1" x14ac:dyDescent="0.3"/>
    <row r="680" s="3" customFormat="1" ht="15.75" customHeight="1" x14ac:dyDescent="0.3"/>
    <row r="681" s="3" customFormat="1" ht="15.75" customHeight="1" x14ac:dyDescent="0.3"/>
    <row r="682" s="3" customFormat="1" ht="15.75" customHeight="1" x14ac:dyDescent="0.3"/>
    <row r="683" s="3" customFormat="1" ht="15.75" customHeight="1" x14ac:dyDescent="0.3"/>
    <row r="684" s="3" customFormat="1" ht="15.75" customHeight="1" x14ac:dyDescent="0.3"/>
    <row r="685" s="3" customFormat="1" ht="15.75" customHeight="1" x14ac:dyDescent="0.3"/>
    <row r="686" s="3" customFormat="1" ht="15.75" customHeight="1" x14ac:dyDescent="0.3"/>
    <row r="687" s="3" customFormat="1" ht="15.75" customHeight="1" x14ac:dyDescent="0.3"/>
    <row r="688" s="3" customFormat="1" ht="15.75" customHeight="1" x14ac:dyDescent="0.3"/>
    <row r="689" s="3" customFormat="1" ht="15.75" customHeight="1" x14ac:dyDescent="0.3"/>
    <row r="690" s="3" customFormat="1" ht="15.75" customHeight="1" x14ac:dyDescent="0.3"/>
    <row r="691" s="3" customFormat="1" ht="15.75" customHeight="1" x14ac:dyDescent="0.3"/>
    <row r="692" s="3" customFormat="1" ht="15.75" customHeight="1" x14ac:dyDescent="0.3"/>
    <row r="693" s="3" customFormat="1" ht="15.75" customHeight="1" x14ac:dyDescent="0.3"/>
    <row r="694" s="3" customFormat="1" ht="15.75" customHeight="1" x14ac:dyDescent="0.3"/>
    <row r="695" s="3" customFormat="1" ht="15.75" customHeight="1" x14ac:dyDescent="0.3"/>
    <row r="696" s="3" customFormat="1" ht="15.75" customHeight="1" x14ac:dyDescent="0.3"/>
    <row r="697" s="3" customFormat="1" ht="15.75" customHeight="1" x14ac:dyDescent="0.3"/>
    <row r="698" s="3" customFormat="1" ht="15.75" customHeight="1" x14ac:dyDescent="0.3"/>
    <row r="699" s="3" customFormat="1" ht="15.75" customHeight="1" x14ac:dyDescent="0.3"/>
    <row r="700" s="3" customFormat="1" ht="15.75" customHeight="1" x14ac:dyDescent="0.3"/>
    <row r="701" s="3" customFormat="1" ht="15.75" customHeight="1" x14ac:dyDescent="0.3"/>
    <row r="702" s="3" customFormat="1" ht="15.75" customHeight="1" x14ac:dyDescent="0.3"/>
    <row r="703" s="3" customFormat="1" ht="15.75" customHeight="1" x14ac:dyDescent="0.3"/>
    <row r="704" s="3" customFormat="1" ht="15.75" customHeight="1" x14ac:dyDescent="0.3"/>
    <row r="705" s="3" customFormat="1" ht="15.75" customHeight="1" x14ac:dyDescent="0.3"/>
    <row r="706" s="3" customFormat="1" ht="15.75" customHeight="1" x14ac:dyDescent="0.3"/>
    <row r="707" s="3" customFormat="1" ht="15.75" customHeight="1" x14ac:dyDescent="0.3"/>
    <row r="708" s="3" customFormat="1" ht="15.75" customHeight="1" x14ac:dyDescent="0.3"/>
    <row r="709" s="3" customFormat="1" ht="15.75" customHeight="1" x14ac:dyDescent="0.3"/>
    <row r="710" s="3" customFormat="1" ht="15.75" customHeight="1" x14ac:dyDescent="0.3"/>
    <row r="711" s="3" customFormat="1" ht="15.75" customHeight="1" x14ac:dyDescent="0.3"/>
    <row r="712" s="3" customFormat="1" ht="15.75" customHeight="1" x14ac:dyDescent="0.3"/>
    <row r="713" s="3" customFormat="1" ht="15.75" customHeight="1" x14ac:dyDescent="0.3"/>
    <row r="714" s="3" customFormat="1" ht="15.75" customHeight="1" x14ac:dyDescent="0.3"/>
    <row r="715" s="3" customFormat="1" ht="15.75" customHeight="1" x14ac:dyDescent="0.3"/>
    <row r="716" s="3" customFormat="1" ht="15.75" customHeight="1" x14ac:dyDescent="0.3"/>
    <row r="717" s="3" customFormat="1" ht="15.75" customHeight="1" x14ac:dyDescent="0.3"/>
    <row r="718" s="3" customFormat="1" ht="15.75" customHeight="1" x14ac:dyDescent="0.3"/>
    <row r="719" s="3" customFormat="1" ht="15.75" customHeight="1" x14ac:dyDescent="0.3"/>
    <row r="720" s="3" customFormat="1" ht="15.75" customHeight="1" x14ac:dyDescent="0.3"/>
    <row r="721" s="3" customFormat="1" ht="15.75" customHeight="1" x14ac:dyDescent="0.3"/>
    <row r="722" s="3" customFormat="1" ht="15.75" customHeight="1" x14ac:dyDescent="0.3"/>
    <row r="723" s="3" customFormat="1" ht="15.75" customHeight="1" x14ac:dyDescent="0.3"/>
    <row r="724" s="3" customFormat="1" ht="15.75" customHeight="1" x14ac:dyDescent="0.3"/>
    <row r="725" s="3" customFormat="1" ht="15.75" customHeight="1" x14ac:dyDescent="0.3"/>
    <row r="726" s="3" customFormat="1" ht="15.75" customHeight="1" x14ac:dyDescent="0.3"/>
    <row r="727" s="3" customFormat="1" ht="15.75" customHeight="1" x14ac:dyDescent="0.3"/>
    <row r="728" s="3" customFormat="1" ht="15.75" customHeight="1" x14ac:dyDescent="0.3"/>
    <row r="729" s="3" customFormat="1" ht="15.75" customHeight="1" x14ac:dyDescent="0.3"/>
    <row r="730" s="3" customFormat="1" ht="15.75" customHeight="1" x14ac:dyDescent="0.3"/>
    <row r="731" s="3" customFormat="1" ht="15.75" customHeight="1" x14ac:dyDescent="0.3"/>
    <row r="732" s="3" customFormat="1" ht="15.75" customHeight="1" x14ac:dyDescent="0.3"/>
    <row r="733" s="3" customFormat="1" ht="15.75" customHeight="1" x14ac:dyDescent="0.3"/>
    <row r="734" s="3" customFormat="1" ht="15.75" customHeight="1" x14ac:dyDescent="0.3"/>
    <row r="735" s="3" customFormat="1" ht="15.75" customHeight="1" x14ac:dyDescent="0.3"/>
    <row r="736" s="3" customFormat="1" ht="15.75" customHeight="1" x14ac:dyDescent="0.3"/>
    <row r="737" s="3" customFormat="1" ht="15.75" customHeight="1" x14ac:dyDescent="0.3"/>
    <row r="738" s="3" customFormat="1" ht="15.75" customHeight="1" x14ac:dyDescent="0.3"/>
    <row r="739" s="3" customFormat="1" ht="15.75" customHeight="1" x14ac:dyDescent="0.3"/>
    <row r="740" s="3" customFormat="1" ht="15.75" customHeight="1" x14ac:dyDescent="0.3"/>
    <row r="741" s="3" customFormat="1" ht="15.75" customHeight="1" x14ac:dyDescent="0.3"/>
    <row r="742" s="3" customFormat="1" ht="15.75" customHeight="1" x14ac:dyDescent="0.3"/>
    <row r="743" s="3" customFormat="1" ht="15.75" customHeight="1" x14ac:dyDescent="0.3"/>
    <row r="744" s="3" customFormat="1" ht="15.75" customHeight="1" x14ac:dyDescent="0.3"/>
    <row r="745" s="3" customFormat="1" ht="15.75" customHeight="1" x14ac:dyDescent="0.3"/>
    <row r="746" s="3" customFormat="1" ht="15.75" customHeight="1" x14ac:dyDescent="0.3"/>
    <row r="747" s="3" customFormat="1" ht="15.75" customHeight="1" x14ac:dyDescent="0.3"/>
    <row r="748" s="3" customFormat="1" ht="15.75" customHeight="1" x14ac:dyDescent="0.3"/>
    <row r="749" s="3" customFormat="1" ht="15.75" customHeight="1" x14ac:dyDescent="0.3"/>
    <row r="750" s="3" customFormat="1" ht="15.75" customHeight="1" x14ac:dyDescent="0.3"/>
    <row r="751" s="3" customFormat="1" ht="15.75" customHeight="1" x14ac:dyDescent="0.3"/>
    <row r="752" s="3" customFormat="1" ht="15.75" customHeight="1" x14ac:dyDescent="0.3"/>
    <row r="753" s="3" customFormat="1" ht="15.75" customHeight="1" x14ac:dyDescent="0.3"/>
    <row r="754" s="3" customFormat="1" ht="15.75" customHeight="1" x14ac:dyDescent="0.3"/>
    <row r="755" s="3" customFormat="1" ht="15.75" customHeight="1" x14ac:dyDescent="0.3"/>
    <row r="756" s="3" customFormat="1" ht="15.75" customHeight="1" x14ac:dyDescent="0.3"/>
    <row r="757" s="3" customFormat="1" ht="15.75" customHeight="1" x14ac:dyDescent="0.3"/>
    <row r="758" s="3" customFormat="1" ht="15.75" customHeight="1" x14ac:dyDescent="0.3"/>
    <row r="759" s="3" customFormat="1" ht="15.75" customHeight="1" x14ac:dyDescent="0.3"/>
    <row r="760" s="3" customFormat="1" ht="15.75" customHeight="1" x14ac:dyDescent="0.3"/>
    <row r="761" s="3" customFormat="1" ht="15.75" customHeight="1" x14ac:dyDescent="0.3"/>
    <row r="762" s="3" customFormat="1" ht="15.75" customHeight="1" x14ac:dyDescent="0.3"/>
    <row r="763" s="3" customFormat="1" ht="15.75" customHeight="1" x14ac:dyDescent="0.3"/>
    <row r="764" s="3" customFormat="1" ht="15.75" customHeight="1" x14ac:dyDescent="0.3"/>
    <row r="765" s="3" customFormat="1" ht="15.75" customHeight="1" x14ac:dyDescent="0.3"/>
    <row r="766" s="3" customFormat="1" ht="15.75" customHeight="1" x14ac:dyDescent="0.3"/>
    <row r="767" s="3" customFormat="1" ht="15.75" customHeight="1" x14ac:dyDescent="0.3"/>
    <row r="768" s="3" customFormat="1" ht="15.75" customHeight="1" x14ac:dyDescent="0.3"/>
    <row r="769" s="3" customFormat="1" ht="15.75" customHeight="1" x14ac:dyDescent="0.3"/>
    <row r="770" s="3" customFormat="1" ht="15.75" customHeight="1" x14ac:dyDescent="0.3"/>
    <row r="771" s="3" customFormat="1" ht="15.75" customHeight="1" x14ac:dyDescent="0.3"/>
    <row r="772" s="3" customFormat="1" ht="15.75" customHeight="1" x14ac:dyDescent="0.3"/>
    <row r="773" s="3" customFormat="1" ht="15.75" customHeight="1" x14ac:dyDescent="0.3"/>
    <row r="774" s="3" customFormat="1" ht="15.75" customHeight="1" x14ac:dyDescent="0.3"/>
    <row r="775" s="3" customFormat="1" ht="15.75" customHeight="1" x14ac:dyDescent="0.3"/>
    <row r="776" s="3" customFormat="1" ht="15.75" customHeight="1" x14ac:dyDescent="0.3"/>
    <row r="777" s="3" customFormat="1" ht="15.75" customHeight="1" x14ac:dyDescent="0.3"/>
    <row r="778" s="3" customFormat="1" ht="15.75" customHeight="1" x14ac:dyDescent="0.3"/>
    <row r="779" s="3" customFormat="1" ht="15.75" customHeight="1" x14ac:dyDescent="0.3"/>
    <row r="780" s="3" customFormat="1" ht="15.75" customHeight="1" x14ac:dyDescent="0.3"/>
    <row r="781" s="3" customFormat="1" ht="15.75" customHeight="1" x14ac:dyDescent="0.3"/>
    <row r="782" s="3" customFormat="1" ht="15.75" customHeight="1" x14ac:dyDescent="0.3"/>
    <row r="783" s="3" customFormat="1" ht="15.75" customHeight="1" x14ac:dyDescent="0.3"/>
    <row r="784" s="3" customFormat="1" ht="15.75" customHeight="1" x14ac:dyDescent="0.3"/>
    <row r="785" s="3" customFormat="1" ht="15.75" customHeight="1" x14ac:dyDescent="0.3"/>
    <row r="786" s="3" customFormat="1" ht="15.75" customHeight="1" x14ac:dyDescent="0.3"/>
    <row r="787" s="3" customFormat="1" ht="15.75" customHeight="1" x14ac:dyDescent="0.3"/>
    <row r="788" s="3" customFormat="1" ht="15.75" customHeight="1" x14ac:dyDescent="0.3"/>
    <row r="789" s="3" customFormat="1" ht="15.75" customHeight="1" x14ac:dyDescent="0.3"/>
    <row r="790" s="3" customFormat="1" ht="15.75" customHeight="1" x14ac:dyDescent="0.3"/>
    <row r="791" s="3" customFormat="1" ht="15.75" customHeight="1" x14ac:dyDescent="0.3"/>
    <row r="792" s="3" customFormat="1" ht="15.75" customHeight="1" x14ac:dyDescent="0.3"/>
    <row r="793" s="3" customFormat="1" ht="15.75" customHeight="1" x14ac:dyDescent="0.3"/>
    <row r="794" s="3" customFormat="1" ht="15.75" customHeight="1" x14ac:dyDescent="0.3"/>
    <row r="795" s="3" customFormat="1" ht="15.75" customHeight="1" x14ac:dyDescent="0.3"/>
    <row r="796" s="3" customFormat="1" ht="15.75" customHeight="1" x14ac:dyDescent="0.3"/>
    <row r="797" s="3" customFormat="1" ht="15.75" customHeight="1" x14ac:dyDescent="0.3"/>
    <row r="798" s="3" customFormat="1" ht="15.75" customHeight="1" x14ac:dyDescent="0.3"/>
    <row r="799" s="3" customFormat="1" ht="15.75" customHeight="1" x14ac:dyDescent="0.3"/>
    <row r="800" s="3" customFormat="1" ht="15.75" customHeight="1" x14ac:dyDescent="0.3"/>
    <row r="801" s="3" customFormat="1" ht="15.75" customHeight="1" x14ac:dyDescent="0.3"/>
    <row r="802" s="3" customFormat="1" ht="15.75" customHeight="1" x14ac:dyDescent="0.3"/>
    <row r="803" s="3" customFormat="1" ht="15.75" customHeight="1" x14ac:dyDescent="0.3"/>
    <row r="804" s="3" customFormat="1" ht="15.75" customHeight="1" x14ac:dyDescent="0.3"/>
    <row r="805" s="3" customFormat="1" ht="15.75" customHeight="1" x14ac:dyDescent="0.3"/>
    <row r="806" s="3" customFormat="1" ht="15.75" customHeight="1" x14ac:dyDescent="0.3"/>
    <row r="807" s="3" customFormat="1" ht="15.75" customHeight="1" x14ac:dyDescent="0.3"/>
    <row r="808" s="3" customFormat="1" ht="15.75" customHeight="1" x14ac:dyDescent="0.3"/>
    <row r="809" s="3" customFormat="1" ht="15.75" customHeight="1" x14ac:dyDescent="0.3"/>
    <row r="810" s="3" customFormat="1" ht="15.75" customHeight="1" x14ac:dyDescent="0.3"/>
    <row r="811" s="3" customFormat="1" ht="15.75" customHeight="1" x14ac:dyDescent="0.3"/>
    <row r="812" s="3" customFormat="1" ht="15.75" customHeight="1" x14ac:dyDescent="0.3"/>
    <row r="813" s="3" customFormat="1" ht="15.75" customHeight="1" x14ac:dyDescent="0.3"/>
    <row r="814" s="3" customFormat="1" ht="15.75" customHeight="1" x14ac:dyDescent="0.3"/>
    <row r="815" s="3" customFormat="1" ht="15.75" customHeight="1" x14ac:dyDescent="0.3"/>
    <row r="816" s="3" customFormat="1" ht="15.75" customHeight="1" x14ac:dyDescent="0.3"/>
    <row r="817" s="3" customFormat="1" ht="15.75" customHeight="1" x14ac:dyDescent="0.3"/>
    <row r="818" s="3" customFormat="1" ht="15.75" customHeight="1" x14ac:dyDescent="0.3"/>
    <row r="819" s="3" customFormat="1" ht="15.75" customHeight="1" x14ac:dyDescent="0.3"/>
    <row r="820" s="3" customFormat="1" ht="15.75" customHeight="1" x14ac:dyDescent="0.3"/>
    <row r="821" s="3" customFormat="1" ht="15.75" customHeight="1" x14ac:dyDescent="0.3"/>
    <row r="822" s="3" customFormat="1" ht="15.75" customHeight="1" x14ac:dyDescent="0.3"/>
    <row r="823" s="3" customFormat="1" ht="15.75" customHeight="1" x14ac:dyDescent="0.3"/>
    <row r="824" s="3" customFormat="1" ht="15.75" customHeight="1" x14ac:dyDescent="0.3"/>
    <row r="825" s="3" customFormat="1" ht="15.75" customHeight="1" x14ac:dyDescent="0.3"/>
    <row r="826" s="3" customFormat="1" ht="15.75" customHeight="1" x14ac:dyDescent="0.3"/>
    <row r="827" s="3" customFormat="1" ht="15.75" customHeight="1" x14ac:dyDescent="0.3"/>
    <row r="828" s="3" customFormat="1" ht="15.75" customHeight="1" x14ac:dyDescent="0.3"/>
    <row r="829" s="3" customFormat="1" ht="15.75" customHeight="1" x14ac:dyDescent="0.3"/>
    <row r="830" s="3" customFormat="1" ht="15.75" customHeight="1" x14ac:dyDescent="0.3"/>
    <row r="831" s="3" customFormat="1" ht="15.75" customHeight="1" x14ac:dyDescent="0.3"/>
    <row r="832" s="3" customFormat="1" ht="15.75" customHeight="1" x14ac:dyDescent="0.3"/>
    <row r="833" s="3" customFormat="1" ht="15.75" customHeight="1" x14ac:dyDescent="0.3"/>
    <row r="834" s="3" customFormat="1" ht="15.75" customHeight="1" x14ac:dyDescent="0.3"/>
    <row r="835" s="3" customFormat="1" ht="15.75" customHeight="1" x14ac:dyDescent="0.3"/>
    <row r="836" s="3" customFormat="1" ht="15.75" customHeight="1" x14ac:dyDescent="0.3"/>
    <row r="837" s="3" customFormat="1" ht="15.75" customHeight="1" x14ac:dyDescent="0.3"/>
    <row r="838" s="3" customFormat="1" ht="15.75" customHeight="1" x14ac:dyDescent="0.3"/>
    <row r="839" s="3" customFormat="1" ht="15.75" customHeight="1" x14ac:dyDescent="0.3"/>
    <row r="840" s="3" customFormat="1" ht="15.75" customHeight="1" x14ac:dyDescent="0.3"/>
    <row r="841" s="3" customFormat="1" ht="15.75" customHeight="1" x14ac:dyDescent="0.3"/>
    <row r="842" s="3" customFormat="1" ht="15.75" customHeight="1" x14ac:dyDescent="0.3"/>
    <row r="843" s="3" customFormat="1" ht="15.75" customHeight="1" x14ac:dyDescent="0.3"/>
    <row r="844" s="3" customFormat="1" ht="15.75" customHeight="1" x14ac:dyDescent="0.3"/>
    <row r="845" s="3" customFormat="1" ht="15.75" customHeight="1" x14ac:dyDescent="0.3"/>
    <row r="846" s="3" customFormat="1" ht="15.75" customHeight="1" x14ac:dyDescent="0.3"/>
    <row r="847" s="3" customFormat="1" ht="15.75" customHeight="1" x14ac:dyDescent="0.3"/>
    <row r="848" s="3" customFormat="1" ht="15.75" customHeight="1" x14ac:dyDescent="0.3"/>
    <row r="849" s="3" customFormat="1" ht="15.75" customHeight="1" x14ac:dyDescent="0.3"/>
    <row r="850" s="3" customFormat="1" ht="15.75" customHeight="1" x14ac:dyDescent="0.3"/>
    <row r="851" s="3" customFormat="1" ht="15.75" customHeight="1" x14ac:dyDescent="0.3"/>
    <row r="852" s="3" customFormat="1" ht="15.75" customHeight="1" x14ac:dyDescent="0.3"/>
    <row r="853" s="3" customFormat="1" ht="15.75" customHeight="1" x14ac:dyDescent="0.3"/>
    <row r="854" s="3" customFormat="1" ht="15.75" customHeight="1" x14ac:dyDescent="0.3"/>
    <row r="855" s="3" customFormat="1" ht="15.75" customHeight="1" x14ac:dyDescent="0.3"/>
    <row r="856" s="3" customFormat="1" ht="15.75" customHeight="1" x14ac:dyDescent="0.3"/>
    <row r="857" s="3" customFormat="1" ht="15.75" customHeight="1" x14ac:dyDescent="0.3"/>
    <row r="858" s="3" customFormat="1" ht="15.75" customHeight="1" x14ac:dyDescent="0.3"/>
    <row r="859" s="3" customFormat="1" ht="15.75" customHeight="1" x14ac:dyDescent="0.3"/>
    <row r="860" s="3" customFormat="1" ht="15.75" customHeight="1" x14ac:dyDescent="0.3"/>
    <row r="861" s="3" customFormat="1" ht="15.75" customHeight="1" x14ac:dyDescent="0.3"/>
    <row r="862" s="3" customFormat="1" ht="15.75" customHeight="1" x14ac:dyDescent="0.3"/>
    <row r="863" s="3" customFormat="1" ht="15.75" customHeight="1" x14ac:dyDescent="0.3"/>
    <row r="864" s="3" customFormat="1" ht="15.75" customHeight="1" x14ac:dyDescent="0.3"/>
    <row r="865" s="3" customFormat="1" ht="15.75" customHeight="1" x14ac:dyDescent="0.3"/>
    <row r="866" s="3" customFormat="1" ht="15.75" customHeight="1" x14ac:dyDescent="0.3"/>
    <row r="867" s="3" customFormat="1" ht="15.75" customHeight="1" x14ac:dyDescent="0.3"/>
    <row r="868" s="3" customFormat="1" ht="15.75" customHeight="1" x14ac:dyDescent="0.3"/>
    <row r="869" s="3" customFormat="1" ht="15.75" customHeight="1" x14ac:dyDescent="0.3"/>
    <row r="870" s="3" customFormat="1" ht="15.75" customHeight="1" x14ac:dyDescent="0.3"/>
    <row r="871" s="3" customFormat="1" ht="15.75" customHeight="1" x14ac:dyDescent="0.3"/>
    <row r="872" s="3" customFormat="1" ht="15.75" customHeight="1" x14ac:dyDescent="0.3"/>
    <row r="873" s="3" customFormat="1" ht="15.75" customHeight="1" x14ac:dyDescent="0.3"/>
    <row r="874" s="3" customFormat="1" ht="15.75" customHeight="1" x14ac:dyDescent="0.3"/>
    <row r="875" s="3" customFormat="1" ht="15.75" customHeight="1" x14ac:dyDescent="0.3"/>
    <row r="876" s="3" customFormat="1" ht="15.75" customHeight="1" x14ac:dyDescent="0.3"/>
    <row r="877" s="3" customFormat="1" ht="15.75" customHeight="1" x14ac:dyDescent="0.3"/>
    <row r="878" s="3" customFormat="1" ht="15.75" customHeight="1" x14ac:dyDescent="0.3"/>
    <row r="879" s="3" customFormat="1" ht="15.75" customHeight="1" x14ac:dyDescent="0.3"/>
    <row r="880" s="3" customFormat="1" ht="15.75" customHeight="1" x14ac:dyDescent="0.3"/>
    <row r="881" s="3" customFormat="1" ht="15.75" customHeight="1" x14ac:dyDescent="0.3"/>
    <row r="882" s="3" customFormat="1" ht="15.75" customHeight="1" x14ac:dyDescent="0.3"/>
    <row r="883" s="3" customFormat="1" ht="15.75" customHeight="1" x14ac:dyDescent="0.3"/>
    <row r="884" s="3" customFormat="1" ht="15.75" customHeight="1" x14ac:dyDescent="0.3"/>
    <row r="885" s="3" customFormat="1" ht="15.75" customHeight="1" x14ac:dyDescent="0.3"/>
    <row r="886" s="3" customFormat="1" ht="15.75" customHeight="1" x14ac:dyDescent="0.3"/>
    <row r="887" s="3" customFormat="1" ht="15.75" customHeight="1" x14ac:dyDescent="0.3"/>
    <row r="888" s="3" customFormat="1" ht="15.75" customHeight="1" x14ac:dyDescent="0.3"/>
    <row r="889" s="3" customFormat="1" ht="15.75" customHeight="1" x14ac:dyDescent="0.3"/>
    <row r="890" s="3" customFormat="1" ht="15.75" customHeight="1" x14ac:dyDescent="0.3"/>
    <row r="891" s="3" customFormat="1" ht="15.75" customHeight="1" x14ac:dyDescent="0.3"/>
    <row r="892" s="3" customFormat="1" ht="15.75" customHeight="1" x14ac:dyDescent="0.3"/>
    <row r="893" s="3" customFormat="1" ht="15.75" customHeight="1" x14ac:dyDescent="0.3"/>
    <row r="894" s="3" customFormat="1" ht="15.75" customHeight="1" x14ac:dyDescent="0.3"/>
    <row r="895" s="3" customFormat="1" ht="15.75" customHeight="1" x14ac:dyDescent="0.3"/>
    <row r="896" s="3" customFormat="1" ht="15.75" customHeight="1" x14ac:dyDescent="0.3"/>
    <row r="897" s="3" customFormat="1" ht="15.75" customHeight="1" x14ac:dyDescent="0.3"/>
    <row r="898" s="3" customFormat="1" ht="15.75" customHeight="1" x14ac:dyDescent="0.3"/>
    <row r="899" s="3" customFormat="1" ht="15.75" customHeight="1" x14ac:dyDescent="0.3"/>
    <row r="900" s="3" customFormat="1" ht="15.75" customHeight="1" x14ac:dyDescent="0.3"/>
    <row r="901" s="3" customFormat="1" ht="15.75" customHeight="1" x14ac:dyDescent="0.3"/>
    <row r="902" s="3" customFormat="1" ht="15.75" customHeight="1" x14ac:dyDescent="0.3"/>
    <row r="903" s="3" customFormat="1" ht="15.75" customHeight="1" x14ac:dyDescent="0.3"/>
    <row r="904" s="3" customFormat="1" ht="15.75" customHeight="1" x14ac:dyDescent="0.3"/>
    <row r="905" s="3" customFormat="1" ht="15.75" customHeight="1" x14ac:dyDescent="0.3"/>
    <row r="906" s="3" customFormat="1" ht="15.75" customHeight="1" x14ac:dyDescent="0.3"/>
    <row r="907" s="3" customFormat="1" ht="15.75" customHeight="1" x14ac:dyDescent="0.3"/>
    <row r="908" s="3" customFormat="1" ht="15.75" customHeight="1" x14ac:dyDescent="0.3"/>
    <row r="909" s="3" customFormat="1" ht="15.75" customHeight="1" x14ac:dyDescent="0.3"/>
    <row r="910" s="3" customFormat="1" ht="15.75" customHeight="1" x14ac:dyDescent="0.3"/>
    <row r="911" s="3" customFormat="1" ht="15.75" customHeight="1" x14ac:dyDescent="0.3"/>
    <row r="912" s="3" customFormat="1" ht="15.75" customHeight="1" x14ac:dyDescent="0.3"/>
    <row r="913" s="3" customFormat="1" ht="15.75" customHeight="1" x14ac:dyDescent="0.3"/>
    <row r="914" s="3" customFormat="1" ht="15.75" customHeight="1" x14ac:dyDescent="0.3"/>
    <row r="915" s="3" customFormat="1" ht="15.75" customHeight="1" x14ac:dyDescent="0.3"/>
    <row r="916" s="3" customFormat="1" ht="15.75" customHeight="1" x14ac:dyDescent="0.3"/>
    <row r="917" s="3" customFormat="1" ht="15.75" customHeight="1" x14ac:dyDescent="0.3"/>
    <row r="918" s="3" customFormat="1" ht="15.75" customHeight="1" x14ac:dyDescent="0.3"/>
    <row r="919" s="3" customFormat="1" ht="15.75" customHeight="1" x14ac:dyDescent="0.3"/>
    <row r="920" s="3" customFormat="1" ht="15.75" customHeight="1" x14ac:dyDescent="0.3"/>
    <row r="921" s="3" customFormat="1" ht="15.75" customHeight="1" x14ac:dyDescent="0.3"/>
    <row r="922" s="3" customFormat="1" ht="15.75" customHeight="1" x14ac:dyDescent="0.3"/>
    <row r="923" s="3" customFormat="1" ht="15.75" customHeight="1" x14ac:dyDescent="0.3"/>
    <row r="924" s="3" customFormat="1" ht="15.75" customHeight="1" x14ac:dyDescent="0.3"/>
    <row r="925" s="3" customFormat="1" ht="15.75" customHeight="1" x14ac:dyDescent="0.3"/>
    <row r="926" s="3" customFormat="1" ht="15.75" customHeight="1" x14ac:dyDescent="0.3"/>
    <row r="927" s="3" customFormat="1" ht="15.75" customHeight="1" x14ac:dyDescent="0.3"/>
    <row r="928" s="3" customFormat="1" ht="15.75" customHeight="1" x14ac:dyDescent="0.3"/>
    <row r="929" s="3" customFormat="1" ht="15.75" customHeight="1" x14ac:dyDescent="0.3"/>
    <row r="930" s="3" customFormat="1" ht="15.75" customHeight="1" x14ac:dyDescent="0.3"/>
    <row r="931" s="3" customFormat="1" ht="15.75" customHeight="1" x14ac:dyDescent="0.3"/>
    <row r="932" s="3" customFormat="1" ht="15.75" customHeight="1" x14ac:dyDescent="0.3"/>
    <row r="933" s="3" customFormat="1" ht="15.75" customHeight="1" x14ac:dyDescent="0.3"/>
    <row r="934" s="3" customFormat="1" ht="15.75" customHeight="1" x14ac:dyDescent="0.3"/>
    <row r="935" s="3" customFormat="1" ht="15.75" customHeight="1" x14ac:dyDescent="0.3"/>
    <row r="936" s="3" customFormat="1" ht="15.75" customHeight="1" x14ac:dyDescent="0.3"/>
    <row r="937" s="3" customFormat="1" ht="15.75" customHeight="1" x14ac:dyDescent="0.3"/>
    <row r="938" s="3" customFormat="1" ht="15.75" customHeight="1" x14ac:dyDescent="0.3"/>
    <row r="939" s="3" customFormat="1" ht="15.75" customHeight="1" x14ac:dyDescent="0.3"/>
    <row r="940" s="3" customFormat="1" ht="15.75" customHeight="1" x14ac:dyDescent="0.3"/>
    <row r="941" s="3" customFormat="1" ht="15.75" customHeight="1" x14ac:dyDescent="0.3"/>
    <row r="942" s="3" customFormat="1" ht="15.75" customHeight="1" x14ac:dyDescent="0.3"/>
    <row r="943" s="3" customFormat="1" ht="15.75" customHeight="1" x14ac:dyDescent="0.3"/>
    <row r="944" s="3" customFormat="1" ht="15.75" customHeight="1" x14ac:dyDescent="0.3"/>
    <row r="945" s="3" customFormat="1" ht="15.75" customHeight="1" x14ac:dyDescent="0.3"/>
    <row r="946" s="3" customFormat="1" ht="15.75" customHeight="1" x14ac:dyDescent="0.3"/>
    <row r="947" s="3" customFormat="1" ht="15.75" customHeight="1" x14ac:dyDescent="0.3"/>
    <row r="948" s="3" customFormat="1" ht="15.75" customHeight="1" x14ac:dyDescent="0.3"/>
    <row r="949" s="3" customFormat="1" ht="15.75" customHeight="1" x14ac:dyDescent="0.3"/>
    <row r="950" s="3" customFormat="1" ht="15.75" customHeight="1" x14ac:dyDescent="0.3"/>
    <row r="951" s="3" customFormat="1" ht="15.75" customHeight="1" x14ac:dyDescent="0.3"/>
    <row r="952" s="3" customFormat="1" ht="15.75" customHeight="1" x14ac:dyDescent="0.3"/>
    <row r="953" s="3" customFormat="1" ht="15.75" customHeight="1" x14ac:dyDescent="0.3"/>
    <row r="954" s="3" customFormat="1" ht="15.75" customHeight="1" x14ac:dyDescent="0.3"/>
    <row r="955" s="3" customFormat="1" ht="15.75" customHeight="1" x14ac:dyDescent="0.3"/>
    <row r="956" s="3" customFormat="1" ht="15.75" customHeight="1" x14ac:dyDescent="0.3"/>
    <row r="957" s="3" customFormat="1" ht="15.75" customHeight="1" x14ac:dyDescent="0.3"/>
    <row r="958" s="3" customFormat="1" ht="15.75" customHeight="1" x14ac:dyDescent="0.3"/>
    <row r="959" s="3" customFormat="1" ht="15.75" customHeight="1" x14ac:dyDescent="0.3"/>
    <row r="960" s="3" customFormat="1" ht="15.75" customHeight="1" x14ac:dyDescent="0.3"/>
    <row r="961" s="3" customFormat="1" ht="15.75" customHeight="1" x14ac:dyDescent="0.3"/>
    <row r="962" s="3" customFormat="1" ht="15.75" customHeight="1" x14ac:dyDescent="0.3"/>
    <row r="963" s="3" customFormat="1" ht="15.75" customHeight="1" x14ac:dyDescent="0.3"/>
    <row r="964" s="3" customFormat="1" ht="15.75" customHeight="1" x14ac:dyDescent="0.3"/>
    <row r="965" s="3" customFormat="1" ht="15.75" customHeight="1" x14ac:dyDescent="0.3"/>
    <row r="966" s="3" customFormat="1" ht="15.75" customHeight="1" x14ac:dyDescent="0.3"/>
    <row r="967" s="3" customFormat="1" ht="15.75" customHeight="1" x14ac:dyDescent="0.3"/>
    <row r="968" s="3" customFormat="1" ht="15.75" customHeight="1" x14ac:dyDescent="0.3"/>
    <row r="969" s="3" customFormat="1" ht="15.75" customHeight="1" x14ac:dyDescent="0.3"/>
    <row r="970" s="3" customFormat="1" ht="15.75" customHeight="1" x14ac:dyDescent="0.3"/>
    <row r="971" s="3" customFormat="1" ht="15.75" customHeight="1" x14ac:dyDescent="0.3"/>
    <row r="972" s="3" customFormat="1" ht="15.75" customHeight="1" x14ac:dyDescent="0.3"/>
    <row r="973" s="3" customFormat="1" ht="15.75" customHeight="1" x14ac:dyDescent="0.3"/>
    <row r="974" s="3" customFormat="1" ht="15.75" customHeight="1" x14ac:dyDescent="0.3"/>
    <row r="975" s="3" customFormat="1" ht="15.75" customHeight="1" x14ac:dyDescent="0.3"/>
    <row r="976" s="3" customFormat="1" ht="15.75" customHeight="1" x14ac:dyDescent="0.3"/>
    <row r="977" s="3" customFormat="1" ht="15.75" customHeight="1" x14ac:dyDescent="0.3"/>
    <row r="978" s="3" customFormat="1" ht="15.75" customHeight="1" x14ac:dyDescent="0.3"/>
    <row r="979" s="3" customFormat="1" ht="15.75" customHeight="1" x14ac:dyDescent="0.3"/>
    <row r="980" s="3" customFormat="1" ht="15.75" customHeight="1" x14ac:dyDescent="0.3"/>
    <row r="981" s="3" customFormat="1" ht="15.75" customHeight="1" x14ac:dyDescent="0.3"/>
    <row r="982" s="3" customFormat="1" ht="15.75" customHeight="1" x14ac:dyDescent="0.3"/>
    <row r="983" s="3" customFormat="1" ht="15.75" customHeight="1" x14ac:dyDescent="0.3"/>
    <row r="984" s="3" customFormat="1" ht="15.75" customHeight="1" x14ac:dyDescent="0.3"/>
    <row r="985" s="3" customFormat="1" ht="15.75" customHeight="1" x14ac:dyDescent="0.3"/>
    <row r="986" s="3" customFormat="1" ht="15.75" customHeight="1" x14ac:dyDescent="0.3"/>
    <row r="987" s="3" customFormat="1" ht="15.75" customHeight="1" x14ac:dyDescent="0.3"/>
    <row r="988" s="3" customFormat="1" ht="15.75" customHeight="1" x14ac:dyDescent="0.3"/>
    <row r="989" s="3" customFormat="1" ht="15.75" customHeight="1" x14ac:dyDescent="0.3"/>
    <row r="990" s="3" customFormat="1" ht="15.75" customHeight="1" x14ac:dyDescent="0.3"/>
    <row r="991" s="3" customFormat="1" ht="15.75" customHeight="1" x14ac:dyDescent="0.3"/>
    <row r="992" s="3" customFormat="1" ht="15.75" customHeight="1" x14ac:dyDescent="0.3"/>
    <row r="993" s="3" customFormat="1" ht="15.75" customHeight="1" x14ac:dyDescent="0.3"/>
  </sheetData>
  <mergeCells count="11">
    <mergeCell ref="A6:A13"/>
    <mergeCell ref="A17:A28"/>
    <mergeCell ref="A30:A34"/>
    <mergeCell ref="A36:A43"/>
    <mergeCell ref="A45:A50"/>
    <mergeCell ref="A1:M1"/>
    <mergeCell ref="A2:M2"/>
    <mergeCell ref="A4:A5"/>
    <mergeCell ref="B4:B5"/>
    <mergeCell ref="C4:L4"/>
    <mergeCell ref="M4:M5"/>
  </mergeCells>
  <pageMargins left="0.7" right="0.7" top="0.75" bottom="0.75" header="0" footer="0"/>
  <pageSetup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5B24-C0EA-4F56-9114-973A0B2FB6DD}">
  <sheetPr codeName="Sheet11"/>
  <dimension ref="A1"/>
  <sheetViews>
    <sheetView workbookViewId="0">
      <selection activeCell="N6" sqref="N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BB11-9718-4DD4-8CFD-20774B1ADD1A}">
  <sheetPr codeName="Sheet1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64AE-3749-4A4B-9471-52EE168AA5AC}">
  <sheetPr codeName="Sheet1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CFE6-0773-4A68-A8E2-331A825F2474}">
  <sheetPr codeName="Sheet1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1605-06E1-434A-B18B-E104AA498D7E}">
  <sheetPr codeName="Sheet15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142B-C202-4F1F-B153-CA7E4F91D898}">
  <sheetPr codeName="Sheet16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1CD2-4083-4A3A-943B-0A8101013A5A}">
  <sheetPr codeName="Sheet17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245C-B9D5-45FD-B3F8-FB61FA129108}">
  <sheetPr codeName="Sheet18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3BE8-DA9F-4BD8-8323-FBCAA096A64C}">
  <sheetPr codeName="Sheet19"/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Swiggy Dineout</vt:lpstr>
      <vt:lpstr>SD1</vt:lpstr>
      <vt:lpstr>SD2</vt:lpstr>
      <vt:lpstr>SD3</vt:lpstr>
      <vt:lpstr>SD4</vt:lpstr>
      <vt:lpstr>SD5</vt:lpstr>
      <vt:lpstr>SD6</vt:lpstr>
      <vt:lpstr>SD7</vt:lpstr>
      <vt:lpstr>SD8</vt:lpstr>
      <vt:lpstr>SD9</vt:lpstr>
      <vt:lpstr>'Swiggy Dineout'!Print_Area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varun reddy</cp:lastModifiedBy>
  <cp:lastPrinted>2025-07-25T15:19:15Z</cp:lastPrinted>
  <dcterms:created xsi:type="dcterms:W3CDTF">2022-12-27T12:05:00Z</dcterms:created>
  <dcterms:modified xsi:type="dcterms:W3CDTF">2026-01-30T22:40:48Z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797909A056114DB08A150C938B3D70B2_12</vt:lpwstr>
  </property>
  <property fmtid="{D5CDD505-2E9C-101B-9397-08002B2CF9AE}" pid="3" name="KSOProductBuildVer">
    <vt:lpwstr>1033-12.2.0.17562</vt:lpwstr>
  </property>
</Properties>
</file>