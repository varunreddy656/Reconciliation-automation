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\Desktop\Backup AutoRecons\Zomato Auto recons\template_files\"/>
    </mc:Choice>
  </mc:AlternateContent>
  <xr:revisionPtr revIDLastSave="0" documentId="13_ncr:1_{80B58A92-EE24-4138-BA19-C5FB7C651E11}" xr6:coauthVersionLast="47" xr6:coauthVersionMax="47" xr10:uidLastSave="{00000000-0000-0000-0000-000000000000}"/>
  <bookViews>
    <workbookView xWindow="-108" yWindow="-108" windowWidth="23256" windowHeight="12576" tabRatio="932" xr2:uid="{00000000-000D-0000-FFFF-FFFF00000000}"/>
  </bookViews>
  <sheets>
    <sheet name="Zomato Pay" sheetId="24" r:id="rId1"/>
    <sheet name="Zpay Calculations" sheetId="208" r:id="rId2"/>
    <sheet name="Zpay Ads" sheetId="209" r:id="rId3"/>
  </sheets>
  <definedNames>
    <definedName name="_xlnm.Print_Area" localSheetId="0">'Zomato Pay'!$A$1:$K$37</definedName>
    <definedName name="Summary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24" l="1"/>
  <c r="Q8" i="24" l="1"/>
  <c r="P8" i="24"/>
  <c r="Q9" i="24"/>
  <c r="P9" i="24"/>
  <c r="O9" i="24"/>
  <c r="N9" i="24"/>
  <c r="M9" i="24"/>
  <c r="Q7" i="24"/>
  <c r="P7" i="24"/>
  <c r="O7" i="24"/>
  <c r="N7" i="24"/>
  <c r="M7" i="24"/>
  <c r="Q5" i="24"/>
  <c r="P5" i="24"/>
  <c r="O5" i="24"/>
  <c r="N5" i="24"/>
  <c r="M5" i="24"/>
  <c r="O8" i="24" l="1"/>
  <c r="N8" i="24"/>
  <c r="M8" i="24"/>
  <c r="I18" i="24" l="1"/>
  <c r="I13" i="24" l="1"/>
  <c r="I27" i="24" l="1"/>
  <c r="I22" i="24" l="1"/>
  <c r="E24" i="24"/>
  <c r="F24" i="24"/>
  <c r="I23" i="24"/>
  <c r="I11" i="24"/>
  <c r="I6" i="24" l="1"/>
  <c r="I7" i="24"/>
  <c r="I17" i="24"/>
  <c r="D24" i="24" l="1"/>
  <c r="D19" i="24"/>
  <c r="D9" i="24"/>
  <c r="D10" i="24" l="1"/>
  <c r="D12" i="24" s="1"/>
  <c r="M6" i="24" s="1"/>
  <c r="D14" i="24" l="1"/>
  <c r="D26" i="24"/>
  <c r="D28" i="24" l="1"/>
  <c r="H24" i="24" l="1"/>
  <c r="G19" i="24" l="1"/>
  <c r="G24" i="24" l="1"/>
  <c r="I24" i="24" s="1"/>
  <c r="F9" i="24" l="1"/>
  <c r="H9" i="24"/>
  <c r="E9" i="24"/>
  <c r="G9" i="24"/>
  <c r="I9" i="24" l="1"/>
  <c r="F10" i="24"/>
  <c r="F12" i="24" s="1"/>
  <c r="O6" i="24" s="1"/>
  <c r="G10" i="24"/>
  <c r="H10" i="24"/>
  <c r="H12" i="24" s="1"/>
  <c r="Q6" i="24" s="1"/>
  <c r="E10" i="24"/>
  <c r="I10" i="24" l="1"/>
  <c r="G12" i="24"/>
  <c r="E12" i="24"/>
  <c r="N6" i="24" s="1"/>
  <c r="H14" i="24"/>
  <c r="F14" i="24"/>
  <c r="H19" i="24"/>
  <c r="E19" i="24"/>
  <c r="F19" i="24"/>
  <c r="F26" i="24" s="1"/>
  <c r="G14" i="24" l="1"/>
  <c r="P6" i="24"/>
  <c r="I19" i="24"/>
  <c r="I12" i="24"/>
  <c r="J22" i="24" s="1"/>
  <c r="G26" i="24"/>
  <c r="G28" i="24" s="1"/>
  <c r="E26" i="24"/>
  <c r="H26" i="24"/>
  <c r="H28" i="24" s="1"/>
  <c r="F28" i="24"/>
  <c r="E14" i="24"/>
  <c r="I14" i="24" l="1"/>
  <c r="J14" i="24" s="1"/>
  <c r="I26" i="24"/>
  <c r="J10" i="24"/>
  <c r="J24" i="24"/>
  <c r="J8" i="24"/>
  <c r="J27" i="24"/>
  <c r="J9" i="24"/>
  <c r="J17" i="24"/>
  <c r="J6" i="24"/>
  <c r="J13" i="24"/>
  <c r="J12" i="24"/>
  <c r="J11" i="24"/>
  <c r="J18" i="24"/>
  <c r="J23" i="24"/>
  <c r="J7" i="24"/>
  <c r="E28" i="24"/>
  <c r="I28" i="24" s="1"/>
  <c r="J19" i="24"/>
  <c r="J28" i="24" l="1"/>
  <c r="J26" i="24"/>
</calcChain>
</file>

<file path=xl/sharedStrings.xml><?xml version="1.0" encoding="utf-8"?>
<sst xmlns="http://schemas.openxmlformats.org/spreadsheetml/2006/main" count="35" uniqueCount="34">
  <si>
    <t>Particulars</t>
  </si>
  <si>
    <t>Total</t>
  </si>
  <si>
    <t>S. No</t>
  </si>
  <si>
    <t>Difference</t>
  </si>
  <si>
    <t>Commission &amp; other charges</t>
  </si>
  <si>
    <t>Notes:</t>
  </si>
  <si>
    <t>Amount (₹)</t>
  </si>
  <si>
    <t>Sales (exclusive of GST) before failed and reversed transactions</t>
  </si>
  <si>
    <t>Sales as per POS (Inclusive of GST)</t>
  </si>
  <si>
    <t>Difference in POS</t>
  </si>
  <si>
    <t>Commission (Inclusive of GST)</t>
  </si>
  <si>
    <t>Total Commission &amp; other charges</t>
  </si>
  <si>
    <t>Expected receipt in Bank Statement</t>
  </si>
  <si>
    <t>Actual Receipt in Bank Statement</t>
  </si>
  <si>
    <t>Sales (exclucive of GST) after failed and reversed transactions</t>
  </si>
  <si>
    <t>less: Discounts</t>
  </si>
  <si>
    <t>Total of Adjustments</t>
  </si>
  <si>
    <t>Sales (Inclusive of GST)</t>
  </si>
  <si>
    <t xml:space="preserve">Opening week's adjustments </t>
  </si>
  <si>
    <t>Closing week's adjustments</t>
  </si>
  <si>
    <t>Percentage
 (%)</t>
  </si>
  <si>
    <t>less: Failed transctions</t>
  </si>
  <si>
    <t xml:space="preserve"> Zomatopay Ads</t>
  </si>
  <si>
    <t>Other adjustments</t>
  </si>
  <si>
    <t>2.Due to Absence of Bank Statement, Bank was not Mapped.</t>
  </si>
  <si>
    <t>Add:GST@5%</t>
  </si>
  <si>
    <t>Add : Tips</t>
  </si>
  <si>
    <t>comm</t>
  </si>
  <si>
    <t xml:space="preserve"> </t>
  </si>
  <si>
    <t>dis</t>
  </si>
  <si>
    <t>ads</t>
  </si>
  <si>
    <t>gross</t>
  </si>
  <si>
    <t>net</t>
  </si>
  <si>
    <t>Zomato Pay Reconciliation - Month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</si>
</sst>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3"/>
      <color theme="1"/>
      <name val="Calibri"/>
      <family val="2"/>
      <scheme val="major"/>
    </font>
    <font>
      <sz val="13"/>
      <name val="Calibri"/>
      <family val="2"/>
      <scheme val="major"/>
    </font>
    <font>
      <sz val="1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6" fillId="0" borderId="1"/>
    <xf numFmtId="0" fontId="6" fillId="0" borderId="1"/>
    <xf numFmtId="0" fontId="4" fillId="0" borderId="1"/>
    <xf numFmtId="0" fontId="8" fillId="0" borderId="1"/>
    <xf numFmtId="0" fontId="9" fillId="0" borderId="1"/>
    <xf numFmtId="0" fontId="8" fillId="0" borderId="1"/>
    <xf numFmtId="43" fontId="10" fillId="0" borderId="0" applyFont="0" applyFill="0" applyBorder="0" applyAlignment="0" applyProtection="0"/>
    <xf numFmtId="0" fontId="3" fillId="0" borderId="1"/>
    <xf numFmtId="164" fontId="11" fillId="0" borderId="1" applyFont="0" applyFill="0" applyBorder="0" applyAlignment="0" applyProtection="0"/>
    <xf numFmtId="0" fontId="12" fillId="0" borderId="1"/>
    <xf numFmtId="0" fontId="13" fillId="0" borderId="1"/>
    <xf numFmtId="0" fontId="14" fillId="0" borderId="1"/>
    <xf numFmtId="0" fontId="2" fillId="0" borderId="1"/>
    <xf numFmtId="0" fontId="15" fillId="0" borderId="1"/>
    <xf numFmtId="0" fontId="7" fillId="0" borderId="1"/>
    <xf numFmtId="0" fontId="16" fillId="0" borderId="1"/>
    <xf numFmtId="0" fontId="17" fillId="0" borderId="1"/>
    <xf numFmtId="0" fontId="11" fillId="0" borderId="1"/>
    <xf numFmtId="0" fontId="5" fillId="0" borderId="1"/>
    <xf numFmtId="0" fontId="18" fillId="0" borderId="1"/>
    <xf numFmtId="0" fontId="1" fillId="0" borderId="1"/>
    <xf numFmtId="0" fontId="19" fillId="0" borderId="1"/>
    <xf numFmtId="0" fontId="20" fillId="0" borderId="1"/>
    <xf numFmtId="0" fontId="21" fillId="0" borderId="1"/>
    <xf numFmtId="0" fontId="23" fillId="0" borderId="1"/>
    <xf numFmtId="0" fontId="22" fillId="0" borderId="1"/>
    <xf numFmtId="0" fontId="33" fillId="0" borderId="1"/>
    <xf numFmtId="0" fontId="34" fillId="0" borderId="1"/>
    <xf numFmtId="0" fontId="35" fillId="0" borderId="1"/>
    <xf numFmtId="0" fontId="36" fillId="0" borderId="1"/>
    <xf numFmtId="0" fontId="37" fillId="0" borderId="1"/>
  </cellStyleXfs>
  <cellXfs count="82">
    <xf numFmtId="0" fontId="0" fillId="0" borderId="0" xfId="0"/>
    <xf numFmtId="0" fontId="26" fillId="0" borderId="0" xfId="0" applyFont="1"/>
    <xf numFmtId="0" fontId="25" fillId="0" borderId="0" xfId="0" applyFont="1"/>
    <xf numFmtId="2" fontId="25" fillId="0" borderId="3" xfId="0" applyNumberFormat="1" applyFont="1" applyBorder="1" applyAlignment="1">
      <alignment horizontal="right"/>
    </xf>
    <xf numFmtId="2" fontId="25" fillId="0" borderId="3" xfId="0" applyNumberFormat="1" applyFont="1" applyBorder="1" applyAlignment="1">
      <alignment horizontal="right" wrapText="1"/>
    </xf>
    <xf numFmtId="2" fontId="24" fillId="0" borderId="13" xfId="0" applyNumberFormat="1" applyFont="1" applyBorder="1" applyAlignment="1">
      <alignment horizontal="right" wrapText="1"/>
    </xf>
    <xf numFmtId="0" fontId="24" fillId="0" borderId="0" xfId="0" applyFont="1"/>
    <xf numFmtId="0" fontId="31" fillId="0" borderId="21" xfId="0" applyFont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49" fontId="26" fillId="0" borderId="0" xfId="0" applyNumberFormat="1" applyFont="1"/>
    <xf numFmtId="0" fontId="29" fillId="0" borderId="1" xfId="0" applyFont="1" applyBorder="1"/>
    <xf numFmtId="43" fontId="26" fillId="0" borderId="0" xfId="0" applyNumberFormat="1" applyFont="1"/>
    <xf numFmtId="0" fontId="26" fillId="0" borderId="5" xfId="0" applyFont="1" applyBorder="1"/>
    <xf numFmtId="0" fontId="24" fillId="0" borderId="1" xfId="0" applyFont="1" applyBorder="1" applyAlignment="1">
      <alignment horizontal="center" vertical="center" wrapText="1"/>
    </xf>
    <xf numFmtId="165" fontId="24" fillId="0" borderId="19" xfId="0" applyNumberFormat="1" applyFont="1" applyBorder="1" applyAlignment="1">
      <alignment wrapText="1"/>
    </xf>
    <xf numFmtId="2" fontId="24" fillId="0" borderId="23" xfId="0" applyNumberFormat="1" applyFont="1" applyBorder="1" applyAlignment="1">
      <alignment horizontal="right" wrapText="1"/>
    </xf>
    <xf numFmtId="2" fontId="24" fillId="0" borderId="2" xfId="0" applyNumberFormat="1" applyFont="1" applyBorder="1" applyAlignment="1">
      <alignment horizontal="right" vertical="center"/>
    </xf>
    <xf numFmtId="2" fontId="24" fillId="0" borderId="3" xfId="0" applyNumberFormat="1" applyFont="1" applyBorder="1" applyAlignment="1">
      <alignment horizontal="right" vertical="center"/>
    </xf>
    <xf numFmtId="9" fontId="24" fillId="0" borderId="7" xfId="0" applyNumberFormat="1" applyFont="1" applyBorder="1" applyAlignment="1">
      <alignment horizontal="right" vertical="center"/>
    </xf>
    <xf numFmtId="9" fontId="24" fillId="0" borderId="1" xfId="0" applyNumberFormat="1" applyFont="1" applyBorder="1" applyAlignment="1">
      <alignment horizontal="center" vertical="center"/>
    </xf>
    <xf numFmtId="165" fontId="25" fillId="0" borderId="19" xfId="0" applyNumberFormat="1" applyFont="1" applyBorder="1" applyAlignment="1">
      <alignment wrapText="1"/>
    </xf>
    <xf numFmtId="2" fontId="25" fillId="0" borderId="23" xfId="0" applyNumberFormat="1" applyFont="1" applyBorder="1" applyAlignment="1">
      <alignment horizontal="right" wrapText="1"/>
    </xf>
    <xf numFmtId="10" fontId="24" fillId="0" borderId="7" xfId="0" applyNumberFormat="1" applyFont="1" applyBorder="1" applyAlignment="1">
      <alignment horizontal="right" vertical="center"/>
    </xf>
    <xf numFmtId="9" fontId="25" fillId="0" borderId="1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right"/>
    </xf>
    <xf numFmtId="2" fontId="24" fillId="0" borderId="23" xfId="0" applyNumberFormat="1" applyFont="1" applyBorder="1" applyAlignment="1">
      <alignment horizontal="right"/>
    </xf>
    <xf numFmtId="2" fontId="24" fillId="0" borderId="2" xfId="0" applyNumberFormat="1" applyFont="1" applyBorder="1" applyAlignment="1">
      <alignment horizontal="right"/>
    </xf>
    <xf numFmtId="2" fontId="24" fillId="0" borderId="3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 vertical="center"/>
    </xf>
    <xf numFmtId="2" fontId="24" fillId="0" borderId="23" xfId="0" applyNumberFormat="1" applyFont="1" applyBorder="1" applyAlignment="1">
      <alignment horizontal="right" vertical="center"/>
    </xf>
    <xf numFmtId="2" fontId="25" fillId="0" borderId="2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5" fillId="0" borderId="23" xfId="0" applyNumberFormat="1" applyFont="1" applyBorder="1" applyAlignment="1">
      <alignment horizontal="right"/>
    </xf>
    <xf numFmtId="0" fontId="26" fillId="0" borderId="6" xfId="0" applyFont="1" applyBorder="1"/>
    <xf numFmtId="49" fontId="25" fillId="0" borderId="19" xfId="0" applyNumberFormat="1" applyFont="1" applyBorder="1" applyAlignment="1">
      <alignment wrapText="1"/>
    </xf>
    <xf numFmtId="49" fontId="24" fillId="0" borderId="19" xfId="0" applyNumberFormat="1" applyFont="1" applyBorder="1" applyAlignment="1">
      <alignment wrapText="1"/>
    </xf>
    <xf numFmtId="2" fontId="24" fillId="0" borderId="2" xfId="0" applyNumberFormat="1" applyFont="1" applyBorder="1" applyAlignment="1">
      <alignment horizontal="right" wrapText="1"/>
    </xf>
    <xf numFmtId="2" fontId="24" fillId="0" borderId="1" xfId="0" applyNumberFormat="1" applyFont="1" applyBorder="1" applyAlignment="1">
      <alignment horizontal="right" wrapText="1"/>
    </xf>
    <xf numFmtId="2" fontId="24" fillId="0" borderId="3" xfId="0" applyNumberFormat="1" applyFont="1" applyBorder="1" applyAlignment="1">
      <alignment horizontal="right" wrapText="1"/>
    </xf>
    <xf numFmtId="165" fontId="24" fillId="0" borderId="6" xfId="0" applyNumberFormat="1" applyFont="1" applyBorder="1" applyAlignment="1">
      <alignment vertical="center"/>
    </xf>
    <xf numFmtId="9" fontId="25" fillId="0" borderId="7" xfId="0" applyNumberFormat="1" applyFont="1" applyBorder="1" applyAlignment="1">
      <alignment horizontal="right" vertical="center"/>
    </xf>
    <xf numFmtId="0" fontId="26" fillId="0" borderId="19" xfId="0" applyFont="1" applyBorder="1"/>
    <xf numFmtId="2" fontId="26" fillId="0" borderId="23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5" fillId="0" borderId="4" xfId="0" applyNumberFormat="1" applyFont="1" applyBorder="1" applyAlignment="1">
      <alignment horizontal="right" wrapText="1"/>
    </xf>
    <xf numFmtId="2" fontId="26" fillId="0" borderId="1" xfId="7" applyNumberFormat="1" applyFont="1" applyBorder="1" applyAlignment="1">
      <alignment horizontal="right"/>
    </xf>
    <xf numFmtId="2" fontId="25" fillId="0" borderId="23" xfId="7" applyNumberFormat="1" applyFont="1" applyBorder="1" applyAlignment="1">
      <alignment horizontal="right"/>
    </xf>
    <xf numFmtId="2" fontId="25" fillId="0" borderId="2" xfId="7" applyNumberFormat="1" applyFont="1" applyBorder="1" applyAlignment="1">
      <alignment horizontal="right"/>
    </xf>
    <xf numFmtId="2" fontId="25" fillId="0" borderId="3" xfId="7" applyNumberFormat="1" applyFont="1" applyBorder="1" applyAlignment="1">
      <alignment horizontal="right"/>
    </xf>
    <xf numFmtId="164" fontId="26" fillId="0" borderId="0" xfId="0" applyNumberFormat="1" applyFont="1"/>
    <xf numFmtId="165" fontId="24" fillId="0" borderId="20" xfId="0" applyNumberFormat="1" applyFont="1" applyBorder="1" applyAlignment="1">
      <alignment wrapText="1"/>
    </xf>
    <xf numFmtId="2" fontId="24" fillId="0" borderId="16" xfId="0" applyNumberFormat="1" applyFont="1" applyBorder="1" applyAlignment="1">
      <alignment horizontal="right" wrapText="1"/>
    </xf>
    <xf numFmtId="2" fontId="24" fillId="0" borderId="5" xfId="0" applyNumberFormat="1" applyFont="1" applyBorder="1" applyAlignment="1">
      <alignment horizontal="right" wrapText="1"/>
    </xf>
    <xf numFmtId="2" fontId="24" fillId="0" borderId="24" xfId="0" applyNumberFormat="1" applyFont="1" applyBorder="1" applyAlignment="1">
      <alignment horizontal="right" wrapText="1"/>
    </xf>
    <xf numFmtId="2" fontId="24" fillId="0" borderId="13" xfId="0" applyNumberFormat="1" applyFont="1" applyBorder="1" applyAlignment="1">
      <alignment horizontal="right" vertical="center"/>
    </xf>
    <xf numFmtId="9" fontId="24" fillId="0" borderId="14" xfId="0" applyNumberFormat="1" applyFont="1" applyBorder="1" applyAlignment="1">
      <alignment horizontal="right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/>
    <xf numFmtId="43" fontId="24" fillId="0" borderId="1" xfId="0" applyNumberFormat="1" applyFont="1" applyBorder="1"/>
    <xf numFmtId="0" fontId="32" fillId="0" borderId="0" xfId="0" applyFont="1"/>
    <xf numFmtId="164" fontId="32" fillId="0" borderId="0" xfId="0" applyNumberFormat="1" applyFont="1"/>
    <xf numFmtId="0" fontId="26" fillId="0" borderId="0" xfId="0" applyFont="1" applyAlignment="1">
      <alignment vertical="top"/>
    </xf>
    <xf numFmtId="43" fontId="32" fillId="0" borderId="0" xfId="0" applyNumberFormat="1" applyFont="1"/>
    <xf numFmtId="165" fontId="24" fillId="0" borderId="6" xfId="0" applyNumberFormat="1" applyFont="1" applyBorder="1" applyAlignment="1">
      <alignment horizontal="center" vertical="center"/>
    </xf>
    <xf numFmtId="49" fontId="26" fillId="2" borderId="1" xfId="11" applyNumberFormat="1" applyFont="1" applyFill="1" applyAlignment="1"/>
    <xf numFmtId="2" fontId="26" fillId="0" borderId="0" xfId="0" applyNumberFormat="1" applyFont="1"/>
    <xf numFmtId="165" fontId="24" fillId="0" borderId="6" xfId="0" applyNumberFormat="1" applyFont="1" applyBorder="1" applyAlignment="1">
      <alignment horizontal="center" vertical="center"/>
    </xf>
    <xf numFmtId="0" fontId="29" fillId="0" borderId="6" xfId="0" applyFont="1" applyBorder="1"/>
    <xf numFmtId="0" fontId="29" fillId="0" borderId="8" xfId="0" applyFont="1" applyBorder="1"/>
    <xf numFmtId="165" fontId="24" fillId="0" borderId="12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/>
    <xf numFmtId="0" fontId="24" fillId="0" borderId="9" xfId="0" applyFont="1" applyBorder="1" applyAlignment="1">
      <alignment horizontal="center" vertical="center"/>
    </xf>
    <xf numFmtId="0" fontId="29" fillId="0" borderId="11" xfId="0" applyFont="1" applyBorder="1"/>
    <xf numFmtId="0" fontId="24" fillId="0" borderId="17" xfId="0" applyFont="1" applyBorder="1" applyAlignment="1">
      <alignment horizontal="center" vertical="center"/>
    </xf>
    <xf numFmtId="0" fontId="29" fillId="0" borderId="18" xfId="0" applyFont="1" applyBorder="1"/>
    <xf numFmtId="0" fontId="24" fillId="0" borderId="10" xfId="0" applyFont="1" applyBorder="1" applyAlignment="1">
      <alignment horizontal="center" vertical="center" wrapText="1"/>
    </xf>
    <xf numFmtId="0" fontId="29" fillId="0" borderId="15" xfId="0" applyFont="1" applyBorder="1"/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</cellXfs>
  <cellStyles count="32">
    <cellStyle name="Comma" xfId="7" builtinId="3"/>
    <cellStyle name="Comma 2" xfId="9" xr:uid="{00000000-0005-0000-0000-000001000000}"/>
    <cellStyle name="Normal" xfId="0" builtinId="0"/>
    <cellStyle name="Normal 10" xfId="16" xr:uid="{00000000-0005-0000-0000-000003000000}"/>
    <cellStyle name="Normal 11" xfId="17" xr:uid="{00000000-0005-0000-0000-000004000000}"/>
    <cellStyle name="Normal 12" xfId="18" xr:uid="{00000000-0005-0000-0000-000005000000}"/>
    <cellStyle name="Normal 13" xfId="19" xr:uid="{00000000-0005-0000-0000-000006000000}"/>
    <cellStyle name="Normal 14" xfId="20" xr:uid="{00000000-0005-0000-0000-000007000000}"/>
    <cellStyle name="Normal 15" xfId="21" xr:uid="{00000000-0005-0000-0000-000008000000}"/>
    <cellStyle name="Normal 16" xfId="22" xr:uid="{00000000-0005-0000-0000-000009000000}"/>
    <cellStyle name="Normal 17" xfId="23" xr:uid="{00000000-0005-0000-0000-00000A000000}"/>
    <cellStyle name="Normal 18" xfId="24" xr:uid="{00000000-0005-0000-0000-00000B000000}"/>
    <cellStyle name="Normal 19" xfId="25" xr:uid="{00000000-0005-0000-0000-00000C000000}"/>
    <cellStyle name="Normal 2" xfId="1" xr:uid="{00000000-0005-0000-0000-00000D000000}"/>
    <cellStyle name="Normal 2 2" xfId="3" xr:uid="{00000000-0005-0000-0000-00000E000000}"/>
    <cellStyle name="Normal 2 3" xfId="11" xr:uid="{00000000-0005-0000-0000-00000F000000}"/>
    <cellStyle name="Normal 20" xfId="26" xr:uid="{00000000-0005-0000-0000-000010000000}"/>
    <cellStyle name="Normal 21" xfId="27" xr:uid="{AA484E66-F3F2-4FB7-9828-E1C636A9BA10}"/>
    <cellStyle name="Normal 22" xfId="28" xr:uid="{3B0C3C52-5321-4D4A-AFBE-BAF91436DDD9}"/>
    <cellStyle name="Normal 23" xfId="29" xr:uid="{39ACABDC-0D22-400D-A347-F31FA0DAF990}"/>
    <cellStyle name="Normal 24" xfId="30" xr:uid="{E85F1CB6-2CCA-4C64-8D71-AA361F62A152}"/>
    <cellStyle name="Normal 25" xfId="31" xr:uid="{EC9D682C-D257-4FB5-8684-EB76D10399F8}"/>
    <cellStyle name="Normal 3" xfId="4" xr:uid="{00000000-0005-0000-0000-000011000000}"/>
    <cellStyle name="Normal 3 2" xfId="8" xr:uid="{00000000-0005-0000-0000-000012000000}"/>
    <cellStyle name="Normal 3 2 2" xfId="13" xr:uid="{00000000-0005-0000-0000-000013000000}"/>
    <cellStyle name="Normal 4" xfId="6" xr:uid="{00000000-0005-0000-0000-000014000000}"/>
    <cellStyle name="Normal 5" xfId="5" xr:uid="{00000000-0005-0000-0000-000015000000}"/>
    <cellStyle name="Normal 5 2" xfId="12" xr:uid="{00000000-0005-0000-0000-000016000000}"/>
    <cellStyle name="Normal 6" xfId="10" xr:uid="{00000000-0005-0000-0000-000017000000}"/>
    <cellStyle name="Normal 7" xfId="2" xr:uid="{00000000-0005-0000-0000-000018000000}"/>
    <cellStyle name="Normal 8" xfId="14" xr:uid="{00000000-0005-0000-0000-000019000000}"/>
    <cellStyle name="Normal 9" xfId="15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1108364</xdr:colOff>
      <xdr:row>29</xdr:row>
      <xdr:rowOff>80819</xdr:rowOff>
    </xdr:from>
    <xdr:ext cx="901700" cy="800100"/>
    <xdr:pic>
      <xdr:nvPicPr>
        <xdr:cNvPr id="3" name="image2.png">
          <a:extLst>
            <a:ext uri="{FF2B5EF4-FFF2-40B4-BE49-F238E27FC236}">
              <a16:creationId xmlns:a16="http://schemas.microsoft.com/office/drawing/2014/main" id="{D63DBB24-1BCD-45F1-9541-A788138E36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28728" y="5183910"/>
          <a:ext cx="901700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6">
    <pageSetUpPr fitToPage="1"/>
  </sheetPr>
  <dimension ref="A1:S1000"/>
  <sheetViews>
    <sheetView showGridLines="0" tabSelected="1" zoomScale="88" zoomScaleNormal="88" zoomScaleSheetLayoutView="70" workbookViewId="0">
      <selection activeCell="D4" sqref="D4:I4"/>
    </sheetView>
  </sheetViews>
  <sheetFormatPr defaultColWidth="14.44140625" defaultRowHeight="15" customHeight="1" x14ac:dyDescent="0.3"/>
  <cols>
    <col min="1" max="1" width="5.6640625" style="1" customWidth="1"/>
    <col min="2" max="2" width="5.5546875" style="1" customWidth="1"/>
    <col min="3" max="3" width="36" style="1" customWidth="1"/>
    <col min="4" max="8" width="15.77734375" style="1" customWidth="1"/>
    <col min="9" max="9" width="18.88671875" style="1" customWidth="1"/>
    <col min="10" max="11" width="11" style="1" customWidth="1"/>
    <col min="12" max="16384" width="14.44140625" style="1"/>
  </cols>
  <sheetData>
    <row r="1" spans="2:19" ht="20.399999999999999" customHeight="1" x14ac:dyDescent="0.35">
      <c r="B1" s="71"/>
      <c r="C1" s="72"/>
      <c r="D1" s="72"/>
      <c r="E1" s="72"/>
      <c r="F1" s="72"/>
      <c r="G1" s="72"/>
      <c r="H1" s="72"/>
      <c r="I1" s="72"/>
      <c r="J1" s="72"/>
      <c r="K1" s="11"/>
      <c r="S1" s="12"/>
    </row>
    <row r="2" spans="2:19" ht="17.399999999999999" customHeight="1" x14ac:dyDescent="0.35">
      <c r="B2" s="71" t="s">
        <v>33</v>
      </c>
      <c r="C2" s="72"/>
      <c r="D2" s="72"/>
      <c r="E2" s="72"/>
      <c r="F2" s="72"/>
      <c r="G2" s="72"/>
      <c r="H2" s="72"/>
      <c r="I2" s="72"/>
      <c r="J2" s="72"/>
      <c r="K2" s="11"/>
    </row>
    <row r="3" spans="2:19" ht="15" customHeight="1" thickBot="1" x14ac:dyDescent="0.35">
      <c r="D3" s="13"/>
    </row>
    <row r="4" spans="2:19" ht="14.25" customHeight="1" thickBot="1" x14ac:dyDescent="0.35">
      <c r="B4" s="73" t="s">
        <v>2</v>
      </c>
      <c r="C4" s="75" t="s">
        <v>0</v>
      </c>
      <c r="D4" s="79" t="s">
        <v>6</v>
      </c>
      <c r="E4" s="80"/>
      <c r="F4" s="80"/>
      <c r="G4" s="80"/>
      <c r="H4" s="80"/>
      <c r="I4" s="81"/>
      <c r="J4" s="77" t="s">
        <v>20</v>
      </c>
      <c r="K4" s="14"/>
    </row>
    <row r="5" spans="2:19" ht="14.25" customHeight="1" x14ac:dyDescent="0.3">
      <c r="B5" s="74"/>
      <c r="C5" s="76"/>
      <c r="D5" s="9"/>
      <c r="E5" s="7"/>
      <c r="F5" s="8"/>
      <c r="G5" s="7"/>
      <c r="H5" s="8"/>
      <c r="I5" s="8" t="s">
        <v>1</v>
      </c>
      <c r="J5" s="78"/>
      <c r="K5" s="11"/>
      <c r="L5" s="1" t="s">
        <v>31</v>
      </c>
      <c r="M5" s="66">
        <f>D6</f>
        <v>0</v>
      </c>
      <c r="N5" s="66">
        <f>E6</f>
        <v>0</v>
      </c>
      <c r="O5" s="66">
        <f>F6</f>
        <v>0</v>
      </c>
      <c r="P5" s="66">
        <f>G6</f>
        <v>0</v>
      </c>
      <c r="Q5" s="66">
        <f>H6</f>
        <v>0</v>
      </c>
    </row>
    <row r="6" spans="2:19" ht="14.25" customHeight="1" x14ac:dyDescent="0.3">
      <c r="B6" s="70">
        <v>1</v>
      </c>
      <c r="C6" s="15" t="s">
        <v>7</v>
      </c>
      <c r="D6" s="16"/>
      <c r="E6" s="16"/>
      <c r="F6" s="16"/>
      <c r="G6" s="16"/>
      <c r="H6" s="16"/>
      <c r="I6" s="18">
        <f t="shared" ref="I6:I14" si="0">SUM(D6:H6)</f>
        <v>0</v>
      </c>
      <c r="J6" s="19" t="e">
        <f>I6/$I$12</f>
        <v>#DIV/0!</v>
      </c>
      <c r="K6" s="20"/>
      <c r="L6" s="1" t="s">
        <v>32</v>
      </c>
      <c r="M6" s="66">
        <f>D12</f>
        <v>0</v>
      </c>
      <c r="N6" s="66">
        <f>E12</f>
        <v>0</v>
      </c>
      <c r="O6" s="66">
        <f>F12</f>
        <v>0</v>
      </c>
      <c r="P6" s="66">
        <f>G12</f>
        <v>0</v>
      </c>
      <c r="Q6" s="66">
        <f>H12</f>
        <v>0</v>
      </c>
    </row>
    <row r="7" spans="2:19" ht="14.25" customHeight="1" x14ac:dyDescent="0.3">
      <c r="B7" s="68"/>
      <c r="C7" s="21" t="s">
        <v>15</v>
      </c>
      <c r="D7" s="22"/>
      <c r="E7" s="22"/>
      <c r="F7" s="22"/>
      <c r="G7" s="22"/>
      <c r="H7" s="22"/>
      <c r="I7" s="18">
        <f t="shared" si="0"/>
        <v>0</v>
      </c>
      <c r="J7" s="23" t="e">
        <f>-I7/I12</f>
        <v>#DIV/0!</v>
      </c>
      <c r="K7" s="24"/>
      <c r="L7" s="1" t="s">
        <v>27</v>
      </c>
      <c r="M7" s="66">
        <f t="shared" ref="M7:Q8" si="1">D17</f>
        <v>0</v>
      </c>
      <c r="N7" s="66">
        <f t="shared" si="1"/>
        <v>0</v>
      </c>
      <c r="O7" s="66">
        <f t="shared" si="1"/>
        <v>0</v>
      </c>
      <c r="P7" s="66">
        <f t="shared" si="1"/>
        <v>0</v>
      </c>
      <c r="Q7" s="66">
        <f t="shared" si="1"/>
        <v>0</v>
      </c>
    </row>
    <row r="8" spans="2:19" ht="14.25" customHeight="1" x14ac:dyDescent="0.3">
      <c r="B8" s="68"/>
      <c r="C8" s="21" t="s">
        <v>21</v>
      </c>
      <c r="D8" s="22">
        <v>0</v>
      </c>
      <c r="E8" s="25">
        <v>0</v>
      </c>
      <c r="F8" s="26">
        <v>0</v>
      </c>
      <c r="G8" s="27">
        <v>0</v>
      </c>
      <c r="H8" s="28">
        <v>0</v>
      </c>
      <c r="I8" s="18">
        <f t="shared" si="0"/>
        <v>0</v>
      </c>
      <c r="J8" s="19" t="e">
        <f>I8/$I$12</f>
        <v>#DIV/0!</v>
      </c>
      <c r="K8" s="20"/>
      <c r="L8" s="1" t="s">
        <v>30</v>
      </c>
      <c r="M8" s="66">
        <f t="shared" si="1"/>
        <v>0</v>
      </c>
      <c r="N8" s="66">
        <f t="shared" si="1"/>
        <v>0</v>
      </c>
      <c r="O8" s="66">
        <f t="shared" si="1"/>
        <v>0</v>
      </c>
      <c r="P8" s="66">
        <f t="shared" si="1"/>
        <v>0</v>
      </c>
      <c r="Q8" s="66">
        <f t="shared" si="1"/>
        <v>0</v>
      </c>
    </row>
    <row r="9" spans="2:19" ht="14.25" customHeight="1" x14ac:dyDescent="0.3">
      <c r="B9" s="68"/>
      <c r="C9" s="15" t="s">
        <v>14</v>
      </c>
      <c r="D9" s="17">
        <f t="shared" ref="D9:H9" si="2">D6+D7+D8</f>
        <v>0</v>
      </c>
      <c r="E9" s="29">
        <f t="shared" si="2"/>
        <v>0</v>
      </c>
      <c r="F9" s="30">
        <f t="shared" si="2"/>
        <v>0</v>
      </c>
      <c r="G9" s="17">
        <f t="shared" si="2"/>
        <v>0</v>
      </c>
      <c r="H9" s="18">
        <f t="shared" si="2"/>
        <v>0</v>
      </c>
      <c r="I9" s="18">
        <f t="shared" si="0"/>
        <v>0</v>
      </c>
      <c r="J9" s="19" t="e">
        <f>I9/$I$12</f>
        <v>#DIV/0!</v>
      </c>
      <c r="K9" s="20"/>
      <c r="L9" s="1" t="s">
        <v>29</v>
      </c>
      <c r="M9" s="66">
        <f>-D7</f>
        <v>0</v>
      </c>
      <c r="N9" s="66">
        <f>-E7</f>
        <v>0</v>
      </c>
      <c r="O9" s="66">
        <f>-F7</f>
        <v>0</v>
      </c>
      <c r="P9" s="66">
        <f>-G7</f>
        <v>0</v>
      </c>
      <c r="Q9" s="66">
        <f>-H7</f>
        <v>0</v>
      </c>
    </row>
    <row r="10" spans="2:19" ht="14.4" x14ac:dyDescent="0.3">
      <c r="B10" s="68"/>
      <c r="C10" s="21" t="s">
        <v>25</v>
      </c>
      <c r="D10" s="31">
        <f>D9*5%</f>
        <v>0</v>
      </c>
      <c r="E10" s="32">
        <f>E9*5%</f>
        <v>0</v>
      </c>
      <c r="F10" s="33">
        <f>F9*5%</f>
        <v>0</v>
      </c>
      <c r="G10" s="31">
        <f t="shared" ref="G10:H10" si="3">G9*5%</f>
        <v>0</v>
      </c>
      <c r="H10" s="3">
        <f t="shared" si="3"/>
        <v>0</v>
      </c>
      <c r="I10" s="18">
        <f t="shared" si="0"/>
        <v>0</v>
      </c>
      <c r="J10" s="19" t="e">
        <f>I10/$I$12</f>
        <v>#DIV/0!</v>
      </c>
      <c r="K10" s="20"/>
    </row>
    <row r="11" spans="2:19" ht="14.4" x14ac:dyDescent="0.3">
      <c r="B11" s="68"/>
      <c r="C11" s="21" t="s">
        <v>26</v>
      </c>
      <c r="D11" s="22"/>
      <c r="E11" s="22"/>
      <c r="F11" s="22"/>
      <c r="G11" s="22"/>
      <c r="H11" s="22"/>
      <c r="I11" s="18">
        <f t="shared" si="0"/>
        <v>0</v>
      </c>
      <c r="J11" s="19" t="e">
        <f>I11/I12</f>
        <v>#DIV/0!</v>
      </c>
      <c r="K11" s="20"/>
    </row>
    <row r="12" spans="2:19" ht="14.25" customHeight="1" x14ac:dyDescent="0.3">
      <c r="B12" s="68"/>
      <c r="C12" s="15" t="s">
        <v>17</v>
      </c>
      <c r="D12" s="27">
        <f>D9+D10+D11</f>
        <v>0</v>
      </c>
      <c r="E12" s="25">
        <f>E9+E10+E11</f>
        <v>0</v>
      </c>
      <c r="F12" s="26">
        <f t="shared" ref="F12:H12" si="4">F9+F10+F11</f>
        <v>0</v>
      </c>
      <c r="G12" s="27">
        <f t="shared" si="4"/>
        <v>0</v>
      </c>
      <c r="H12" s="28">
        <f t="shared" si="4"/>
        <v>0</v>
      </c>
      <c r="I12" s="18">
        <f t="shared" si="0"/>
        <v>0</v>
      </c>
      <c r="J12" s="19" t="e">
        <f>I12/$I$12</f>
        <v>#DIV/0!</v>
      </c>
      <c r="K12" s="20"/>
    </row>
    <row r="13" spans="2:19" ht="14.25" customHeight="1" x14ac:dyDescent="0.3">
      <c r="B13" s="34"/>
      <c r="C13" s="35" t="s">
        <v>8</v>
      </c>
      <c r="D13" s="22"/>
      <c r="E13" s="22"/>
      <c r="F13" s="22"/>
      <c r="G13" s="22"/>
      <c r="H13" s="22"/>
      <c r="I13" s="18">
        <f t="shared" si="0"/>
        <v>0</v>
      </c>
      <c r="J13" s="19" t="e">
        <f>I13/I12</f>
        <v>#DIV/0!</v>
      </c>
      <c r="K13" s="20"/>
    </row>
    <row r="14" spans="2:19" ht="14.25" customHeight="1" x14ac:dyDescent="0.3">
      <c r="B14" s="34"/>
      <c r="C14" s="36" t="s">
        <v>9</v>
      </c>
      <c r="D14" s="37">
        <f t="shared" ref="D14:H14" si="5">D13-D12</f>
        <v>0</v>
      </c>
      <c r="E14" s="38">
        <f t="shared" si="5"/>
        <v>0</v>
      </c>
      <c r="F14" s="16">
        <f t="shared" si="5"/>
        <v>0</v>
      </c>
      <c r="G14" s="37">
        <f t="shared" si="5"/>
        <v>0</v>
      </c>
      <c r="H14" s="39">
        <f t="shared" si="5"/>
        <v>0</v>
      </c>
      <c r="I14" s="18">
        <f t="shared" si="0"/>
        <v>0</v>
      </c>
      <c r="J14" s="19" t="e">
        <f>I14/I12</f>
        <v>#DIV/0!</v>
      </c>
      <c r="K14" s="20"/>
    </row>
    <row r="15" spans="2:19" ht="14.25" customHeight="1" x14ac:dyDescent="0.3">
      <c r="B15" s="40"/>
      <c r="C15" s="21"/>
      <c r="D15" s="22"/>
      <c r="E15" s="32"/>
      <c r="F15" s="33"/>
      <c r="G15" s="31"/>
      <c r="H15" s="3"/>
      <c r="I15" s="18"/>
      <c r="J15" s="41"/>
      <c r="K15" s="24"/>
    </row>
    <row r="16" spans="2:19" ht="14.25" customHeight="1" x14ac:dyDescent="0.3">
      <c r="B16" s="67">
        <v>2</v>
      </c>
      <c r="C16" s="15" t="s">
        <v>4</v>
      </c>
      <c r="D16" s="16"/>
      <c r="E16" s="25"/>
      <c r="F16" s="26"/>
      <c r="G16" s="27"/>
      <c r="H16" s="28"/>
      <c r="I16" s="18"/>
      <c r="J16" s="19"/>
      <c r="K16" s="20"/>
    </row>
    <row r="17" spans="1:12" ht="14.25" customHeight="1" x14ac:dyDescent="0.3">
      <c r="B17" s="68"/>
      <c r="C17" s="21" t="s">
        <v>10</v>
      </c>
      <c r="D17" s="22"/>
      <c r="E17" s="22"/>
      <c r="F17" s="22"/>
      <c r="G17" s="22"/>
      <c r="H17" s="22"/>
      <c r="I17" s="18">
        <f>SUM(D17:H17)</f>
        <v>0</v>
      </c>
      <c r="J17" s="19" t="e">
        <f>I17/$I$12</f>
        <v>#DIV/0!</v>
      </c>
      <c r="K17" s="20"/>
    </row>
    <row r="18" spans="1:12" ht="14.25" customHeight="1" x14ac:dyDescent="0.3">
      <c r="B18" s="68"/>
      <c r="C18" s="42" t="s">
        <v>22</v>
      </c>
      <c r="D18" s="43"/>
      <c r="E18" s="43"/>
      <c r="F18" s="43"/>
      <c r="G18" s="43"/>
      <c r="H18" s="43"/>
      <c r="I18" s="18">
        <f>SUM(D18:H18)</f>
        <v>0</v>
      </c>
      <c r="J18" s="19" t="e">
        <f>I18/I12</f>
        <v>#DIV/0!</v>
      </c>
      <c r="K18" s="20"/>
    </row>
    <row r="19" spans="1:12" ht="14.25" customHeight="1" x14ac:dyDescent="0.3">
      <c r="B19" s="68"/>
      <c r="C19" s="15" t="s">
        <v>11</v>
      </c>
      <c r="D19" s="27">
        <f t="shared" ref="D19:H19" si="6">SUM(D17:D18)</f>
        <v>0</v>
      </c>
      <c r="E19" s="25">
        <f t="shared" si="6"/>
        <v>0</v>
      </c>
      <c r="F19" s="26">
        <f t="shared" si="6"/>
        <v>0</v>
      </c>
      <c r="G19" s="27">
        <f t="shared" si="6"/>
        <v>0</v>
      </c>
      <c r="H19" s="28">
        <f t="shared" si="6"/>
        <v>0</v>
      </c>
      <c r="I19" s="18">
        <f>SUM(D19:H19)</f>
        <v>0</v>
      </c>
      <c r="J19" s="19" t="e">
        <f>I19/$I$12</f>
        <v>#DIV/0!</v>
      </c>
      <c r="K19" s="20"/>
    </row>
    <row r="20" spans="1:12" ht="14.25" customHeight="1" x14ac:dyDescent="0.3">
      <c r="B20" s="64"/>
      <c r="C20" s="15"/>
      <c r="D20" s="16"/>
      <c r="E20" s="25"/>
      <c r="F20" s="26"/>
      <c r="G20" s="27"/>
      <c r="H20" s="28"/>
      <c r="I20" s="18"/>
      <c r="J20" s="19"/>
      <c r="K20" s="20"/>
    </row>
    <row r="21" spans="1:12" ht="14.25" customHeight="1" x14ac:dyDescent="0.3">
      <c r="B21" s="67">
        <v>3</v>
      </c>
      <c r="C21" s="15" t="s">
        <v>23</v>
      </c>
      <c r="D21" s="16"/>
      <c r="E21" s="32"/>
      <c r="F21" s="33"/>
      <c r="G21" s="31"/>
      <c r="H21" s="3"/>
      <c r="I21" s="18"/>
      <c r="J21" s="19"/>
      <c r="K21" s="24"/>
    </row>
    <row r="22" spans="1:12" ht="14.25" customHeight="1" x14ac:dyDescent="0.3">
      <c r="B22" s="68"/>
      <c r="C22" s="21" t="s">
        <v>18</v>
      </c>
      <c r="D22" s="22">
        <v>0</v>
      </c>
      <c r="E22" s="32">
        <v>0</v>
      </c>
      <c r="F22" s="33">
        <v>0</v>
      </c>
      <c r="G22" s="31">
        <v>0</v>
      </c>
      <c r="H22" s="3">
        <v>0</v>
      </c>
      <c r="I22" s="18">
        <f>SUM(D22:H22)</f>
        <v>0</v>
      </c>
      <c r="J22" s="19" t="e">
        <f t="shared" ref="J22:J24" si="7">I22/$I$12</f>
        <v>#DIV/0!</v>
      </c>
      <c r="K22" s="24"/>
    </row>
    <row r="23" spans="1:12" ht="14.25" customHeight="1" x14ac:dyDescent="0.3">
      <c r="B23" s="68"/>
      <c r="C23" s="21" t="s">
        <v>19</v>
      </c>
      <c r="D23" s="22">
        <v>0</v>
      </c>
      <c r="E23" s="44">
        <v>0</v>
      </c>
      <c r="F23" s="33">
        <v>0</v>
      </c>
      <c r="G23" s="31">
        <v>0</v>
      </c>
      <c r="H23" s="4">
        <v>0</v>
      </c>
      <c r="I23" s="18">
        <f>SUM(D23:H23)</f>
        <v>0</v>
      </c>
      <c r="J23" s="19" t="e">
        <f t="shared" si="7"/>
        <v>#DIV/0!</v>
      </c>
      <c r="K23" s="24"/>
    </row>
    <row r="24" spans="1:12" ht="14.25" customHeight="1" x14ac:dyDescent="0.3">
      <c r="B24" s="68"/>
      <c r="C24" s="15" t="s">
        <v>16</v>
      </c>
      <c r="D24" s="27">
        <f t="shared" ref="D24:H24" si="8">SUM(D22:D23)</f>
        <v>0</v>
      </c>
      <c r="E24" s="25">
        <f t="shared" si="8"/>
        <v>0</v>
      </c>
      <c r="F24" s="26">
        <f t="shared" si="8"/>
        <v>0</v>
      </c>
      <c r="G24" s="25">
        <f t="shared" si="8"/>
        <v>0</v>
      </c>
      <c r="H24" s="45">
        <f t="shared" si="8"/>
        <v>0</v>
      </c>
      <c r="I24" s="18">
        <f>SUM(D24:H24)</f>
        <v>0</v>
      </c>
      <c r="J24" s="19" t="e">
        <f t="shared" si="7"/>
        <v>#DIV/0!</v>
      </c>
      <c r="K24" s="24"/>
    </row>
    <row r="25" spans="1:12" ht="14.25" customHeight="1" x14ac:dyDescent="0.3">
      <c r="B25" s="34"/>
      <c r="C25" s="15"/>
      <c r="D25" s="16"/>
      <c r="E25" s="32"/>
      <c r="F25" s="33"/>
      <c r="G25" s="31"/>
      <c r="H25" s="3"/>
      <c r="I25" s="18"/>
      <c r="J25" s="19"/>
      <c r="K25" s="24"/>
    </row>
    <row r="26" spans="1:12" ht="14.25" customHeight="1" x14ac:dyDescent="0.3">
      <c r="B26" s="67">
        <v>4</v>
      </c>
      <c r="C26" s="21" t="s">
        <v>12</v>
      </c>
      <c r="D26" s="31">
        <f>D12-D19+D24</f>
        <v>0</v>
      </c>
      <c r="E26" s="32">
        <f>E12-E19+E24</f>
        <v>0</v>
      </c>
      <c r="F26" s="33">
        <f t="shared" ref="F26:H26" si="9">F12-F19+F24</f>
        <v>0</v>
      </c>
      <c r="G26" s="31">
        <f t="shared" si="9"/>
        <v>0</v>
      </c>
      <c r="H26" s="31">
        <f t="shared" si="9"/>
        <v>0</v>
      </c>
      <c r="I26" s="18">
        <f>SUM(D26:H26)</f>
        <v>0</v>
      </c>
      <c r="J26" s="19" t="e">
        <f t="shared" ref="J26:J28" si="10">I26/$I$12</f>
        <v>#DIV/0!</v>
      </c>
      <c r="K26" s="20"/>
    </row>
    <row r="27" spans="1:12" ht="14.25" customHeight="1" x14ac:dyDescent="0.3">
      <c r="B27" s="68"/>
      <c r="C27" s="21" t="s">
        <v>13</v>
      </c>
      <c r="D27" s="22">
        <v>0</v>
      </c>
      <c r="E27" s="46">
        <v>0</v>
      </c>
      <c r="F27" s="47">
        <v>0</v>
      </c>
      <c r="G27" s="48">
        <v>0</v>
      </c>
      <c r="H27" s="49">
        <v>0</v>
      </c>
      <c r="I27" s="18">
        <f>SUM(D27:H27)</f>
        <v>0</v>
      </c>
      <c r="J27" s="19" t="e">
        <f t="shared" si="10"/>
        <v>#DIV/0!</v>
      </c>
      <c r="K27" s="20"/>
      <c r="L27" s="50"/>
    </row>
    <row r="28" spans="1:12" ht="14.25" customHeight="1" thickBot="1" x14ac:dyDescent="0.35">
      <c r="B28" s="69"/>
      <c r="C28" s="51" t="s">
        <v>3</v>
      </c>
      <c r="D28" s="52">
        <f>D27-D26</f>
        <v>0</v>
      </c>
      <c r="E28" s="53">
        <f>E27-E26</f>
        <v>0</v>
      </c>
      <c r="F28" s="54">
        <f t="shared" ref="F28:H28" si="11">F27-F26</f>
        <v>0</v>
      </c>
      <c r="G28" s="52">
        <f t="shared" si="11"/>
        <v>0</v>
      </c>
      <c r="H28" s="5">
        <f t="shared" si="11"/>
        <v>0</v>
      </c>
      <c r="I28" s="55">
        <f>SUM(D28:H28)</f>
        <v>0</v>
      </c>
      <c r="J28" s="56" t="e">
        <f t="shared" si="10"/>
        <v>#DIV/0!</v>
      </c>
      <c r="K28" s="20"/>
    </row>
    <row r="29" spans="1:12" ht="14.25" customHeight="1" x14ac:dyDescent="0.3">
      <c r="B29" s="57"/>
      <c r="C29" s="58"/>
      <c r="D29" s="58"/>
      <c r="E29" s="59"/>
      <c r="F29" s="59"/>
      <c r="G29" s="59"/>
      <c r="H29" s="59"/>
      <c r="I29" s="59"/>
      <c r="J29" s="20"/>
      <c r="K29" s="20"/>
    </row>
    <row r="30" spans="1:12" ht="14.25" customHeight="1" x14ac:dyDescent="0.3">
      <c r="C30" s="6" t="s">
        <v>5</v>
      </c>
      <c r="D30" s="60"/>
      <c r="E30" s="61"/>
      <c r="F30" s="61"/>
      <c r="G30" s="61"/>
      <c r="H30" s="61"/>
      <c r="I30" s="60"/>
      <c r="J30" s="60"/>
      <c r="K30" s="60"/>
    </row>
    <row r="31" spans="1:12" ht="14.25" hidden="1" customHeight="1" x14ac:dyDescent="0.3">
      <c r="B31" s="1" t="s">
        <v>24</v>
      </c>
      <c r="C31" s="2"/>
      <c r="D31" s="2"/>
      <c r="E31" s="2"/>
      <c r="F31" s="2"/>
      <c r="G31" s="2"/>
      <c r="H31" s="2"/>
      <c r="I31" s="60"/>
      <c r="J31" s="60"/>
      <c r="K31" s="60"/>
    </row>
    <row r="32" spans="1:12" ht="14.25" customHeight="1" x14ac:dyDescent="0.3">
      <c r="A32" s="1" t="s">
        <v>28</v>
      </c>
      <c r="B32" s="65"/>
      <c r="C32" s="65"/>
      <c r="D32" s="65"/>
      <c r="E32" s="65"/>
      <c r="F32" s="65"/>
      <c r="G32" s="65"/>
      <c r="H32" s="65"/>
      <c r="I32" s="65"/>
      <c r="J32" s="65"/>
      <c r="K32" s="60"/>
    </row>
    <row r="33" spans="1:11" ht="14.25" customHeight="1" x14ac:dyDescent="0.3">
      <c r="A33" s="1" t="s">
        <v>28</v>
      </c>
      <c r="B33" s="10"/>
      <c r="C33" s="10"/>
      <c r="D33" s="10"/>
      <c r="E33" s="10"/>
      <c r="F33" s="10"/>
      <c r="G33" s="10"/>
      <c r="H33" s="10"/>
      <c r="I33" s="10"/>
      <c r="J33" s="10"/>
      <c r="K33" s="60"/>
    </row>
    <row r="34" spans="1:11" ht="14.25" customHeight="1" x14ac:dyDescent="0.3">
      <c r="C34" s="62"/>
      <c r="D34" s="62"/>
      <c r="E34" s="62"/>
      <c r="F34" s="62"/>
      <c r="G34" s="62"/>
      <c r="H34" s="62"/>
      <c r="I34" s="60"/>
      <c r="J34" s="60"/>
      <c r="K34" s="60"/>
    </row>
    <row r="35" spans="1:11" ht="14.25" customHeight="1" x14ac:dyDescent="0.3">
      <c r="C35" s="60"/>
      <c r="D35" s="60"/>
      <c r="E35" s="60"/>
      <c r="F35" s="63"/>
      <c r="G35" s="60"/>
      <c r="H35" s="60"/>
      <c r="I35" s="60"/>
      <c r="J35" s="60"/>
      <c r="K35" s="60"/>
    </row>
    <row r="36" spans="1:11" ht="14.25" customHeight="1" x14ac:dyDescent="0.3"/>
    <row r="37" spans="1:11" ht="14.25" customHeight="1" x14ac:dyDescent="0.3"/>
    <row r="38" spans="1:11" ht="14.25" customHeight="1" x14ac:dyDescent="0.3"/>
    <row r="39" spans="1:11" ht="14.25" customHeight="1" x14ac:dyDescent="0.3"/>
    <row r="40" spans="1:11" ht="14.25" customHeight="1" x14ac:dyDescent="0.3"/>
    <row r="41" spans="1:11" ht="14.25" customHeight="1" x14ac:dyDescent="0.3"/>
    <row r="42" spans="1:11" ht="14.25" customHeight="1" x14ac:dyDescent="0.3"/>
    <row r="43" spans="1:11" ht="14.25" customHeight="1" x14ac:dyDescent="0.3"/>
    <row r="44" spans="1:11" ht="14.25" customHeight="1" x14ac:dyDescent="0.3"/>
    <row r="45" spans="1:11" ht="14.25" customHeight="1" x14ac:dyDescent="0.3"/>
    <row r="46" spans="1:11" ht="14.25" customHeight="1" x14ac:dyDescent="0.3"/>
    <row r="47" spans="1:11" ht="14.25" customHeight="1" x14ac:dyDescent="0.3"/>
    <row r="48" spans="1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16:B19"/>
    <mergeCell ref="B21:B24"/>
    <mergeCell ref="B26:B28"/>
    <mergeCell ref="B6:B12"/>
    <mergeCell ref="B1:J1"/>
    <mergeCell ref="B2:J2"/>
    <mergeCell ref="B4:B5"/>
    <mergeCell ref="C4:C5"/>
    <mergeCell ref="J4:J5"/>
    <mergeCell ref="D4:I4"/>
  </mergeCells>
  <pageMargins left="0.7" right="0.7" top="0.75" bottom="0.75" header="0" footer="0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27A1-3108-4F2F-A9FA-719C23AD1793}">
  <sheetPr codeName="Sheet9"/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0BB9-6C7F-40FA-8946-A38E39CB4DBC}">
  <sheetPr codeName="Sheet10"/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Zomato Pay</vt:lpstr>
      <vt:lpstr>Zpay Calculations</vt:lpstr>
      <vt:lpstr>Zpay Ads</vt:lpstr>
      <vt:lpstr>'Zomato Pay'!Print_Area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varun reddy</cp:lastModifiedBy>
  <cp:lastPrinted>2025-07-25T15:19:15Z</cp:lastPrinted>
  <dcterms:created xsi:type="dcterms:W3CDTF">2022-12-27T12:05:00Z</dcterms:created>
  <dcterms:modified xsi:type="dcterms:W3CDTF">2026-02-03T09:55:33Z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797909A056114DB08A150C938B3D70B2_12</vt:lpwstr>
  </property>
  <property fmtid="{D5CDD505-2E9C-101B-9397-08002B2CF9AE}" pid="3" name="KSOProductBuildVer">
    <vt:lpwstr>1033-12.2.0.17562</vt:lpwstr>
  </property>
</Properties>
</file>